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 Plan" sheetId="1" state="visible" r:id="rId3"/>
    <sheet name="Payments" sheetId="2" state="visible" r:id="rId4"/>
    <sheet name="Forecast" sheetId="3" state="visible" r:id="rId5"/>
    <sheet name="Debt Tracker" sheetId="4" state="visible" r:id="rId6"/>
    <sheet name="Avalanche Projection" sheetId="5" state="visible" r:id="rId7"/>
    <sheet name="Savings Impact" sheetId="6" state="visible" r:id="rId8"/>
    <sheet name="Monthly Budget" sheetId="7" state="visible" r:id="rId9"/>
    <sheet name="Monthly Tracking" sheetId="8" state="visible" r:id="rId10"/>
    <sheet name="Recurring Items" sheetId="9" state="visible" r:id="rId11"/>
    <sheet name="Mapping" sheetId="10" state="visible" r:id="rId12"/>
  </sheets>
  <definedNames>
    <definedName function="false" hidden="false" name="CreditorList" vbProcedure="false">Mapping!$J$4:$J$97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<sst xmlns="http://schemas.openxmlformats.org/spreadsheetml/2006/main" count="1830" uniqueCount="817">
  <si>
    <t xml:space="preserve">THE PLAN</t>
  </si>
  <si>
    <t xml:space="preserve">Updated Apr 30, 2026</t>
  </si>
  <si>
    <t xml:space="preserve">Hubele family debt-free roadmap</t>
  </si>
  <si>
    <t xml:space="preserve">  NEXT UP</t>
  </si>
  <si>
    <t xml:space="preserve">1️⃣  THIS MONTH</t>
  </si>
  <si>
    <t xml:space="preserve">2️⃣  NEXT</t>
  </si>
  <si>
    <t xml:space="preserve">3️⃣  AFTER</t>
  </si>
  <si>
    <t xml:space="preserve">💰 Cash on Hand:</t>
  </si>
  <si>
    <t xml:space="preserve">📈 Income (CSV):</t>
  </si>
  <si>
    <t xml:space="preserve">📉 Expenses (CSV):</t>
  </si>
  <si>
    <t xml:space="preserve">💵 Net:</t>
  </si>
  <si>
    <t xml:space="preserve">💡 DO THIS NOW</t>
  </si>
  <si>
    <t xml:space="preserve">🔧 PLAY WITH YOUR PLAN</t>
  </si>
  <si>
    <t xml:space="preserve">Pick a scenario:</t>
  </si>
  <si>
    <t xml:space="preserve">Current Plan</t>
  </si>
  <si>
    <t xml:space="preserve">👆 changes the numbers above</t>
  </si>
  <si>
    <t xml:space="preserve">JUST MINIMUMS</t>
  </si>
  <si>
    <t xml:space="preserve">CONSERVATIVE</t>
  </si>
  <si>
    <t xml:space="preserve">CURRENT</t>
  </si>
  <si>
    <t xml:space="preserve">AGGRESSIVE</t>
  </si>
  <si>
    <t xml:space="preserve">WHAT IT MEANS</t>
  </si>
  <si>
    <t xml:space="preserve">$0 extra</t>
  </si>
  <si>
    <t xml:space="preserve">+$1,500/mo</t>
  </si>
  <si>
    <t xml:space="preserve">+$3,472/mo</t>
  </si>
  <si>
    <t xml:space="preserve">+$3,472 +$20K</t>
  </si>
  <si>
    <t xml:space="preserve">• Minimums = 3.5 yrs of paying interest, no progress
• Conservative = realistic if cash gets tight
• Current = your full $3,472/mo budget surplus
• Aggressive = use $20K savings to wipe out 8 highest-APR debts day 1</t>
  </si>
  <si>
    <t xml:space="preserve">37 mo</t>
  </si>
  <si>
    <t xml:space="preserve">22 mo</t>
  </si>
  <si>
    <t xml:space="preserve">15 mo</t>
  </si>
  <si>
    <t xml:space="preserve">11 mo</t>
  </si>
  <si>
    <t xml:space="preserve">May 2029</t>
  </si>
  <si>
    <t xml:space="preserve">Feb 2028</t>
  </si>
  <si>
    <t xml:space="preserve">Jul 2027</t>
  </si>
  <si>
    <t xml:space="preserve">Mar 2027</t>
  </si>
  <si>
    <t xml:space="preserve">$34,132 interest</t>
  </si>
  <si>
    <t xml:space="preserve">$18,273 interest</t>
  </si>
  <si>
    <t xml:space="preserve">$11,780 interest</t>
  </si>
  <si>
    <t xml:space="preserve">$6,046 interest</t>
  </si>
  <si>
    <t xml:space="preserve">+22mo, +$22,352</t>
  </si>
  <si>
    <t xml:space="preserve">+7mo, +$6,492</t>
  </si>
  <si>
    <t xml:space="preserve">(your active)</t>
  </si>
  <si>
    <t xml:space="preserve">-4mo, −$5,735</t>
  </si>
  <si>
    <t xml:space="preserve">🗓️ FULL PAYOFF SCHEDULE — DEBTS DIE IN THIS ORDER</t>
  </si>
  <si>
    <t xml:space="preserve">#</t>
  </si>
  <si>
    <t xml:space="preserve">Debt</t>
  </si>
  <si>
    <t xml:space="preserve">When</t>
  </si>
  <si>
    <t xml:space="preserve">Balance Today</t>
  </si>
  <si>
    <t xml:space="preserve">Pay This Much</t>
  </si>
  <si>
    <t xml:space="preserve">What Happens After</t>
  </si>
  <si>
    <t xml:space="preserve">Just Minimums</t>
  </si>
  <si>
    <t xml:space="preserve">Affirm — Shady Rays</t>
  </si>
  <si>
    <t xml:space="preserve">Affirm — Ridge</t>
  </si>
  <si>
    <t xml:space="preserve">Affirm — Target</t>
  </si>
  <si>
    <t xml:space="preserve">Pay $115 → Affirm — Shady Rays by Nov 2026</t>
  </si>
  <si>
    <t xml:space="preserve">That kills it, frees up $19/mo for the next attack.</t>
  </si>
  <si>
    <t xml:space="preserve">Conservative</t>
  </si>
  <si>
    <t xml:space="preserve">Mattress Firm / Synchrony Home</t>
  </si>
  <si>
    <t xml:space="preserve">Ashley Furniture / Synchrony</t>
  </si>
  <si>
    <t xml:space="preserve">Best Buy / Citi</t>
  </si>
  <si>
    <t xml:space="preserve">Pay $1,583 → Mattress Firm / Synchrony Home AND $934 → Ashley Furniture / Synchrony</t>
  </si>
  <si>
    <t xml:space="preserve">You have $1,500/mo extra. Kills BOTH this month — over $2,517 of debt gone.</t>
  </si>
  <si>
    <t xml:space="preserve">You have $3,472/mo extra. Kills BOTH this month — over $2,517 of debt gone.</t>
  </si>
  <si>
    <t xml:space="preserve">Aggressive</t>
  </si>
  <si>
    <t xml:space="preserve">Amex Platinum (Pay Over Time)</t>
  </si>
  <si>
    <t xml:space="preserve">Affirm — Best Buy (Dec)</t>
  </si>
  <si>
    <t xml:space="preserve">Capital One Quicksilver</t>
  </si>
  <si>
    <t xml:space="preserve">Pay $1,406 → Amex Platinum (Pay Over Time) AND $3,020 → Affirm — Best Buy (Dec)</t>
  </si>
  <si>
    <t xml:space="preserve">You have $3,472/mo extra. Kills BOTH this month — over $4,426 of debt gone.</t>
  </si>
  <si>
    <t xml:space="preserve">First win! Frees up $19/mo.</t>
  </si>
  <si>
    <t xml:space="preserve">First win! Frees up $129/mo.</t>
  </si>
  <si>
    <t xml:space="preserve">First win! Frees up $40/mo.</t>
  </si>
  <si>
    <t xml:space="preserve">+$56/mo to next attack.</t>
  </si>
  <si>
    <t xml:space="preserve">Same-month kill! +$33/mo.</t>
  </si>
  <si>
    <t xml:space="preserve">Same-month kill! +$151/mo.</t>
  </si>
  <si>
    <t xml:space="preserve">Same-month kill! +$20/mo.</t>
  </si>
  <si>
    <t xml:space="preserve">+$29/mo to next attack.</t>
  </si>
  <si>
    <t xml:space="preserve">+$38/mo to next attack.</t>
  </si>
  <si>
    <t xml:space="preserve">Affirm — Shokz</t>
  </si>
  <si>
    <t xml:space="preserve">Same-month kill! +$18/mo.</t>
  </si>
  <si>
    <t xml:space="preserve">Capital One Platinum</t>
  </si>
  <si>
    <t xml:space="preserve">Big payoff — $200/mo joins war chest.</t>
  </si>
  <si>
    <t xml:space="preserve">Affirm — Best Buy (Feb)</t>
  </si>
  <si>
    <t xml:space="preserve">Same-month kill! +$73/mo.</t>
  </si>
  <si>
    <t xml:space="preserve">+$129/mo to next attack.</t>
  </si>
  <si>
    <t xml:space="preserve">+$19/mo to next attack.</t>
  </si>
  <si>
    <t xml:space="preserve">Amex Delta SkyMiles Gold</t>
  </si>
  <si>
    <t xml:space="preserve">Big payoff — $206/mo joins war chest.</t>
  </si>
  <si>
    <t xml:space="preserve">Discover</t>
  </si>
  <si>
    <t xml:space="preserve">+$80/mo to next attack.</t>
  </si>
  <si>
    <t xml:space="preserve">Chase Amazon Prime Visa</t>
  </si>
  <si>
    <t xml:space="preserve">+$54/mo to next attack.</t>
  </si>
  <si>
    <t xml:space="preserve">Menards Big Card (Cap One)</t>
  </si>
  <si>
    <t xml:space="preserve">+$92/mo to next attack.</t>
  </si>
  <si>
    <t xml:space="preserve">Credit One Bank</t>
  </si>
  <si>
    <t xml:space="preserve">Same-month kill! +$8/mo.</t>
  </si>
  <si>
    <t xml:space="preserve">+$33/mo to next attack.</t>
  </si>
  <si>
    <t xml:space="preserve">Same-month kill! +$56/mo.</t>
  </si>
  <si>
    <t xml:space="preserve">Same-month kill! +$40/mo.</t>
  </si>
  <si>
    <t xml:space="preserve">PayPal Credit (Hannah) / Synchrony</t>
  </si>
  <si>
    <t xml:space="preserve">Same-month kill! +$99/mo.</t>
  </si>
  <si>
    <t xml:space="preserve">Affirm — Amazon</t>
  </si>
  <si>
    <t xml:space="preserve">+$67/mo to next attack.</t>
  </si>
  <si>
    <t xml:space="preserve">+$151/mo to next attack.</t>
  </si>
  <si>
    <t xml:space="preserve">PayPal Credit (Brad) / Synchrony</t>
  </si>
  <si>
    <t xml:space="preserve">+$44/mo to next attack.</t>
  </si>
  <si>
    <t xml:space="preserve">Same-month kill! +$38/mo.</t>
  </si>
  <si>
    <t xml:space="preserve">Same-month kill! +$19/mo.</t>
  </si>
  <si>
    <t xml:space="preserve">+$73/mo to next attack.</t>
  </si>
  <si>
    <t xml:space="preserve">Amex Blue Cash Preferred</t>
  </si>
  <si>
    <t xml:space="preserve">Same-month kill! +$54/mo.</t>
  </si>
  <si>
    <t xml:space="preserve">Apple Card (Goldman Sachs)</t>
  </si>
  <si>
    <t xml:space="preserve">Big payoff — $266/mo joins war chest.</t>
  </si>
  <si>
    <t xml:space="preserve">Upstart Loan</t>
  </si>
  <si>
    <t xml:space="preserve">Big payoff — $1309/mo joins war chest.</t>
  </si>
  <si>
    <t xml:space="preserve">Affirm — Tonal</t>
  </si>
  <si>
    <t xml:space="preserve">Same-month kill! +$140/mo.</t>
  </si>
  <si>
    <t xml:space="preserve">+$99/mo to next attack.</t>
  </si>
  <si>
    <t xml:space="preserve">Same-month kill! +$44/mo.</t>
  </si>
  <si>
    <t xml:space="preserve">Affirm — Peloton</t>
  </si>
  <si>
    <t xml:space="preserve">+$108/mo to next attack.</t>
  </si>
  <si>
    <t xml:space="preserve">🎉 DEBT FREE!</t>
  </si>
  <si>
    <t xml:space="preserve">+$40/mo to next attack.</t>
  </si>
  <si>
    <t xml:space="preserve">Same-month kill! +$266/mo.</t>
  </si>
  <si>
    <t xml:space="preserve">+$140/mo to next attack.</t>
  </si>
  <si>
    <t xml:space="preserve">PAYMENTS &amp; TRANSACTIONS</t>
  </si>
  <si>
    <t xml:space="preserve">Starting Balance:</t>
  </si>
  <si>
    <t xml:space="preserve">Current Balance:</t>
  </si>
  <si>
    <t xml:space="preserve">Statement Date:</t>
  </si>
  <si>
    <t xml:space="preserve">Log every transaction. Bulk-paste from bank CSV. Pick Type (Income/Expense) and Creditor for each row.</t>
  </si>
  <si>
    <t xml:space="preserve">Date</t>
  </si>
  <si>
    <t xml:space="preserve">Description (from bank)</t>
  </si>
  <si>
    <t xml:space="preserve">Type</t>
  </si>
  <si>
    <t xml:space="preserve">Creditor / Category</t>
  </si>
  <si>
    <t xml:space="preserve">Amount</t>
  </si>
  <si>
    <t xml:space="preserve">Running Balance</t>
  </si>
  <si>
    <t xml:space="preserve">Notes / Match Rule</t>
  </si>
  <si>
    <t xml:space="preserve">Month</t>
  </si>
  <si>
    <t xml:space="preserve">Year</t>
  </si>
  <si>
    <t xml:space="preserve">APPLECARD GSBANK PAYMENT    2228596         WEB ID: 9999999999</t>
  </si>
  <si>
    <t xml:space="preserve">Expense</t>
  </si>
  <si>
    <t xml:space="preserve">APPLECARD GSBANK → Apple Card (Goldman Sachs)</t>
  </si>
  <si>
    <t xml:space="preserve">PAYPAL           INST XFER  DOORDASH MOOYAH WEB ID: PAYPALSI77</t>
  </si>
  <si>
    <t xml:space="preserve">DoorDash &amp; Delivery</t>
  </si>
  <si>
    <t xml:space="preserve">DOORDASH → DoorDash &amp; Delivery</t>
  </si>
  <si>
    <t xml:space="preserve">VENMO            PAYMENT    1049294046835   WEB ID: 3264681992</t>
  </si>
  <si>
    <t xml:space="preserve">Venmo Transfer</t>
  </si>
  <si>
    <t xml:space="preserve">VENMO → Venmo Transfer</t>
  </si>
  <si>
    <t xml:space="preserve">CAPITAL ONE      CRCARDPMT  CA0CBEAA436C428 WEB ID: 9541719318</t>
  </si>
  <si>
    <t xml:space="preserve">CAP ONE @ $500 → Capital One Platinum</t>
  </si>
  <si>
    <t xml:space="preserve">UPSTART NETWORK  CORNING /  1028845         WEB ID: 45466061FN</t>
  </si>
  <si>
    <t xml:space="preserve">UPSTART NETWORK → Upstart Loan</t>
  </si>
  <si>
    <t xml:space="preserve">AMERICAN EXPRESS ACH PMT    W3556           WEB ID: 2005032111</t>
  </si>
  <si>
    <t xml:space="preserve">AMEX @ $600 → Amex Delta SkyMiles Gold</t>
  </si>
  <si>
    <t xml:space="preserve">KFI STAFFING, LL PAYROLL                    PPD ID: 874304726</t>
  </si>
  <si>
    <t xml:space="preserve">Income</t>
  </si>
  <si>
    <t xml:space="preserve">Hannah's Paycheck (KFI)</t>
  </si>
  <si>
    <t xml:space="preserve">KFI STAFFING → Hannah's Paycheck (KFI)</t>
  </si>
  <si>
    <t xml:space="preserve">STATE FARM RO 27 SFPP                       PPD ID: 9000307001</t>
  </si>
  <si>
    <t xml:space="preserve">STATE FARM → Auto Insurance (State Farm)</t>
  </si>
  <si>
    <t xml:space="preserve">PAYPAL           PURCHASE   PLAYSTATION     WEB ID: PAYPALSI77</t>
  </si>
  <si>
    <t xml:space="preserve">PLAYSTATION → Gaming subs</t>
  </si>
  <si>
    <t xml:space="preserve">CAPITAL ONE      CRCARDPMT  CA040925E95DF6A WEB ID: 9541719318</t>
  </si>
  <si>
    <t xml:space="preserve">CAP ONE @ $91 → Capital One Platinum</t>
  </si>
  <si>
    <t xml:space="preserve">FIGURE LENDING L FIGUREPAYM                 PPD ID: 1191069000</t>
  </si>
  <si>
    <t xml:space="preserve">HELOC (Figure)</t>
  </si>
  <si>
    <t xml:space="preserve">FIGURE LENDING → HELOC (Figure)</t>
  </si>
  <si>
    <t xml:space="preserve">PAYPAL           PURCHASE   STITCHFIXIN     WEB ID: PAYPALSI77</t>
  </si>
  <si>
    <t xml:space="preserve">STITCHFIXIN → Clothing (Threadbeast/Stitch/Lulu)</t>
  </si>
  <si>
    <t xml:space="preserve">PAYPAL           TRANSFER                   PPD ID: PAYPALSD11</t>
  </si>
  <si>
    <t xml:space="preserve">PAYPAL → PayPal Credit (Brad) / Synchrony</t>
  </si>
  <si>
    <t xml:space="preserve">STATE FARM RO 27 CPC-CLIENT                 PPD ID: 9000313004</t>
  </si>
  <si>
    <t xml:space="preserve">Online Transfer to GMR ...0324 transaction#: 28716405797 04/06</t>
  </si>
  <si>
    <t xml:space="preserve">Transfer</t>
  </si>
  <si>
    <t xml:space="preserve">Savings Transfer (out)</t>
  </si>
  <si>
    <t xml:space="preserve">ONLINE TRANSFER TO → Savings Transfer (out)</t>
  </si>
  <si>
    <t xml:space="preserve">Online Transfer to GMR ...0324 transaction#: 28716411133 04/06</t>
  </si>
  <si>
    <t xml:space="preserve">Online Transfer to SAV ...9037 transaction#: 28716437177 04/06</t>
  </si>
  <si>
    <t xml:space="preserve">UW Credit Union  Loan Pay   000001836855588 WEB ID: 1222528268</t>
  </si>
  <si>
    <t xml:space="preserve">Hannah's Car Payment (UW Credit Union)</t>
  </si>
  <si>
    <t xml:space="preserve">UW CREDIT UNION → UW Credit Union (Hannah's Car)</t>
  </si>
  <si>
    <t xml:space="preserve">CHASE CREDIT CRD AUTOPAY                    PPD ID: 4760039224</t>
  </si>
  <si>
    <t xml:space="preserve">CHASE CREDIT CRD → Chase Amazon Prime Visa</t>
  </si>
  <si>
    <t xml:space="preserve">BEST BUY         AUTO PYMT  721951705420517 WEB ID: CITIAUTFDR</t>
  </si>
  <si>
    <t xml:space="preserve">CITI → Best Buy / Citi</t>
  </si>
  <si>
    <t xml:space="preserve">PAYPAL           PURCHASE   STARBUCKS       WEB ID: PAYPALSI77</t>
  </si>
  <si>
    <t xml:space="preserve">STARBUCKS → Coffee (Starbucks, Dunkin)</t>
  </si>
  <si>
    <t xml:space="preserve">PAYPAL           PURCHASE   NINTENDOAME     WEB ID: PAYPALSI77</t>
  </si>
  <si>
    <t xml:space="preserve">AMERICAN EXPRESS ACH PMT    M9698           WEB ID: 2005032111</t>
  </si>
  <si>
    <t xml:space="preserve">AMEX @ $402.82 → Amex Delta SkyMiles Gold</t>
  </si>
  <si>
    <t xml:space="preserve">AMERICAN EXPRESS ACH PMT    M9212           WEB ID: 2005032111</t>
  </si>
  <si>
    <t xml:space="preserve">AMERICAN EXPRESS → Amex Delta SkyMiles Gold</t>
  </si>
  <si>
    <t xml:space="preserve">TOYOTA ACH LEASE WEB        3L0Y0OBJS80I9FC WEB ID: 3953775816</t>
  </si>
  <si>
    <t xml:space="preserve">Toyota Lease</t>
  </si>
  <si>
    <t xml:space="preserve">TOYOTA ACH → Toyota Lease</t>
  </si>
  <si>
    <t xml:space="preserve">PAYPAL           INST XFER  1049422616723   WEB ID: PAYPALSI77</t>
  </si>
  <si>
    <t xml:space="preserve">BRGHTWHL* Aldo.. PURCHASE B ST-U6B8C1H0S5E2 WEB ID: 1800948598</t>
  </si>
  <si>
    <t xml:space="preserve">Shopping (Misc)</t>
  </si>
  <si>
    <t xml:space="preserve">BRGHTWHL → Shopping (Misc)</t>
  </si>
  <si>
    <t xml:space="preserve">DISCOVER         E-PAYMENT  2877            WEB ID: 2510020270</t>
  </si>
  <si>
    <t xml:space="preserve">DISCOVER → Discover</t>
  </si>
  <si>
    <t xml:space="preserve">EXACT SCIENCES   PAYROLL                    PPD ID: 9111111103</t>
  </si>
  <si>
    <t xml:space="preserve">Brad's Paycheck (Exact)</t>
  </si>
  <si>
    <t xml:space="preserve">EXACT SCIENCES → Brad's Paycheck (Exact)</t>
  </si>
  <si>
    <t xml:space="preserve">KWIK TRIP INC    PAYMENT    000093008198591 WEB ID: 9161597801</t>
  </si>
  <si>
    <t xml:space="preserve">Gasoline (Kwik Trip / Woodmans)</t>
  </si>
  <si>
    <t xml:space="preserve">KWIK TRIP → Gasoline (Kwik Trip / Woodmans)</t>
  </si>
  <si>
    <t xml:space="preserve">FID BKG SVC LLC  MONEYLINE                  PPD ID: 0368004600</t>
  </si>
  <si>
    <t xml:space="preserve">Fidelity Investment</t>
  </si>
  <si>
    <t xml:space="preserve">FID BKG SVC → Fidelity Investment</t>
  </si>
  <si>
    <t xml:space="preserve">SYNCHRONY BANK   PAYMENT    601918212201035 WEB ID: 1061537262</t>
  </si>
  <si>
    <t xml:space="preserve">SYNCHRONY @ $200 → Mattress Firm / Synchrony Home</t>
  </si>
  <si>
    <t xml:space="preserve">AFFIRM.COM PAYME AFFIRM.COM ST-B4Q8V6T6D5K5 WEB ID: 4270465600</t>
  </si>
  <si>
    <t xml:space="preserve">AFFIRM @ $72.54 → Affirm — Best Buy (Feb)</t>
  </si>
  <si>
    <t xml:space="preserve">APPLE GS SAVINGS TRANSFER   910121286352    WEB ID: 2222229999</t>
  </si>
  <si>
    <t xml:space="preserve">Savings Transfer (in)</t>
  </si>
  <si>
    <t xml:space="preserve">APPLE GS SAVINGS → Savings Transfer (in)</t>
  </si>
  <si>
    <t xml:space="preserve">PAYPAL           PURCHASE   PARAMNTPLUS     WEB ID: PAYPALSI77</t>
  </si>
  <si>
    <t xml:space="preserve">Online Transfer to GMR ...0324 transaction#: 28803014520 04/13</t>
  </si>
  <si>
    <t xml:space="preserve">PAYPAL           PURCHASE   DOORDASH BIRDSN WEB ID: PAYPALSI77</t>
  </si>
  <si>
    <t xml:space="preserve">PAYPAL           PURCHASE   DOORDASH PHILZC WEB ID: PAYPALSI77</t>
  </si>
  <si>
    <t xml:space="preserve">PAYPAL           PURCHASE   DOORDASH ORSOSR WEB ID: PAYPALSI77</t>
  </si>
  <si>
    <t xml:space="preserve">PAYPAL           PURCHASE   ADOBE INC ADOBE WEB ID: PAYPALSI77</t>
  </si>
  <si>
    <t xml:space="preserve">SYNCHRONY BANK   PAYMENT    650172445143046 WEB ID: 1061537262</t>
  </si>
  <si>
    <t xml:space="preserve">SYNCHRONY @ $129 → Mattress Firm / Synchrony Home</t>
  </si>
  <si>
    <t xml:space="preserve">PAYPAL           PURCHASE   DOORDASH DUNKIN WEB ID: PAYPALSI77</t>
  </si>
  <si>
    <t xml:space="preserve">AMERICAN EXPRESS ACH PMT    W8248           WEB ID: 2005032111</t>
  </si>
  <si>
    <t xml:space="preserve">AMEX @ $300 → Amex Platinum (Pay Over Time)</t>
  </si>
  <si>
    <t xml:space="preserve">AMERICAN EXPRESS ACH PMT    W7814           WEB ID: 2005032111</t>
  </si>
  <si>
    <t xml:space="preserve">AFFIRM.COM PAYME AFFIRM.COM ST-X0K4X4G0X4O8 WEB ID: 4270465600</t>
  </si>
  <si>
    <t xml:space="preserve">AFFIRM @ $20.38 → Affirm — Target</t>
  </si>
  <si>
    <t xml:space="preserve">Credit One Bank  Payment    48220862        WEB ID: WEB000004</t>
  </si>
  <si>
    <t xml:space="preserve">CREDIT ONE → Credit One Bank</t>
  </si>
  <si>
    <t xml:space="preserve">TruStage         LIFE INSUR                 PPD ID: 007CMMLIPY</t>
  </si>
  <si>
    <t xml:space="preserve">TRUSTAGE → Life Insurance (Trustage)</t>
  </si>
  <si>
    <t xml:space="preserve">ODP TRANSFER FROM SAVINGS ...9128</t>
  </si>
  <si>
    <t xml:space="preserve">ODP TRANSFER → Savings Transfer (in)</t>
  </si>
  <si>
    <t xml:space="preserve">LAKEVIEW LN SRV  MTG PYMT   0061850673      WEB ID: 1541322890</t>
  </si>
  <si>
    <t xml:space="preserve">Mortgage (Lakeview)</t>
  </si>
  <si>
    <t xml:space="preserve">LAKEVIEW LN → Mortgage (Lakeview)</t>
  </si>
  <si>
    <t xml:space="preserve">AFFIRM.COM PAYME AFFIRM.COM ST-Z6V3X0F4U6T7 WEB ID: 1800948598</t>
  </si>
  <si>
    <t xml:space="preserve">AFFIRM @ $107.75 → Affirm — Peloton</t>
  </si>
  <si>
    <t xml:space="preserve">PAYPAL           PURCHASE   ANCESTRYCOM     WEB ID: PAYPALSI77</t>
  </si>
  <si>
    <t xml:space="preserve">ANCESTRY → Ancestry.com</t>
  </si>
  <si>
    <t xml:space="preserve">VERIZON WIRELESS PAYMENTS                   PPD ID: 7223344794</t>
  </si>
  <si>
    <t xml:space="preserve">Phone (Verizon)</t>
  </si>
  <si>
    <t xml:space="preserve">VERIZON WIRELESS → Phone (Verizon)</t>
  </si>
  <si>
    <t xml:space="preserve">PAYPAL           INST XFER  PYPL PAYMTHLY   WEB ID: PAYPALSI77</t>
  </si>
  <si>
    <t xml:space="preserve">VENMO            CASHOUT                    PPD ID: 5264681992</t>
  </si>
  <si>
    <t xml:space="preserve">ATM WITHDRAWAL                       008272  04/182251 W BR</t>
  </si>
  <si>
    <t xml:space="preserve">ATM WITHDRAWAL → Misc / Buffer</t>
  </si>
  <si>
    <t xml:space="preserve">AFFIRM.COM PAYME AFFIRM.COM ST-S5P7M8K7A2N6 WEB ID: 4270465600</t>
  </si>
  <si>
    <t xml:space="preserve">AFFIRM @ $151.01 → Affirm — Best Buy (Dec)</t>
  </si>
  <si>
    <t xml:space="preserve">AFFIRM.COM PAYME AFFIRM.COM ST-P2Y2J7K9D2C3 WEB ID: 1800948598</t>
  </si>
  <si>
    <t xml:space="preserve">AFFIRM @ $18.22 → Affirm — Shokz</t>
  </si>
  <si>
    <t xml:space="preserve">CAPITAL ONE      CRCARDPMT  CA00822C50CA9D3 WEB ID: 9541719318</t>
  </si>
  <si>
    <t xml:space="preserve">CAP ONE @ $34 → Capital One Quicksilver</t>
  </si>
  <si>
    <t xml:space="preserve">Online Transfer to GMR ...0324 transaction#: 28905703675 04/20</t>
  </si>
  <si>
    <t xml:space="preserve">Online Transfer to GMR ...0324 transaction#: 28905723669 04/20</t>
  </si>
  <si>
    <t xml:space="preserve">AMERICAN EXPRESS ACH PMT    M1016           WEB ID: 2005032111</t>
  </si>
  <si>
    <t xml:space="preserve">AMEX @ $410.32 → Amex Delta SkyMiles Gold</t>
  </si>
  <si>
    <t xml:space="preserve">AMERICAN EXPRESS ACH PMT    M1684           WEB ID: 2005032111</t>
  </si>
  <si>
    <t xml:space="preserve">AMEX @ $162.41 → Amex Delta SkyMiles Gold</t>
  </si>
  <si>
    <t xml:space="preserve">MADISON GAS   EL BILLPAY                    PPD ID: 0000000160</t>
  </si>
  <si>
    <t xml:space="preserve">Electric &amp; Gas (MGE)</t>
  </si>
  <si>
    <t xml:space="preserve">MADISON GAS → Electric &amp; Gas (MGE)</t>
  </si>
  <si>
    <t xml:space="preserve">SYNCHRONY BANK   PAYMENT    601919305959779 WEB ID: 1061537262</t>
  </si>
  <si>
    <t xml:space="preserve">SYNCHRONY → Ashley Furniture / Synchrony</t>
  </si>
  <si>
    <t xml:space="preserve">METRO MARKET #434 MADISON WI                 04/22</t>
  </si>
  <si>
    <t xml:space="preserve">METRO MARKET → Groceries ($425/wk × 4.33 wks)</t>
  </si>
  <si>
    <t xml:space="preserve">INTUIT FINANCING QBC_PMTS                   PPD ID: 5463467445</t>
  </si>
  <si>
    <t xml:space="preserve">INTUIT → Intuit / Tax</t>
  </si>
  <si>
    <t xml:space="preserve">KWIK TRIP INC    PAYMENT    000093008226050 WEB ID: 9161597801</t>
  </si>
  <si>
    <t xml:space="preserve">CITY OF MADISON  MADISON WI 9306199         WEB ID: 0000070577</t>
  </si>
  <si>
    <t xml:space="preserve">Water/Sewer (City of Madison)</t>
  </si>
  <si>
    <t xml:space="preserve">CITY OF MADISON → Water/Sewer (City of Madison)</t>
  </si>
  <si>
    <t xml:space="preserve">COSTCO WHSE #1121 SUN PRAIRIE WI     503269  04/24</t>
  </si>
  <si>
    <t xml:space="preserve">Costco (warehouse stock-up)</t>
  </si>
  <si>
    <t xml:space="preserve">COSTCO → Costco (warehouse stock-up)</t>
  </si>
  <si>
    <t xml:space="preserve">SHEN ZHEN SHI SH PURCHASE   1049879865343   WEB ID: 770510487C</t>
  </si>
  <si>
    <t xml:space="preserve">SHEN ZHEN → Shopping (Misc)</t>
  </si>
  <si>
    <t xml:space="preserve">Online Transfer to GMR ...0324 transaction#: 28983515805 04/27</t>
  </si>
  <si>
    <t xml:space="preserve">KLARNA           PURCHASE   QTDH Walmart    WEB ID: 7891460966</t>
  </si>
  <si>
    <t xml:space="preserve">Klarna</t>
  </si>
  <si>
    <t xml:space="preserve">KLARNA → Klarna</t>
  </si>
  <si>
    <t xml:space="preserve">DEPT EDUCATION   STUDENT LN                 PPD ID: 9102001001</t>
  </si>
  <si>
    <t xml:space="preserve">Student Loan (Nelnet / Dept of Ed)</t>
  </si>
  <si>
    <t xml:space="preserve">DEPT EDUCATION → Student Loan (Nelnet / Dept of Ed)</t>
  </si>
  <si>
    <t xml:space="preserve">AFFIRM.COM PAYME AFFIRM.COM ST-L4R3X2J2U2C3 WEB ID: 1800948598</t>
  </si>
  <si>
    <t xml:space="preserve">AFFIRM @ $139.50 → Affirm — Tonal</t>
  </si>
  <si>
    <t xml:space="preserve">AFFIRM.COM PAYME AFFIRM.COM ST-J6L0K3Z3X2C4 WEB ID: 1800948598</t>
  </si>
  <si>
    <t xml:space="preserve">AFFIRM @ $66.93 → Affirm — Amazon</t>
  </si>
  <si>
    <t xml:space="preserve">📊 CASH FLOW FORECAST</t>
  </si>
  <si>
    <t xml:space="preserve">Today's Balance:</t>
  </si>
  <si>
    <t xml:space="preserve">Forecast Start:</t>
  </si>
  <si>
    <t xml:space="preserve">View:</t>
  </si>
  <si>
    <t xml:space="preserve">90 days</t>
  </si>
  <si>
    <t xml:space="preserve">💵 Lowest Bal:</t>
  </si>
  <si>
    <t xml:space="preserve">📈 Income:</t>
  </si>
  <si>
    <t xml:space="preserve">📉 Expenses:</t>
  </si>
  <si>
    <t xml:space="preserve">💳 Debt Pmt:</t>
  </si>
  <si>
    <t xml:space="preserve">🎯 End:</t>
  </si>
  <si>
    <t xml:space="preserve">📅 DAILY FORECAST (next 90 days)</t>
  </si>
  <si>
    <t xml:space="preserve">Day</t>
  </si>
  <si>
    <t xml:space="preserve">Debt Pmt</t>
  </si>
  <si>
    <t xml:space="preserve">Net</t>
  </si>
  <si>
    <t xml:space="preserve">Balance</t>
  </si>
  <si>
    <t xml:space="preserve">Warning</t>
  </si>
  <si>
    <t xml:space="preserve">Notes</t>
  </si>
  <si>
    <t xml:space="preserve">📆 WEEKLY ROLLUP (days 91-180)</t>
  </si>
  <si>
    <t xml:space="preserve">Wk#</t>
  </si>
  <si>
    <t xml:space="preserve">Week of</t>
  </si>
  <si>
    <t xml:space="preserve">End Bal</t>
  </si>
  <si>
    <t xml:space="preserve">🗓️ MONTHLY ROLLUP (months 7-12)</t>
  </si>
  <si>
    <t xml:space="preserve">Mo#</t>
  </si>
  <si>
    <t xml:space="preserve">🎉 DEBTS PAID OFF — month-by-month timeline</t>
  </si>
  <si>
    <t xml:space="preserve">Mo</t>
  </si>
  <si>
    <t xml:space="preserve">Debts Paid Off This Month</t>
  </si>
  <si>
    <t xml:space="preserve">Freed Min/mo</t>
  </si>
  <si>
    <t xml:space="preserve">Cumulative Freed</t>
  </si>
  <si>
    <t xml:space="preserve">Ashley Furniture / Synchrony, Mattress Firm / Synchrony Home, Best Buy / Citi</t>
  </si>
  <si>
    <t xml:space="preserve">—</t>
  </si>
  <si>
    <t xml:space="preserve">Menards Big Card (Cap One), Amex Platinum (Pay Over Time), Chase Amazon Prime Visa</t>
  </si>
  <si>
    <t xml:space="preserve">Affirm — Best Buy (Dec), Affirm — Best Buy (Feb), Capital One Quicksilver</t>
  </si>
  <si>
    <t xml:space="preserve">Discover, Credit One Bank, PayPal Credit (Brad) / Synchrony, Affirm — Shady Rays</t>
  </si>
  <si>
    <t xml:space="preserve">PayPal Credit (Hannah) / Synchrony, Amex Blue Cash Preferred</t>
  </si>
  <si>
    <t xml:space="preserve">Apple Card (Goldman Sachs), Affirm — Shokz, Affirm — Target</t>
  </si>
  <si>
    <t xml:space="preserve">day_idx</t>
  </si>
  <si>
    <t xml:space="preserve">date</t>
  </si>
  <si>
    <t xml:space="preserve">month_offset</t>
  </si>
  <si>
    <t xml:space="preserve">income</t>
  </si>
  <si>
    <t xml:space="preserve">expense</t>
  </si>
  <si>
    <t xml:space="preserve">debt_pmt</t>
  </si>
  <si>
    <t xml:space="preserve">net</t>
  </si>
  <si>
    <t xml:space="preserve">balance</t>
  </si>
  <si>
    <t xml:space="preserve">DEBT TRACKER — Avalanche-able debt only</t>
  </si>
  <si>
    <t xml:space="preserve">Excludes mortgage, HELOC, auto lease, student loan, business loan, BNPL micro-balances. Sorted by APR (highest first).</t>
  </si>
  <si>
    <t xml:space="preserve">← Hidden amortization schedule (per-month projected balance per debt)</t>
  </si>
  <si>
    <t xml:space="preserve">Creditor / Account</t>
  </si>
  <si>
    <t xml:space="preserve">APR</t>
  </si>
  <si>
    <t xml:space="preserve">Min Pmt</t>
  </si>
  <si>
    <t xml:space="preserve">Auto-Paid?</t>
  </si>
  <si>
    <t xml:space="preserve">Source</t>
  </si>
  <si>
    <t xml:space="preserve">Statement Date</t>
  </si>
  <si>
    <t xml:space="preserve">APR Status</t>
  </si>
  <si>
    <t xml:space="preserve">Eff Balance</t>
  </si>
  <si>
    <t xml:space="preserve">Eff Min Pmt</t>
  </si>
  <si>
    <t xml:space="preserve">Total Paid</t>
  </si>
  <si>
    <t xml:space="preserve">Interest Accrued</t>
  </si>
  <si>
    <t xml:space="preserve">Current Balance</t>
  </si>
  <si>
    <t xml:space="preserve">Status</t>
  </si>
  <si>
    <t xml:space="preserve">Future Bal (12mo)</t>
  </si>
  <si>
    <t xml:space="preserve">M+1</t>
  </si>
  <si>
    <t xml:space="preserve">M+2</t>
  </si>
  <si>
    <t xml:space="preserve">M+3</t>
  </si>
  <si>
    <t xml:space="preserve">M+4</t>
  </si>
  <si>
    <t xml:space="preserve">M+5</t>
  </si>
  <si>
    <t xml:space="preserve">M+6</t>
  </si>
  <si>
    <t xml:space="preserve">M+7</t>
  </si>
  <si>
    <t xml:space="preserve">M+8</t>
  </si>
  <si>
    <t xml:space="preserve">M+9</t>
  </si>
  <si>
    <t xml:space="preserve">M+10</t>
  </si>
  <si>
    <t xml:space="preserve">M+11</t>
  </si>
  <si>
    <t xml:space="preserve">M+12</t>
  </si>
  <si>
    <t xml:space="preserve">Store Card</t>
  </si>
  <si>
    <t xml:space="preserve">Statement</t>
  </si>
  <si>
    <t xml:space="preserve">04/2026</t>
  </si>
  <si>
    <t xml:space="preserve">DEFERRED INTEREST promo expires 09/28/27 — pay $918.57 promo balance in full before then.</t>
  </si>
  <si>
    <t xml:space="preserve">Confirmed</t>
  </si>
  <si>
    <t xml:space="preserve">Equal Pay promo $1,088 at 0% until paid off; $484 at 29.99% &amp; 34.99%.</t>
  </si>
  <si>
    <t xml:space="preserve">Estimated</t>
  </si>
  <si>
    <t xml:space="preserve">Both balance &amp; APR estimated. Citi store cards typically 27-30%.</t>
  </si>
  <si>
    <t xml:space="preserve">Credit Card</t>
  </si>
  <si>
    <t xml:space="preserve">04/16/26</t>
  </si>
  <si>
    <t xml:space="preserve">Has cash advance balance ~$740.</t>
  </si>
  <si>
    <t xml:space="preserve">04/19/26</t>
  </si>
  <si>
    <t xml:space="preserve">AutoPay enrolled at min.</t>
  </si>
  <si>
    <t xml:space="preserve">04/08/26</t>
  </si>
  <si>
    <t xml:space="preserve">Charge POT</t>
  </si>
  <si>
    <t xml:space="preserve">04/21/26</t>
  </si>
  <si>
    <t xml:space="preserve">Pay Over Time balance.</t>
  </si>
  <si>
    <t xml:space="preserve">BNPL</t>
  </si>
  <si>
    <t xml:space="preserve">Affirm App</t>
  </si>
  <si>
    <t xml:space="preserve">20 pmts left. APR back-calculated from 24-mo cashflow ($151.01 × 24 vs $2,742.99 financed).</t>
  </si>
  <si>
    <t xml:space="preserve">Calculated</t>
  </si>
  <si>
    <t xml:space="preserve">16 pmts left. APR back-calculated (18-mo term).</t>
  </si>
  <si>
    <t xml:space="preserve">04/24/26</t>
  </si>
  <si>
    <t xml:space="preserve">Activity only</t>
  </si>
  <si>
    <t xml:space="preserve">04/27/26</t>
  </si>
  <si>
    <t xml:space="preserve">Balance approximate — confirm next statement.</t>
  </si>
  <si>
    <t xml:space="preserve">Approx</t>
  </si>
  <si>
    <t xml:space="preserve">Both balance &amp; APR estimated. Credit One subprime cards typically 24-29%.</t>
  </si>
  <si>
    <t xml:space="preserve">Also has $484 cash advance at 27.49%.</t>
  </si>
  <si>
    <t xml:space="preserve">Hannah Houtler account.</t>
  </si>
  <si>
    <t xml:space="preserve">6 pmts left. APR back-calculated.</t>
  </si>
  <si>
    <t xml:space="preserve">04/09/26</t>
  </si>
  <si>
    <t xml:space="preserve">AutoPay enrolled at $40.</t>
  </si>
  <si>
    <t xml:space="preserve">04/06/26</t>
  </si>
  <si>
    <t xml:space="preserve">$113.93 0% Equal Pay promo expiring 10/03/26.</t>
  </si>
  <si>
    <t xml:space="preserve">03/31/26</t>
  </si>
  <si>
    <t xml:space="preserve">Includes $83 installment ending 5/31/26.</t>
  </si>
  <si>
    <t xml:space="preserve">Personal Loan</t>
  </si>
  <si>
    <t xml:space="preserve">Bank Detect</t>
  </si>
  <si>
    <t xml:space="preserve">Balance from bank. APR estimated 18% (Upstart range 7-36%).</t>
  </si>
  <si>
    <t xml:space="preserve">30 pmts left. PLACEHOLDER APR 15% — math suggests true 0% promo, but using placeholder per your direction (deferred interest risk).</t>
  </si>
  <si>
    <t xml:space="preserve">Placeholder</t>
  </si>
  <si>
    <t xml:space="preserve">33 pmts left. PLACEHOLDER APR 15% — math suggests 0% promo.</t>
  </si>
  <si>
    <t xml:space="preserve">16 pmts left. PLACEHOLDER APR 15% — math suggests 0% promo.</t>
  </si>
  <si>
    <t xml:space="preserve">9 pmts left. PLACEHOLDER APR 15%. Pmt also estimated ($504.15÷9). Confirm in Affirm DETAILS tab.</t>
  </si>
  <si>
    <t xml:space="preserve">10 pmts left. 0% promo confirmed by math.</t>
  </si>
  <si>
    <t xml:space="preserve">9 pmts left. 0% promo confirmed by math.</t>
  </si>
  <si>
    <t xml:space="preserve">TOTALS</t>
  </si>
  <si>
    <t xml:space="preserve">← Total avalanche-able debt | Total min pmts →</t>
  </si>
  <si>
    <t xml:space="preserve">Quick Stats:</t>
  </si>
  <si>
    <t xml:space="preserve">Avalanche Target:</t>
  </si>
  <si>
    <t xml:space="preserve">Target APR:</t>
  </si>
  <si>
    <t xml:space="preserve">Target Balance:</t>
  </si>
  <si>
    <t xml:space="preserve"># of Debts:</t>
  </si>
  <si>
    <t xml:space="preserve">Weighted Avg APR:</t>
  </si>
  <si>
    <t xml:space="preserve">APR Status Legend:</t>
  </si>
  <si>
    <t xml:space="preserve">From statement — accurate</t>
  </si>
  <si>
    <t xml:space="preserve">Back-calculated from payment math</t>
  </si>
  <si>
    <t xml:space="preserve">Approximate — should be confirmed</t>
  </si>
  <si>
    <t xml:space="preserve">15% placeholder for 0% Affirm promos (deferred-interest hedge)</t>
  </si>
  <si>
    <t xml:space="preserve">My guess — replace with actual when known</t>
  </si>
  <si>
    <t xml:space="preserve">AVALANCHE PROJECTION</t>
  </si>
  <si>
    <t xml:space="preserve">Net Surplus from Budget:</t>
  </si>
  <si>
    <t xml:space="preserve">← Live from Monthly Budget</t>
  </si>
  <si>
    <t xml:space="preserve">📸 SIMULATION SNAPSHOT</t>
  </si>
  <si>
    <t xml:space="preserve">Mode:</t>
  </si>
  <si>
    <t xml:space="preserve">Budgeted</t>
  </si>
  <si>
    <t xml:space="preserve">← 'Budgeted' uses C126; 'Actual' uses D126</t>
  </si>
  <si>
    <t xml:space="preserve">Computed: 04/30/2026 01:21</t>
  </si>
  <si>
    <t xml:space="preserve">Effective Extra/Month:</t>
  </si>
  <si>
    <t xml:space="preserve">← Negative→0</t>
  </si>
  <si>
    <t xml:space="preserve">Extra used: $3,472.12/mo</t>
  </si>
  <si>
    <t xml:space="preserve">🎯 KEY METRICS — WITH AVALANCHE STRATEGY</t>
  </si>
  <si>
    <t xml:space="preserve">Total Debt (Active):</t>
  </si>
  <si>
    <t xml:space="preserve">Total Min Pmts/mo:</t>
  </si>
  <si>
    <t xml:space="preserve">Months to Debt-Free:</t>
  </si>
  <si>
    <t xml:space="preserve">Debt-Free Date:</t>
  </si>
  <si>
    <t xml:space="preserve">Total Interest Paid:</t>
  </si>
  <si>
    <t xml:space="preserve">Years to Debt-Free:</t>
  </si>
  <si>
    <t xml:space="preserve">Avalanche Target Now:</t>
  </si>
  <si>
    <t xml:space="preserve">Target APR / Balance:</t>
  </si>
  <si>
    <t xml:space="preserve">34.99% / $1,583</t>
  </si>
  <si>
    <t xml:space="preserve">🎯 YOUR NEXT 3 MOVES</t>
  </si>
  <si>
    <t xml:space="preserve">Step</t>
  </si>
  <si>
    <t xml:space="preserve">Target Debt</t>
  </si>
  <si>
    <t xml:space="preserve">Pay Off By</t>
  </si>
  <si>
    <t xml:space="preserve">From Month</t>
  </si>
  <si>
    <t xml:space="preserve">Pmt Frees Up</t>
  </si>
  <si>
    <t xml:space="preserve">What to do</t>
  </si>
  <si>
    <t xml:space="preserve">#1</t>
  </si>
  <si>
    <t xml:space="preserve">Mo 1–1</t>
  </si>
  <si>
    <t xml:space="preserve">Send all extra (~$3,472/mo) here NOW. Combine with min pmt.</t>
  </si>
  <si>
    <t xml:space="preserve">#2</t>
  </si>
  <si>
    <t xml:space="preserve">Mo 2–2</t>
  </si>
  <si>
    <t xml:space="preserve">After #1 dies, redirect freed $$ here.</t>
  </si>
  <si>
    <t xml:space="preserve">#3</t>
  </si>
  <si>
    <t xml:space="preserve">Mo 3–3</t>
  </si>
  <si>
    <t xml:space="preserve">After #2 dies, redirect freed $$ here.</t>
  </si>
  <si>
    <t xml:space="preserve">DEBT QUEUE — AVALANCHE PAYOFF ORDER</t>
  </si>
  <si>
    <t xml:space="preserve">Order</t>
  </si>
  <si>
    <t xml:space="preserve">Creditor</t>
  </si>
  <si>
    <t xml:space="preserve">Months Solo</t>
  </si>
  <si>
    <t xml:space="preserve">Interest if Min Only</t>
  </si>
  <si>
    <t xml:space="preserve">🗓️ PAYOFF TIMELINE — WHEN EACH DEBT DIES</t>
  </si>
  <si>
    <t xml:space="preserve">Debt to Kill</t>
  </si>
  <si>
    <t xml:space="preserve">Min Pmt Freed</t>
  </si>
  <si>
    <t xml:space="preserve">Total Pmt That Month</t>
  </si>
  <si>
    <t xml:space="preserve">Mo 1</t>
  </si>
  <si>
    <t xml:space="preserve">Mo 2</t>
  </si>
  <si>
    <t xml:space="preserve">Mo 3</t>
  </si>
  <si>
    <t xml:space="preserve">Mo 5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</si>
  <si>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</si>
  <si>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</si>
  <si>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</si>
  <si>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</si>
  <si>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</si>
  <si>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</si>
  <si>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</si>
  <si>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</si>
  <si>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</si>
  <si>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</si>
  <si>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18</t>
  </si>
  <si>
    <t xml:space="preserve">Mo 19</t>
  </si>
  <si>
    <t xml:space="preserve">Mo 22</t>
  </si>
  <si>
    <t xml:space="preserve">🎉</t>
  </si>
  <si>
    <t xml:space="preserve">DEBT FREE! All debts cleared in 23 months.</t>
  </si>
  <si>
    <t xml:space="preserve">📅 MONTH-BY-MONTH PROJECTION (23 months total)</t>
  </si>
  <si>
    <t xml:space="preserve">Interest</t>
  </si>
  <si>
    <t xml:space="preserve">Mins Paid</t>
  </si>
  <si>
    <t xml:space="preserve">Extra Paid</t>
  </si>
  <si>
    <t xml:space="preserve">Active Target</t>
  </si>
  <si>
    <t xml:space="preserve">Balance End</t>
  </si>
  <si>
    <t xml:space="preserve">% Paid Off</t>
  </si>
  <si>
    <t xml:space="preserve">💡 This projection is a snapshot. When you change Debt Tracker (especially Paid Off, balances, or APRs) or your Monthly Budget, ask Claude to re-run the simulation.</t>
  </si>
  <si>
    <t xml:space="preserve">SAVINGS IMPACT SIMULATOR</t>
  </si>
  <si>
    <t xml:space="preserve">Available Savings:</t>
  </si>
  <si>
    <t xml:space="preserve">← Edit your savings amount</t>
  </si>
  <si>
    <t xml:space="preserve">Cost of Selected:</t>
  </si>
  <si>
    <t xml:space="preserve">Savings Remaining:</t>
  </si>
  <si>
    <t xml:space="preserve">← If negative, you've selected more than you have</t>
  </si>
  <si>
    <t xml:space="preserve">📊 BASELINE — KEEP SAVINGS IN BANK</t>
  </si>
  <si>
    <t xml:space="preserve">Total Interest:</t>
  </si>
  <si>
    <t xml:space="preserve">Years:</t>
  </si>
  <si>
    <t xml:space="preserve">✨ SCENARIO — DEPLOY SAVINGS TO PAY OFF SELECTED DEBTS</t>
  </si>
  <si>
    <t xml:space="preserve">"Re-run sim"</t>
  </si>
  <si>
    <t xml:space="preserve">MONTHS SAVED:</t>
  </si>
  <si>
    <t xml:space="preserve">INTEREST SAVED:</t>
  </si>
  <si>
    <t xml:space="preserve">SELECT DEBTS TO PAY OFF WITH SAVINGS — Mark 'Yes' to pay off, 'No' to keep</t>
  </si>
  <si>
    <t xml:space="preserve">Use Savings?</t>
  </si>
  <si>
    <t xml:space="preserve">Cost</t>
  </si>
  <si>
    <t xml:space="preserve">Cumulative Cost</t>
  </si>
  <si>
    <t xml:space="preserve">No</t>
  </si>
  <si>
    <t xml:space="preserve">TOTAL OF SELECTED</t>
  </si>
  <si>
    <t xml:space="preserve">💡 HOW TO USE: Mark 'Yes' next to each debt you want to pay off with savings. Watch 'Cost of Selected' vs 'Available Savings'. Then ask Claude to re-run the simulation to see new debt-free date and total interest.</t>
  </si>
  <si>
    <t xml:space="preserve">MONTHLY BUDGET</t>
  </si>
  <si>
    <t xml:space="preserve">Tracking month:</t>
  </si>
  <si>
    <t xml:space="preserve">Apr 2026</t>
  </si>
  <si>
    <t xml:space="preserve">🟡 Editable    Actuals auto-pull from Payments tab for selected month</t>
  </si>
  <si>
    <t xml:space="preserve">Category</t>
  </si>
  <si>
    <t xml:space="preserve">Actual</t>
  </si>
  <si>
    <t xml:space="preserve">Difference</t>
  </si>
  <si>
    <t xml:space="preserve">% Spent</t>
  </si>
  <si>
    <t xml:space="preserve">INCOME</t>
  </si>
  <si>
    <t xml:space="preserve">Total Monthly Income</t>
  </si>
  <si>
    <t xml:space="preserve">Edit when income changes</t>
  </si>
  <si>
    <t xml:space="preserve">ESSENTIAL — HOUSING</t>
  </si>
  <si>
    <t xml:space="preserve">From Recurring Row 6 — kept here, not in Debt Tracker</t>
  </si>
  <si>
    <t xml:space="preserve">From Recurring Row 7 — kept here, not in Debt Tracker</t>
  </si>
  <si>
    <t xml:space="preserve">Internet/Cable (AT&amp;T Uverse)</t>
  </si>
  <si>
    <t xml:space="preserve">⚠️ HIGH — review plan</t>
  </si>
  <si>
    <t xml:space="preserve">Home Maintenance / Repairs</t>
  </si>
  <si>
    <t xml:space="preserve">Buffer</t>
  </si>
  <si>
    <t xml:space="preserve">Subtotal: Housing</t>
  </si>
  <si>
    <t xml:space="preserve">ESSENTIAL — INSURANCE</t>
  </si>
  <si>
    <t xml:space="preserve">Auto Insurance (State Farm)</t>
  </si>
  <si>
    <t xml:space="preserve">Other Insurance (State Farm 2nd)</t>
  </si>
  <si>
    <t xml:space="preserve">Life Insurance (Trustage)</t>
  </si>
  <si>
    <t xml:space="preserve">Home Warranty (UHP)</t>
  </si>
  <si>
    <t xml:space="preserve">Health Insurance Premium</t>
  </si>
  <si>
    <t xml:space="preserve">FILL IN if not pre-tax via paycheck</t>
  </si>
  <si>
    <t xml:space="preserve">Subtotal: Insurance</t>
  </si>
  <si>
    <t xml:space="preserve">FOOD &amp; GROCERIES</t>
  </si>
  <si>
    <t xml:space="preserve">Groceries ($425/wk × 4.33 wks)</t>
  </si>
  <si>
    <t xml:space="preserve">$425/week budget</t>
  </si>
  <si>
    <t xml:space="preserve">Periodic large hauls</t>
  </si>
  <si>
    <t xml:space="preserve">Subtotal: Food</t>
  </si>
  <si>
    <t xml:space="preserve">TRANSPORTATION</t>
  </si>
  <si>
    <t xml:space="preserve">Lease — kept here, not in Debt Tracker</t>
  </si>
  <si>
    <t xml:space="preserve">Auto loan — kept here, not in Debt Tracker</t>
  </si>
  <si>
    <t xml:space="preserve">Auto Maintenance / Wash</t>
  </si>
  <si>
    <t xml:space="preserve">Parking (Madison)</t>
  </si>
  <si>
    <t xml:space="preserve">Subtotal: Transportation</t>
  </si>
  <si>
    <t xml:space="preserve">KIDS &amp; PETS</t>
  </si>
  <si>
    <t xml:space="preserve">Childcare / School Costs</t>
  </si>
  <si>
    <t xml:space="preserve">Madison Metro $60 + Monona Grove $50</t>
  </si>
  <si>
    <t xml:space="preserve">Kids' Activities</t>
  </si>
  <si>
    <t xml:space="preserve">Camp K9 (Pet Boarding)</t>
  </si>
  <si>
    <t xml:space="preserve">Use only when traveling</t>
  </si>
  <si>
    <t xml:space="preserve">Pet Insurance (Spot)</t>
  </si>
  <si>
    <t xml:space="preserve">Pet Food (Chewy)</t>
  </si>
  <si>
    <t xml:space="preserve">Vet / Pet Other</t>
  </si>
  <si>
    <t xml:space="preserve">Pet Waste (Scoop Scoop)</t>
  </si>
  <si>
    <t xml:space="preserve">Subtotal: Kids &amp; Pets</t>
  </si>
  <si>
    <t xml:space="preserve">DEBT — MINIMUM PAYMENTS (auto-pulls from Debt Tracker)</t>
  </si>
  <si>
    <t xml:space="preserve">Ashley Furniture / Synchrony (34.99%)</t>
  </si>
  <si>
    <t xml:space="preserve">Live from Debt Tracker</t>
  </si>
  <si>
    <t xml:space="preserve">Mattress Firm / Synchrony Home (34.99%)</t>
  </si>
  <si>
    <t xml:space="preserve">Best Buy / Citi (29.99%)</t>
  </si>
  <si>
    <t xml:space="preserve">Capital One Platinum (28.74%)</t>
  </si>
  <si>
    <t xml:space="preserve">Amex Delta SkyMiles Gold (28.49%)</t>
  </si>
  <si>
    <t xml:space="preserve">Menards Big Card (28.49%)</t>
  </si>
  <si>
    <t xml:space="preserve">Amex Platinum POT (28.49%)</t>
  </si>
  <si>
    <t xml:space="preserve">Affirm — Best Buy Dec (28.32%)</t>
  </si>
  <si>
    <t xml:space="preserve">Capital One Quicksilver (28.24%)</t>
  </si>
  <si>
    <t xml:space="preserve">Affirm — Best Buy Feb (28.17%)</t>
  </si>
  <si>
    <t xml:space="preserve">Discover (27.99%)</t>
  </si>
  <si>
    <t xml:space="preserve">Credit One Bank (27.99%)</t>
  </si>
  <si>
    <t xml:space="preserve">PayPal Credit — Brad (27.49%)</t>
  </si>
  <si>
    <t xml:space="preserve">PayPal Credit — Hannah (27.49%)</t>
  </si>
  <si>
    <t xml:space="preserve">Affirm — Shady Rays (26.97%)</t>
  </si>
  <si>
    <t xml:space="preserve">Amex Blue Cash Preferred (26.49%)</t>
  </si>
  <si>
    <t xml:space="preserve">Chase Amazon Prime Visa (26.49%)</t>
  </si>
  <si>
    <t xml:space="preserve">Apple Card / Goldman Sachs (25.49%)</t>
  </si>
  <si>
    <t xml:space="preserve">Upstart Loan (18.00%)</t>
  </si>
  <si>
    <t xml:space="preserve">Affirm — Tonal (15.00% est)</t>
  </si>
  <si>
    <t xml:space="preserve">Affirm — Peloton (15.00% est)</t>
  </si>
  <si>
    <t xml:space="preserve">Affirm — Amazon (15.00% est)</t>
  </si>
  <si>
    <t xml:space="preserve">Affirm — Ridge (15.00% est)</t>
  </si>
  <si>
    <t xml:space="preserve">Affirm — Shokz (0%)</t>
  </si>
  <si>
    <t xml:space="preserve">Affirm — Target (0%)</t>
  </si>
  <si>
    <t xml:space="preserve">Subtotal: Debt Minimums</t>
  </si>
  <si>
    <t xml:space="preserve">AVALANCHE — EXTRA TO HIGHEST APR</t>
  </si>
  <si>
    <t xml:space="preserve">Extra payment to avalanche target</t>
  </si>
  <si>
    <t xml:space="preserve">🎯 Increase as you cut spending — goes to highest-APR debt</t>
  </si>
  <si>
    <t xml:space="preserve">Subtotal: Avalanche Extra</t>
  </si>
  <si>
    <t xml:space="preserve">STREAMING &amp; TECH (variable)</t>
  </si>
  <si>
    <t xml:space="preserve">Streaming (Netflix, Hulu, Spotify, Peacock)</t>
  </si>
  <si>
    <t xml:space="preserve">$35.84 + $105.49 + $23.20 + $3.15</t>
  </si>
  <si>
    <t xml:space="preserve">Brewers F&amp;B / Streaming Sports</t>
  </si>
  <si>
    <t xml:space="preserve">MLB Brewers tickets/food avg</t>
  </si>
  <si>
    <t xml:space="preserve">Tech Subscriptions (Boost, Ring, Tonal)</t>
  </si>
  <si>
    <t xml:space="preserve">$12.99 + $10.54 + $63.25</t>
  </si>
  <si>
    <t xml:space="preserve">Other Tech / Software</t>
  </si>
  <si>
    <t xml:space="preserve">Buffer for variable subs</t>
  </si>
  <si>
    <t xml:space="preserve">Subtotal: Streaming &amp; Tech</t>
  </si>
  <si>
    <t xml:space="preserve">DINING &amp; ENTERTAINMENT</t>
  </si>
  <si>
    <t xml:space="preserve">Restaurants &amp; Bars</t>
  </si>
  <si>
    <t xml:space="preserve">⚠️ HIGH — discipline target $100</t>
  </si>
  <si>
    <t xml:space="preserve">Coffee (Starbucks, Dunkin)</t>
  </si>
  <si>
    <t xml:space="preserve">Movies / Concerts / Other Fun</t>
  </si>
  <si>
    <t xml:space="preserve">Subtotal: Dining</t>
  </si>
  <si>
    <t xml:space="preserve">SHOPPING</t>
  </si>
  <si>
    <t xml:space="preserve">Clothing (Threadbeast/Stitch/Lulu)</t>
  </si>
  <si>
    <t xml:space="preserve">⚠️ Cancel these subs</t>
  </si>
  <si>
    <t xml:space="preserve">Amazon (Non-essentials)</t>
  </si>
  <si>
    <t xml:space="preserve">Walmart / Target</t>
  </si>
  <si>
    <t xml:space="preserve">Best Buy / Electronics</t>
  </si>
  <si>
    <t xml:space="preserve">Home &amp; Menards</t>
  </si>
  <si>
    <t xml:space="preserve">Subtotal: Shopping</t>
  </si>
  <si>
    <t xml:space="preserve">OTHER</t>
  </si>
  <si>
    <t xml:space="preserve">Federal student loan — kept here, not in Debt Tracker</t>
  </si>
  <si>
    <t xml:space="preserve">Fitness (Peloton)</t>
  </si>
  <si>
    <t xml:space="preserve">From Recurring Row 55</t>
  </si>
  <si>
    <t xml:space="preserve">Education (Becker, Eastern Univ)</t>
  </si>
  <si>
    <t xml:space="preserve">⚠️ Verify timeline — temporary?</t>
  </si>
  <si>
    <t xml:space="preserve">Charitable Giving (Athenaeum)</t>
  </si>
  <si>
    <t xml:space="preserve">Health/Medical Out-of-Pocket</t>
  </si>
  <si>
    <t xml:space="preserve">Newspaper Subscription</t>
  </si>
  <si>
    <t xml:space="preserve">Cancel candidate</t>
  </si>
  <si>
    <t xml:space="preserve">Ancestry.com</t>
  </si>
  <si>
    <t xml:space="preserve">AI Subscriptions</t>
  </si>
  <si>
    <t xml:space="preserve">Apple Subscriptions</t>
  </si>
  <si>
    <t xml:space="preserve">Gaming subs</t>
  </si>
  <si>
    <t xml:space="preserve">Misc / Buffer</t>
  </si>
  <si>
    <t xml:space="preserve">Catch-all small items</t>
  </si>
  <si>
    <t xml:space="preserve">Subtotal: Other</t>
  </si>
  <si>
    <t xml:space="preserve">SAVINGS &amp; SINKING FUNDS</t>
  </si>
  <si>
    <t xml:space="preserve">Emergency Fund Contribution</t>
  </si>
  <si>
    <t xml:space="preserve">Build $1,000 starter first</t>
  </si>
  <si>
    <t xml:space="preserve">Tax Sinking Fund</t>
  </si>
  <si>
    <t xml:space="preserve">Save for next April taxes ($1,500/yr)</t>
  </si>
  <si>
    <t xml:space="preserve">Kids' Savings / 529</t>
  </si>
  <si>
    <t xml:space="preserve">Resume after high-APR debt is gone</t>
  </si>
  <si>
    <t xml:space="preserve">Retirement (extra contributions)</t>
  </si>
  <si>
    <t xml:space="preserve">Don't reduce employer match contributions</t>
  </si>
  <si>
    <t xml:space="preserve">Subtotal: Savings</t>
  </si>
  <si>
    <t xml:space="preserve">TOTAL EXPENSES</t>
  </si>
  <si>
    <t xml:space="preserve">Sum of all section subtotals</t>
  </si>
  <si>
    <t xml:space="preserve">NET (Income − Total Expenses)</t>
  </si>
  <si>
    <t xml:space="preserve">💡 Net positive = surplus to throw at avalanche target. Net negative = need to cut spending.</t>
  </si>
  <si>
    <t xml:space="preserve">📊 MONTH-OVER-MONTH TRACKING</t>
  </si>
  <si>
    <t xml:space="preserve">💡 Each month, copy your Monthly Budget actuals here to track progress over time. The trend matters more than any single month.</t>
  </si>
  <si>
    <t xml:space="preserve">Metric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</si>
  <si>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</si>
  <si>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</si>
  <si>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</si>
  <si>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</si>
  <si>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</si>
  <si>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</si>
  <si>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</si>
  <si>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</si>
  <si>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</si>
  <si>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</si>
  <si>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Apr 2027</t>
  </si>
  <si>
    <t xml:space="preserve">Income (actual)</t>
  </si>
  <si>
    <t xml:space="preserve">Total Expenses</t>
  </si>
  <si>
    <t xml:space="preserve">Net (Surplus/Deficit)</t>
  </si>
  <si>
    <t xml:space="preserve">Total Debt Balance</t>
  </si>
  <si>
    <t xml:space="preserve">HELOC Balance</t>
  </si>
  <si>
    <t xml:space="preserve">Total Min Payments</t>
  </si>
  <si>
    <t xml:space="preserve">Extra Avalanche $</t>
  </si>
  <si>
    <t xml:space="preserve"># Active Subscriptions</t>
  </si>
  <si>
    <t xml:space="preserve"># Cancelled This Month</t>
  </si>
  <si>
    <t xml:space="preserve">Recurring Monthly Total</t>
  </si>
  <si>
    <t xml:space="preserve">Emergency Fund Balance</t>
  </si>
  <si>
    <t xml:space="preserve">RECURRING ITEMS</t>
  </si>
  <si>
    <t xml:space="preserve">Edit Day of Month, Amount, or Frequency to control how the Forecast generates events. Debt rows pull amount from Debt Tracker automatically.</t>
  </si>
  <si>
    <t xml:space="preserve">Frequency</t>
  </si>
  <si>
    <t xml:space="preserve">Day of Month</t>
  </si>
  <si>
    <t xml:space="preserve">Anchor Date</t>
  </si>
  <si>
    <t xml:space="preserve">Active?</t>
  </si>
  <si>
    <t xml:space="preserve">Bi-weekly</t>
  </si>
  <si>
    <t xml:space="preserve">Yes</t>
  </si>
  <si>
    <t xml:space="preserve">Bi-weekly Thursdays</t>
  </si>
  <si>
    <t xml:space="preserve">Bi-weekly Fridays</t>
  </si>
  <si>
    <t xml:space="preserve">Monthly</t>
  </si>
  <si>
    <t xml:space="preserve">Auto</t>
  </si>
  <si>
    <t xml:space="preserve">Linked to DT row 5; auto-stops when paid off</t>
  </si>
  <si>
    <t xml:space="preserve">Linked to DT row 6; auto-stops when paid off</t>
  </si>
  <si>
    <t xml:space="preserve">Linked to DT row 7; auto-stops when paid off</t>
  </si>
  <si>
    <t xml:space="preserve">Linked to DT row 8; auto-stops when paid off</t>
  </si>
  <si>
    <t xml:space="preserve">Linked to DT row 9; auto-stops when paid off</t>
  </si>
  <si>
    <t xml:space="preserve">Linked to DT row 10; auto-stops when paid off</t>
  </si>
  <si>
    <t xml:space="preserve">Linked to DT row 11; auto-stops when paid off</t>
  </si>
  <si>
    <t xml:space="preserve">Linked to DT row 12; auto-stops when paid off</t>
  </si>
  <si>
    <t xml:space="preserve">Linked to DT row 13; auto-stops when paid off</t>
  </si>
  <si>
    <t xml:space="preserve">Linked to DT row 14; auto-stops when paid off</t>
  </si>
  <si>
    <t xml:space="preserve">Linked to DT row 15; auto-stops when paid off</t>
  </si>
  <si>
    <t xml:space="preserve">Linked to DT row 16; auto-stops when paid off</t>
  </si>
  <si>
    <t xml:space="preserve">Linked to DT row 17; auto-stops when paid off</t>
  </si>
  <si>
    <t xml:space="preserve">Linked to DT row 18; auto-stops when paid off</t>
  </si>
  <si>
    <t xml:space="preserve">Linked to DT row 19; auto-stops when paid off</t>
  </si>
  <si>
    <t xml:space="preserve">Linked to DT row 20; auto-stops when paid off</t>
  </si>
  <si>
    <t xml:space="preserve">Linked to DT row 21; auto-stops when paid off</t>
  </si>
  <si>
    <t xml:space="preserve">Linked to DT row 22; auto-stops when paid off</t>
  </si>
  <si>
    <t xml:space="preserve">Linked to DT row 23; auto-stops when paid off</t>
  </si>
  <si>
    <t xml:space="preserve">Linked to DT row 24; auto-stops when paid off</t>
  </si>
  <si>
    <t xml:space="preserve">Linked to DT row 25; auto-stops when paid off</t>
  </si>
  <si>
    <t xml:space="preserve">Linked to DT row 26; auto-stops when paid off</t>
  </si>
  <si>
    <t xml:space="preserve">Linked to DT row 27; auto-stops when paid off</t>
  </si>
  <si>
    <t xml:space="preserve">Linked to DT row 28; auto-stops when paid off</t>
  </si>
  <si>
    <t xml:space="preserve">Linked to DT row 29; auto-stops when paid off</t>
  </si>
  <si>
    <t xml:space="preserve">Linked to MB row 10</t>
  </si>
  <si>
    <t xml:space="preserve">Linked to MB row 11</t>
  </si>
  <si>
    <t xml:space="preserve">Linked to MB row 12</t>
  </si>
  <si>
    <t xml:space="preserve">Linked to MB row 13</t>
  </si>
  <si>
    <t xml:space="preserve">Linked to MB row 14</t>
  </si>
  <si>
    <t xml:space="preserve">Linked to MB row 15</t>
  </si>
  <si>
    <t xml:space="preserve">Linked to MB row 20</t>
  </si>
  <si>
    <t xml:space="preserve">Linked to MB row 21</t>
  </si>
  <si>
    <t xml:space="preserve">Linked to MB row 22</t>
  </si>
  <si>
    <t xml:space="preserve">Linked to MB row 23</t>
  </si>
  <si>
    <t xml:space="preserve">Weekly</t>
  </si>
  <si>
    <t xml:space="preserve">Linked to MB row 28</t>
  </si>
  <si>
    <t xml:space="preserve">Linked to MB row 33</t>
  </si>
  <si>
    <t xml:space="preserve">Linked to MB row 34</t>
  </si>
  <si>
    <t xml:space="preserve">Linked to MB row 35</t>
  </si>
  <si>
    <t xml:space="preserve">Linked to MB row 44</t>
  </si>
  <si>
    <t xml:space="preserve">Linked to MB row 45</t>
  </si>
  <si>
    <t xml:space="preserve">Linked to MB row 47</t>
  </si>
  <si>
    <t xml:space="preserve">Linked to MB row 83</t>
  </si>
  <si>
    <t xml:space="preserve">Linked to MB row 85</t>
  </si>
  <si>
    <t xml:space="preserve">Linked to MB row 90</t>
  </si>
  <si>
    <t xml:space="preserve">Linked to MB row 105</t>
  </si>
  <si>
    <t xml:space="preserve">Linked to MB row 106</t>
  </si>
  <si>
    <t xml:space="preserve">Linked to MB row 107</t>
  </si>
  <si>
    <t xml:space="preserve">Linked to MB row 114</t>
  </si>
  <si>
    <t xml:space="preserve">DESCRIPTION → CREDITOR MAPPING</t>
  </si>
  <si>
    <t xml:space="preserve">Edit this list to teach the file how your bank descriptions map to your debts/expenses. Used by Payments tab auto-fill.</t>
  </si>
  <si>
    <t xml:space="preserve">Keyword (in bank description)</t>
  </si>
  <si>
    <t xml:space="preserve">Maps to Creditor</t>
  </si>
  <si>
    <t xml:space="preserve">TOYOTA</t>
  </si>
  <si>
    <t xml:space="preserve">TRUSTAGE</t>
  </si>
  <si>
    <t xml:space="preserve">VERIZON</t>
  </si>
  <si>
    <t xml:space="preserve">AT&amp;T</t>
  </si>
  <si>
    <t xml:space="preserve">MGE</t>
  </si>
  <si>
    <t xml:space="preserve">FIGURE</t>
  </si>
  <si>
    <t xml:space="preserve">LAKEVIEW</t>
  </si>
  <si>
    <t xml:space="preserve">UPSTART</t>
  </si>
  <si>
    <t xml:space="preserve">GOLDMAN SACHS</t>
  </si>
  <si>
    <t xml:space="preserve">APPLE CARD</t>
  </si>
  <si>
    <t xml:space="preserve">CHASE AMAZON</t>
  </si>
  <si>
    <t xml:space="preserve">MENARDS</t>
  </si>
  <si>
    <t xml:space="preserve">AMEX EPAYMENT</t>
  </si>
  <si>
    <t xml:space="preserve">Could be any Amex — verify</t>
  </si>
  <si>
    <t xml:space="preserve">AMEX BLUE CASH</t>
  </si>
  <si>
    <t xml:space="preserve">AMEX DELTA</t>
  </si>
  <si>
    <t xml:space="preserve">CAPITAL ONE QUICK</t>
  </si>
  <si>
    <t xml:space="preserve">CAPITAL ONE PLATIN</t>
  </si>
  <si>
    <t xml:space="preserve">CITI</t>
  </si>
  <si>
    <t xml:space="preserve">SYNCHRONY</t>
  </si>
  <si>
    <t xml:space="preserve">Multiple Synchrony — refine</t>
  </si>
  <si>
    <t xml:space="preserve">VENMO</t>
  </si>
  <si>
    <t xml:space="preserve">Auto-added from CSV import</t>
  </si>
  <si>
    <t xml:space="preserve">PAYPAL</t>
  </si>
  <si>
    <t xml:space="preserve">Brad or Hannah — verify</t>
  </si>
  <si>
    <t xml:space="preserve">DISCOVER</t>
  </si>
  <si>
    <t xml:space="preserve">AMEX</t>
  </si>
  <si>
    <t xml:space="preserve">AMERICAN EXPRESS</t>
  </si>
  <si>
    <t xml:space="preserve">CAPITAL ONE</t>
  </si>
  <si>
    <t xml:space="preserve">AFFIRM</t>
  </si>
  <si>
    <t xml:space="preserve">Multiple Affirm loans — refine which one</t>
  </si>
  <si>
    <t xml:space="preserve">SYNCHRONY HOME</t>
  </si>
  <si>
    <t xml:space="preserve">ATM WITHDRAWAL</t>
  </si>
  <si>
    <t xml:space="preserve">INTUIT</t>
  </si>
  <si>
    <t xml:space="preserve">Intuit / Tax</t>
  </si>
  <si>
    <t xml:space="preserve">KLARNA</t>
  </si>
  <si>
    <t xml:space="preserve">BRGHTWHL</t>
  </si>
  <si>
    <t xml:space="preserve">SHEN ZHEN</t>
  </si>
  <si>
    <t xml:space="preserve">FID BKG SVC</t>
  </si>
  <si>
    <t xml:space="preserve">ONLINE TRANSFER TO</t>
  </si>
  <si>
    <t xml:space="preserve">ODP TRANSFER</t>
  </si>
  <si>
    <t xml:space="preserve">APPLE GS SAVINGS</t>
  </si>
  <si>
    <t xml:space="preserve">NELNET</t>
  </si>
  <si>
    <t xml:space="preserve">DEPT EDUCATION</t>
  </si>
  <si>
    <t xml:space="preserve">CREDIT ONE</t>
  </si>
  <si>
    <t xml:space="preserve">APPLECARD GSBANK</t>
  </si>
  <si>
    <t xml:space="preserve">VERIZON WIRELESS</t>
  </si>
  <si>
    <t xml:space="preserve">MADISON GAS</t>
  </si>
  <si>
    <t xml:space="preserve">CITY OF MADISON</t>
  </si>
  <si>
    <t xml:space="preserve">CHASE CREDIT CRD</t>
  </si>
  <si>
    <t xml:space="preserve">UW CREDIT UNION</t>
  </si>
  <si>
    <t xml:space="preserve">UW Credit Union (Hannah's Car)</t>
  </si>
  <si>
    <t xml:space="preserve">TOYOTA ACH</t>
  </si>
  <si>
    <t xml:space="preserve">UPSTART NETWORK</t>
  </si>
  <si>
    <t xml:space="preserve">FIGURE LENDING</t>
  </si>
  <si>
    <t xml:space="preserve">LAKEVIEW LN</t>
  </si>
  <si>
    <t xml:space="preserve">STATE FARM</t>
  </si>
  <si>
    <t xml:space="preserve">Multiple State Farm — verify</t>
  </si>
  <si>
    <t xml:space="preserve">COSTCO</t>
  </si>
  <si>
    <t xml:space="preserve">KWIK TRIP</t>
  </si>
  <si>
    <t xml:space="preserve">EXACT SCIENCES</t>
  </si>
  <si>
    <t xml:space="preserve">KFI STAFFING</t>
  </si>
  <si>
    <t xml:space="preserve">METRO MARKET</t>
  </si>
  <si>
    <t xml:space="preserve">ANCESTRY</t>
  </si>
  <si>
    <t xml:space="preserve">STITCHFIXIN</t>
  </si>
  <si>
    <t xml:space="preserve">PLAYSTATION</t>
  </si>
  <si>
    <t xml:space="preserve">STARBUCKS</t>
  </si>
  <si>
    <t xml:space="preserve">DUNKIN</t>
  </si>
  <si>
    <t xml:space="preserve">DOORDASH</t>
  </si>
  <si>
    <t xml:space="preserve">Dining/Takeout</t>
  </si>
  <si>
    <t xml:space="preserve">Coffee</t>
  </si>
  <si>
    <t xml:space="preserve">Gas (commute)</t>
  </si>
  <si>
    <t xml:space="preserve">Other / Uncategorized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</si>
</sst>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0&quot; months left&quot;"/>
    <numFmt numFmtId="166" formatCode="&quot;Free in &quot;mmm\ yyyy"/>
    <numFmt numFmtId="167" formatCode="\$#,##0"/>
    <numFmt numFmtId="168" formatCode="mmm\ yyyy"/>
    <numFmt numFmtId="169" formatCode="\$#,##0.00"/>
    <numFmt numFmtId="170" formatCode="\$#,##0.00;[RED]&quot;($&quot;#,##0.00\)"/>
    <numFmt numFmtId="171" formatCode="General"/>
    <numFmt numFmtId="172" formatCode="\$#,##0.00;[RED]&quot;($&quot;#,##0.00\);\–"/>
    <numFmt numFmtId="173" formatCode="yyyy\-mm\-dd\ h:mm:ss"/>
    <numFmt numFmtId="174" formatCode="mmm\ d&quot;, &quot;yyyy"/>
    <numFmt numFmtId="175" formatCode="m/d/yyyy"/>
    <numFmt numFmtId="176" formatCode="0"/>
    <numFmt numFmtId="177" formatCode="\$#,##0.00"/>
    <numFmt numFmtId="178" formatCode="\$#,##0.00;[RED]&quot;($&quot;#,##0.00\)"/>
    <numFmt numFmtId="179" formatCode="ddd\ m/d"/>
    <numFmt numFmtId="180" formatCode="mmm\ d"/>
    <numFmt numFmtId="181" formatCode="\$#,##0.00;;\–"/>
    <numFmt numFmtId="182" formatCode="0.00%;\(0.00%\);\-"/>
    <numFmt numFmtId="183" formatCode="\$#,##0.00;&quot;($&quot;#,##0.00\);\-"/>
    <numFmt numFmtId="184" formatCode="\$#,##0.00;&quot;($&quot;#,##0.00\);\–"/>
    <numFmt numFmtId="185" formatCode="0.0&quot; yrs&quot;"/>
    <numFmt numFmtId="186" formatCode="0.00%;[RED]\(0.00%\);\–"/>
    <numFmt numFmtId="187" formatCode="\$#,##0;[RED]&quot;($&quot;#,##0\);\–"/>
    <numFmt numFmtId="188" formatCode="0.0%"/>
    <numFmt numFmtId="189" formatCode="0.0%;[RED]\(0.0%\);\–"/>
    <numFmt numFmtId="190" formatCode="\$#,##0.00;[RED]&quot;($&quot;#,##0.00\);\-"/>
    <numFmt numFmtId="191" formatCode="#,##0;[RED]\(#,##0\);\-"/>
  </numFmts>
  <fonts count="7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F2E5C"/>
      <name val="Calibri"/>
      <family val="0"/>
      <charset val="1"/>
    </font>
    <font>
      <i val="true"/>
      <sz val="10"/>
      <color rgb="FF8B8B8B"/>
      <name val="Calibri"/>
      <family val="0"/>
      <charset val="1"/>
    </font>
    <font>
      <i val="true"/>
      <sz val="12"/>
      <color rgb="FF8B8B8B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4"/>
      <color rgb="FFE8F5E9"/>
      <name val="Calibri"/>
      <family val="0"/>
      <charset val="1"/>
    </font>
    <font>
      <b val="true"/>
      <sz val="14"/>
      <color rgb="FF2E7D32"/>
      <name val="Consolas"/>
      <family val="0"/>
      <charset val="1"/>
    </font>
    <font>
      <b val="true"/>
      <sz val="12"/>
      <color rgb="FF2E7D32"/>
      <name val="Calibri"/>
      <family val="0"/>
      <charset val="1"/>
    </font>
    <font>
      <b val="true"/>
      <sz val="10"/>
      <color rgb="FF8B8B8B"/>
      <name val="Calibri"/>
      <family val="0"/>
      <charset val="1"/>
    </font>
    <font>
      <b val="true"/>
      <sz val="9"/>
      <color rgb="FF1F2E5C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1F2E5C"/>
      <name val="Calibri"/>
      <family val="0"/>
      <charset val="1"/>
    </font>
    <font>
      <b val="true"/>
      <sz val="14"/>
      <color rgb="FF2E7D32"/>
      <name val="Calibri"/>
      <family val="0"/>
      <charset val="1"/>
    </font>
    <font>
      <b val="true"/>
      <sz val="14"/>
      <color rgb="FFC00000"/>
      <name val="Calibri"/>
      <family val="0"/>
      <charset val="1"/>
    </font>
    <font>
      <b val="true"/>
      <sz val="14"/>
      <color rgb="FF1F2E5C"/>
      <name val="Calibri"/>
      <family val="0"/>
      <charset val="1"/>
    </font>
    <font>
      <b val="true"/>
      <sz val="12"/>
      <color rgb="FF1F2E5C"/>
      <name val="Calibri"/>
      <family val="0"/>
      <charset val="1"/>
    </font>
    <font>
      <i val="true"/>
      <sz val="11"/>
      <color rgb="FF1F2E5C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8B8B8B"/>
      <name val="Calibri"/>
      <family val="0"/>
      <charset val="1"/>
    </font>
    <font>
      <sz val="9"/>
      <color rgb="FF1F2E5C"/>
      <name val="Calibri"/>
      <family val="0"/>
      <charset val="1"/>
    </font>
    <font>
      <b val="true"/>
      <sz val="20"/>
      <color rgb="FF1F2E5C"/>
      <name val="Calibri"/>
      <family val="0"/>
      <charset val="1"/>
    </font>
    <font>
      <sz val="9"/>
      <color rgb="FFC00000"/>
      <name val="Calibri"/>
      <family val="0"/>
      <charset val="1"/>
    </font>
    <font>
      <b val="true"/>
      <i val="true"/>
      <sz val="9"/>
      <color rgb="FF2E7D32"/>
      <name val="Calibri"/>
      <family val="0"/>
      <charset val="1"/>
    </font>
    <font>
      <sz val="9"/>
      <color rgb="FF2E7D32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2E5C"/>
      <name val="Calibri"/>
      <family val="0"/>
      <charset val="1"/>
    </font>
    <font>
      <sz val="10"/>
      <color rgb="FF2E7D32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9"/>
      <color rgb="FF8B8B8B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color rgb="FF2E7D32"/>
      <name val="Calibri"/>
      <family val="0"/>
      <charset val="1"/>
    </font>
    <font>
      <sz val="10"/>
      <color rgb="FF8B8B8B"/>
      <name val="Calibri"/>
      <family val="0"/>
      <charset val="1"/>
    </font>
    <font>
      <b val="true"/>
      <sz val="10"/>
      <color rgb="FFFF6600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4"/>
      <color rgb="FF6B5B95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C00000"/>
      <name val="Calibri"/>
      <family val="0"/>
      <charset val="1"/>
    </font>
    <font>
      <sz val="10"/>
      <color rgb="FF6B5B95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FFFFFF"/>
      <name val="Calibri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C00000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1"/>
      <color rgb="FF6B5B95"/>
      <name val="Calibri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7D32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2"/>
      <color rgb="FF6B5B95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C00000"/>
      <name val="Calibri"/>
      <family val="0"/>
      <charset val="1"/>
    </font>
    <font>
      <i val="true"/>
      <sz val="9"/>
      <color rgb="FF1F2E5C"/>
      <name val="Calibri"/>
      <family val="0"/>
      <charset val="1"/>
    </font>
    <font>
      <b val="true"/>
      <sz val="11"/>
      <color rgb="FF375623"/>
      <name val="Calibri"/>
      <family val="0"/>
      <charset val="1"/>
    </font>
    <font>
      <i val="true"/>
      <sz val="9"/>
      <color rgb="FF375623"/>
      <name val="Calibri"/>
      <family val="0"/>
      <charset val="1"/>
    </font>
    <font>
      <sz val="10"/>
      <color rgb="FF1F2E5C"/>
      <name val="Calibri"/>
      <family val="0"/>
      <charset val="1"/>
    </font>
    <font>
      <i val="true"/>
      <sz val="9"/>
      <color rgb="FFB0825A"/>
      <name val="Calibri"/>
      <family val="0"/>
      <charset val="1"/>
    </font>
    <font>
      <i val="true"/>
      <sz val="10"/>
      <color rgb="FFDCE6F5"/>
      <name val="Calibri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6B5B95"/>
      <name val="Calibri"/>
      <family val="0"/>
      <charset val="1"/>
    </font>
    <font>
      <i val="true"/>
      <sz val="10"/>
      <color rgb="FF6B5B95"/>
      <name val="Calibri"/>
      <family val="0"/>
      <charset val="1"/>
    </font>
    <font>
      <sz val="10"/>
      <name val="Consola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F2E5C"/>
        <bgColor rgb="FF1F4E78"/>
      </patternFill>
    </fill>
    <fill>
      <patternFill patternType="solid">
        <fgColor rgb="FFE8F5E9"/>
        <bgColor rgb="FFF0F5FB"/>
      </patternFill>
    </fill>
    <fill>
      <patternFill patternType="solid">
        <fgColor rgb="FFF4F4F4"/>
        <bgColor rgb="FFF0F5FB"/>
      </patternFill>
    </fill>
    <fill>
      <patternFill patternType="solid">
        <fgColor rgb="FFFFE699"/>
        <bgColor rgb="FFFFF2CC"/>
      </patternFill>
    </fill>
    <fill>
      <patternFill patternType="solid">
        <fgColor rgb="FFDCE6F5"/>
        <bgColor rgb="FFD9E1F2"/>
      </patternFill>
    </fill>
    <fill>
      <patternFill patternType="solid">
        <fgColor rgb="FFF0F5FB"/>
        <bgColor rgb="FFF4F4F4"/>
      </patternFill>
    </fill>
    <fill>
      <patternFill patternType="solid">
        <fgColor rgb="FFFFF8DC"/>
        <bgColor rgb="FFFFF3CD"/>
      </patternFill>
    </fill>
    <fill>
      <patternFill patternType="solid">
        <fgColor rgb="FFFFF3CD"/>
        <bgColor rgb="FFFFF2CC"/>
      </patternFill>
    </fill>
    <fill>
      <patternFill patternType="solid">
        <fgColor rgb="FF2E5AAC"/>
        <bgColor rgb="FF305496"/>
      </patternFill>
    </fill>
    <fill>
      <patternFill patternType="solid">
        <fgColor rgb="FFF8F9FA"/>
        <bgColor rgb="FFF4F4F4"/>
      </patternFill>
    </fill>
    <fill>
      <patternFill patternType="solid">
        <fgColor rgb="FFFFF0F0"/>
        <bgColor rgb="FFF4F4F4"/>
      </patternFill>
    </fill>
    <fill>
      <patternFill patternType="solid">
        <fgColor rgb="FFE5DEEE"/>
        <bgColor rgb="FFD9E1F2"/>
      </patternFill>
    </fill>
    <fill>
      <patternFill patternType="solid">
        <fgColor rgb="FFFFFEF7"/>
        <bgColor rgb="FFFFFFFF"/>
      </patternFill>
    </fill>
    <fill>
      <patternFill patternType="solid">
        <fgColor rgb="FF2E7D32"/>
        <bgColor rgb="FF008000"/>
      </patternFill>
    </fill>
    <fill>
      <patternFill patternType="solid">
        <fgColor rgb="FF4472C4"/>
        <bgColor rgb="FF2E5AAC"/>
      </patternFill>
    </fill>
    <fill>
      <patternFill patternType="solid">
        <fgColor rgb="FF6B5B95"/>
        <bgColor rgb="FF666666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5D9"/>
      </patternFill>
    </fill>
    <fill>
      <patternFill patternType="solid">
        <fgColor rgb="FFFFF2CC"/>
        <bgColor rgb="FFFFF3CD"/>
      </patternFill>
    </fill>
    <fill>
      <patternFill patternType="solid">
        <fgColor rgb="FFD9E1F2"/>
        <bgColor rgb="FFDCE6F5"/>
      </patternFill>
    </fill>
    <fill>
      <patternFill patternType="solid">
        <fgColor rgb="FFB8860B"/>
        <bgColor rgb="FFB0825A"/>
      </patternFill>
    </fill>
    <fill>
      <patternFill patternType="solid">
        <fgColor rgb="FFFFE5D9"/>
        <bgColor rgb="FFFCE4D6"/>
      </patternFill>
    </fill>
    <fill>
      <patternFill patternType="solid">
        <fgColor rgb="FF305496"/>
        <bgColor rgb="FF2E5AAC"/>
      </patternFill>
    </fill>
    <fill>
      <patternFill patternType="solid">
        <fgColor rgb="FF1F4E78"/>
        <bgColor rgb="FF305496"/>
      </patternFill>
    </fill>
    <fill>
      <patternFill patternType="solid">
        <fgColor rgb="FFBDD7EE"/>
        <bgColor rgb="FFD9E1F2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2E5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>
        <color rgb="FF1F2E5C"/>
      </top>
      <bottom style="thin">
        <color rgb="FF1F2E5C"/>
      </bottom>
      <diagonal/>
    </border>
    <border diagonalUp="false" diagonalDown="false">
      <left/>
      <right/>
      <top style="medium">
        <color rgb="FF2E7D32"/>
      </top>
      <bottom style="medium">
        <color rgb="FF2E7D32"/>
      </bottom>
      <diagonal/>
    </border>
    <border diagonalUp="false" diagonalDown="false">
      <left/>
      <right/>
      <top style="thin">
        <color rgb="FF1F2E5C"/>
      </top>
      <bottom/>
      <diagonal/>
    </border>
    <border diagonalUp="false" diagonalDown="false">
      <left/>
      <right/>
      <top style="medium">
        <color rgb="FF1F2E5C"/>
      </top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0" fillId="3" borderId="0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7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15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9" fontId="1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0" fontId="1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8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7" fillId="1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1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2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3" fillId="5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30" fillId="5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1" fillId="5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71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3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71" fontId="2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2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3" fillId="7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30" fillId="7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1" fillId="7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8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3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8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2" fontId="34" fillId="1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28" fillId="1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35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2" fontId="34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28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9" fontId="3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3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7" fillId="1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5" fontId="1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35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8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9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3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1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7" fillId="10" borderId="0" xfId="0" applyFont="true" applyBorder="false" applyAlignment="true" applyProtection="false">
      <alignment horizontal="center" vertical="center" textRotation="0" wrapText="false" indent="1" shrinkToFit="false"/>
      <protection locked="true" hidden="false"/>
    </xf>
    <xf numFmtId="179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9" fillId="1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42" fillId="1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43" fillId="1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13" fillId="1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28" fillId="1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4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42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43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28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11" borderId="0" xfId="0" applyFont="false" applyBorder="false" applyAlignment="true" applyProtection="false">
      <alignment horizontal="right" vertical="center" textRotation="0" wrapText="false" indent="1" shrinkToFit="false"/>
      <protection locked="true" hidden="false"/>
    </xf>
    <xf numFmtId="18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1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1" fontId="30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7" fontId="30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32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1" fontId="29" fillId="1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7" fontId="30" fillId="1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32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1" fontId="29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7" fontId="3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3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4" fontId="29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4" fontId="51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4" fontId="14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3" fillId="1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54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4" fillId="2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55" fillId="2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56" fillId="21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18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57" fillId="1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4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9" fillId="1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2" fontId="6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5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7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2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7" fillId="2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0" fillId="2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86" fontId="42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5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9" fillId="1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5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86" fontId="0" fillId="0" borderId="0" xfId="0" applyFont="fals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86" fontId="0" fillId="7" borderId="0" xfId="0" applyFont="fals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0" fillId="7" borderId="0" xfId="0" applyFont="fals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2" fontId="14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9" fillId="15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5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86" fontId="42" fillId="5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29" fillId="5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0" fillId="5" borderId="0" xfId="0" applyFont="fals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86" fontId="42" fillId="7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29" fillId="7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55" fillId="3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42" fillId="7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7" fontId="0" fillId="7" borderId="0" xfId="0" applyFont="false" applyBorder="false" applyAlignment="true" applyProtection="false">
      <alignment horizontal="right" vertical="center" textRotation="0" wrapText="false" indent="1" shrinkToFit="false"/>
      <protection locked="true" hidden="false"/>
    </xf>
    <xf numFmtId="187" fontId="30" fillId="7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42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87" fontId="34" fillId="7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8" fontId="2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42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7" fontId="0" fillId="0" borderId="0" xfId="0" applyFont="false" applyBorder="false" applyAlignment="true" applyProtection="false">
      <alignment horizontal="right" vertical="center" textRotation="0" wrapText="false" indent="1" shrinkToFit="false"/>
      <protection locked="true" hidden="false"/>
    </xf>
    <xf numFmtId="187" fontId="3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87" fontId="34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8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72" fontId="60" fillId="9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60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10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9" fillId="1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6" fillId="7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3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3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2" fontId="63" fillId="9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55" fillId="9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63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9" fontId="6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2" fontId="65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9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9" fontId="3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6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2" fontId="28" fillId="6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9" fontId="28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2" fontId="13" fillId="2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28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9" fontId="36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6" fillId="23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2" fontId="13" fillId="9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9" fontId="3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7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2" fontId="41" fillId="2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9" fontId="4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2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8" fillId="2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0" fillId="2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0" fillId="2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2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0" fontId="72" fillId="2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0" fontId="73" fillId="2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1" fontId="72" fillId="2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91" fontId="73" fillId="2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5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9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8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E699"/>
        </patternFill>
      </fill>
    </dxf>
    <dxf>
      <fill>
        <patternFill>
          <bgColor rgb="FFB8860B"/>
        </patternFill>
      </fill>
    </dxf>
    <dxf>
      <fill>
        <patternFill>
          <bgColor rgb="FFFFF3CD"/>
        </patternFill>
      </fill>
    </dxf>
    <dxf>
      <font>
        <b val="1"/>
        <color rgb="FFC00000"/>
      </font>
      <fill>
        <patternFill>
          <bgColor rgb="FFFFE5E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B8860B"/>
      <rgbColor rgb="FF800080"/>
      <rgbColor rgb="FF1F4E78"/>
      <rgbColor rgb="FFD9E1F2"/>
      <rgbColor rgb="FF8B8B8B"/>
      <rgbColor rgb="FFF4F4F4"/>
      <rgbColor rgb="FF666666"/>
      <rgbColor rgb="FFFFF8DC"/>
      <rgbColor rgb="FFE8F5E9"/>
      <rgbColor rgb="FF660066"/>
      <rgbColor rgb="FFB0825A"/>
      <rgbColor rgb="FF2E5AAC"/>
      <rgbColor rgb="FFBDD7EE"/>
      <rgbColor rgb="FF000080"/>
      <rgbColor rgb="FFFF00FF"/>
      <rgbColor rgb="FFFFF3CD"/>
      <rgbColor rgb="FF00FFFF"/>
      <rgbColor rgb="FF800080"/>
      <rgbColor rgb="FF800000"/>
      <rgbColor rgb="FF008080"/>
      <rgbColor rgb="FF0000FF"/>
      <rgbColor rgb="FF00CCFF"/>
      <rgbColor rgb="FFF0F5FB"/>
      <rgbColor rgb="FFE2EFDA"/>
      <rgbColor rgb="FFFFE699"/>
      <rgbColor rgb="FFDCE6F5"/>
      <rgbColor rgb="FFFFE5D9"/>
      <rgbColor rgb="FFE5DEEE"/>
      <rgbColor rgb="FFFCE4D6"/>
      <rgbColor rgb="FF4472C4"/>
      <rgbColor rgb="FFFFFEF7"/>
      <rgbColor rgb="FFFFF0F0"/>
      <rgbColor rgb="FFFFE5E5"/>
      <rgbColor rgb="FFF8F9FA"/>
      <rgbColor rgb="FFFF6600"/>
      <rgbColor rgb="FF6B5B95"/>
      <rgbColor rgb="FF999999"/>
      <rgbColor rgb="FF1F2E5C"/>
      <rgbColor rgb="FF2E7D32"/>
      <rgbColor rgb="FF003300"/>
      <rgbColor rgb="FF333300"/>
      <rgbColor rgb="FF993300"/>
      <rgbColor rgb="FF993366"/>
      <rgbColor rgb="FF30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6" min="3" style="1" width="18"/>
    <col collapsed="false" customWidth="true" hidden="false" outlineLevel="0" max="7" min="7" style="1" width="22"/>
    <col collapsed="false" customWidth="true" hidden="false" outlineLevel="0" max="8" min="8" style="1" width="3"/>
    <col collapsed="false" customWidth="true" hidden="true" outlineLevel="0" max="44" min="9" style="1" width="13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39.75" hidden="false" customHeight="true" outlineLevel="0" collapsed="false">
      <c r="B2" s="3" t="s">
        <v>0</v>
      </c>
      <c r="G2" s="4" t="s">
        <v>1</v>
      </c>
    </row>
    <row r="3" customFormat="false" ht="21.75" hidden="false" customHeight="true" outlineLevel="0" collapsed="false">
      <c r="B3" s="5" t="s">
        <v>2</v>
      </c>
    </row>
    <row r="4" customFormat="false" ht="9.75" hidden="false" customHeight="true" outlineLevel="0" collapsed="false"/>
    <row r="5" customFormat="false" ht="37.5" hidden="false" customHeight="true" outlineLevel="0" collapsed="false">
      <c r="A5" s="6" t="str">
        <f aca="false">("$"&amp;TEXT('Debt Tracker'!E30-'Debt Tracker'!L30,"#,##0")&amp;" of $"&amp;TEXT('Debt Tracker'!E30,"#,##0")&amp;" paid off")</f>
        <v>$6,379 of $85,142 paid off</v>
      </c>
      <c r="B5" s="6"/>
      <c r="C5" s="7" t="n">
        <f aca="false">VLOOKUP($C$15,$I$100:$K$103,2,FALSE())</f>
        <v>15</v>
      </c>
      <c r="D5" s="7"/>
      <c r="E5" s="8" t="n">
        <f aca="false">DATE(2026,5+VLOOKUP($C$15,$I$100:$K$103,2,FALSE())-1,1)</f>
        <v>46569</v>
      </c>
      <c r="F5" s="8"/>
      <c r="G5" s="9" t="str">
        <f aca="false">IF(('Debt Tracker'!E30-'Debt Tracker'!L30)/'Debt Tracker'!E30=0,"🚦 NOT STARTED",IF(('Debt Tracker'!E30-'Debt Tracker'!L30)/'Debt Tracker'!E30&gt;=1,"🎉 DEBT FREE!","✓ IN PROGRESS"))</f>
        <v>✓ IN PROGRESS</v>
      </c>
      <c r="H5" s="9"/>
    </row>
    <row r="6" customFormat="false" ht="31.5" hidden="false" customHeight="true" outlineLevel="0" collapsed="false">
      <c r="A6" s="10" t="str">
        <f aca="false">REPT("█",ROUND(50*(('Debt Tracker'!E30-'Debt Tracker'!L30)/'Debt Tracker'!E30),0))&amp;REPT("░",50-ROUND(50*(('Debt Tracker'!E30-'Debt Tracker'!L30)/'Debt Tracker'!E30),0))</f>
        <v>████░░░░░░░░░░░░░░░░░░░░░░░░░░░░░░░░░░░░░░░░░░░░░░</v>
      </c>
      <c r="B6" s="10"/>
      <c r="C6" s="10"/>
      <c r="D6" s="10"/>
      <c r="E6" s="10"/>
      <c r="F6" s="10"/>
      <c r="G6" s="11" t="str">
        <f aca="false">("("&amp;TEXT(('Debt Tracker'!E30-'Debt Tracker'!L30)/'Debt Tracker'!E30,"0.0%")&amp;" complete)")</f>
        <v>(7.5% complete)</v>
      </c>
      <c r="H6" s="11"/>
    </row>
    <row r="7" customFormat="false" ht="21.75" hidden="false" customHeight="true" outlineLevel="0" collapsed="false">
      <c r="A7" s="12" t="s">
        <v>3</v>
      </c>
      <c r="B7" s="13" t="s">
        <v>4</v>
      </c>
      <c r="C7" s="13"/>
      <c r="D7" s="14" t="s">
        <v>5</v>
      </c>
      <c r="E7" s="14"/>
      <c r="F7" s="15" t="s">
        <v>6</v>
      </c>
      <c r="G7" s="15"/>
      <c r="H7" s="16"/>
    </row>
    <row r="8" customFormat="false" ht="25.5" hidden="false" customHeight="true" outlineLevel="0" collapsed="false">
      <c r="A8" s="17"/>
      <c r="B8" s="18" t="str">
        <f aca="false">VLOOKUP($C$15,$I$100:$T$103,4,FALSE())</f>
        <v>Mattress Firm / Synchrony Home</v>
      </c>
      <c r="C8" s="18"/>
      <c r="D8" s="19" t="str">
        <f aca="false">VLOOKUP($C$15,$I$100:$T$103,5,FALSE())</f>
        <v>Ashley Furniture / Synchrony</v>
      </c>
      <c r="E8" s="19"/>
      <c r="F8" s="20" t="str">
        <f aca="false">VLOOKUP($C$15,$I$100:$T$103,6,FALSE())</f>
        <v>Best Buy / Citi</v>
      </c>
      <c r="G8" s="20"/>
      <c r="H8" s="17"/>
    </row>
    <row r="9" customFormat="false" ht="30" hidden="false" customHeight="true" outlineLevel="0" collapsed="false">
      <c r="A9" s="21" t="s">
        <v>7</v>
      </c>
      <c r="B9" s="22" t="n">
        <f aca="false">Payments!E2</f>
        <v>3408.09</v>
      </c>
      <c r="C9" s="21" t="s">
        <v>8</v>
      </c>
      <c r="D9" s="22" t="n">
        <f aca="false">SUMIFS(Payments!F:F,Payments!D:D,"Income")</f>
        <v>12540.19</v>
      </c>
      <c r="E9" s="21" t="s">
        <v>9</v>
      </c>
      <c r="F9" s="23" t="n">
        <f aca="false">SUMIFS(Payments!F:F,Payments!D:D,"Expense")</f>
        <v>13224.39</v>
      </c>
      <c r="G9" s="21" t="s">
        <v>10</v>
      </c>
      <c r="H9" s="24" t="n">
        <f aca="false">D9-F9</f>
        <v>-684.199999999999</v>
      </c>
    </row>
    <row r="10" customFormat="false" ht="31.5" hidden="false" customHeight="true" outlineLevel="0" collapsed="false">
      <c r="B10" s="25" t="s">
        <v>11</v>
      </c>
      <c r="C10" s="25"/>
      <c r="D10" s="25"/>
      <c r="E10" s="25"/>
      <c r="F10" s="25"/>
      <c r="G10" s="25"/>
    </row>
    <row r="11" customFormat="false" ht="36" hidden="false" customHeight="true" outlineLevel="0" collapsed="false">
      <c r="B11" s="26" t="str">
        <f aca="false">VLOOKUP($C$15,$I$100:$T$103,10,FALSE())</f>
        <v>Pay $1,583 → Mattress Firm / Synchrony Home AND $934 → Ashley Furniture / Synchrony</v>
      </c>
      <c r="C11" s="26"/>
      <c r="D11" s="26"/>
      <c r="E11" s="26"/>
      <c r="F11" s="26"/>
      <c r="G11" s="26"/>
    </row>
    <row r="12" customFormat="false" ht="27.75" hidden="false" customHeight="true" outlineLevel="0" collapsed="false">
      <c r="B12" s="27" t="str">
        <f aca="false">VLOOKUP($C$15,$I$100:$T$103,11,FALSE())</f>
        <v>You have $3,472/mo extra. Kills BOTH this month — over $2,517 of debt gone.</v>
      </c>
      <c r="C12" s="27"/>
      <c r="D12" s="27"/>
      <c r="E12" s="27"/>
      <c r="F12" s="27"/>
      <c r="G12" s="27"/>
    </row>
    <row r="13" customFormat="false" ht="12" hidden="false" customHeight="true" outlineLevel="0" collapsed="false"/>
    <row r="14" customFormat="false" ht="25.5" hidden="false" customHeight="true" outlineLevel="0" collapsed="false">
      <c r="A14" s="28"/>
      <c r="B14" s="29" t="s">
        <v>12</v>
      </c>
      <c r="C14" s="29"/>
      <c r="D14" s="29"/>
      <c r="E14" s="29"/>
      <c r="F14" s="29"/>
      <c r="G14" s="29"/>
      <c r="H14" s="28"/>
    </row>
    <row r="15" customFormat="false" ht="36" hidden="false" customHeight="true" outlineLevel="0" collapsed="false">
      <c r="A15" s="28"/>
      <c r="B15" s="30" t="s">
        <v>13</v>
      </c>
      <c r="C15" s="31" t="s">
        <v>14</v>
      </c>
      <c r="D15" s="31"/>
      <c r="E15" s="32" t="s">
        <v>15</v>
      </c>
      <c r="F15" s="32"/>
      <c r="G15" s="32"/>
      <c r="H15" s="28"/>
    </row>
    <row r="16" customFormat="false" ht="21.75" hidden="false" customHeight="true" outlineLevel="0" collapsed="false">
      <c r="A16" s="28"/>
      <c r="B16" s="33" t="s">
        <v>16</v>
      </c>
      <c r="C16" s="33" t="s">
        <v>17</v>
      </c>
      <c r="D16" s="33" t="s">
        <v>18</v>
      </c>
      <c r="E16" s="33" t="s">
        <v>19</v>
      </c>
      <c r="F16" s="34" t="s">
        <v>20</v>
      </c>
      <c r="G16" s="34"/>
      <c r="H16" s="28"/>
    </row>
    <row r="17" customFormat="false" ht="18" hidden="false" customHeight="true" outlineLevel="0" collapsed="false">
      <c r="A17" s="28"/>
      <c r="B17" s="35" t="s">
        <v>21</v>
      </c>
      <c r="C17" s="35" t="s">
        <v>22</v>
      </c>
      <c r="D17" s="35" t="s">
        <v>23</v>
      </c>
      <c r="E17" s="35" t="s">
        <v>24</v>
      </c>
      <c r="F17" s="36" t="s">
        <v>25</v>
      </c>
      <c r="G17" s="36"/>
      <c r="H17" s="28"/>
    </row>
    <row r="18" customFormat="false" ht="36" hidden="false" customHeight="true" outlineLevel="0" collapsed="false">
      <c r="A18" s="28"/>
      <c r="B18" s="37" t="s">
        <v>26</v>
      </c>
      <c r="C18" s="37" t="s">
        <v>27</v>
      </c>
      <c r="D18" s="37" t="s">
        <v>28</v>
      </c>
      <c r="E18" s="37" t="s">
        <v>29</v>
      </c>
      <c r="F18" s="36"/>
      <c r="G18" s="36"/>
      <c r="H18" s="28"/>
    </row>
    <row r="19" customFormat="false" ht="21.75" hidden="false" customHeight="true" outlineLevel="0" collapsed="false">
      <c r="A19" s="28"/>
      <c r="B19" s="38" t="s">
        <v>30</v>
      </c>
      <c r="C19" s="38" t="s">
        <v>31</v>
      </c>
      <c r="D19" s="38" t="s">
        <v>32</v>
      </c>
      <c r="E19" s="38" t="s">
        <v>33</v>
      </c>
      <c r="F19" s="36"/>
      <c r="G19" s="36"/>
      <c r="H19" s="28"/>
    </row>
    <row r="20" customFormat="false" ht="18" hidden="false" customHeight="true" outlineLevel="0" collapsed="false">
      <c r="A20" s="28"/>
      <c r="B20" s="39" t="s">
        <v>34</v>
      </c>
      <c r="C20" s="39" t="s">
        <v>35</v>
      </c>
      <c r="D20" s="39" t="s">
        <v>36</v>
      </c>
      <c r="E20" s="39" t="s">
        <v>37</v>
      </c>
      <c r="F20" s="36"/>
      <c r="G20" s="36"/>
      <c r="H20" s="28"/>
    </row>
    <row r="21" customFormat="false" ht="18" hidden="false" customHeight="true" outlineLevel="0" collapsed="false">
      <c r="A21" s="28"/>
      <c r="B21" s="39" t="s">
        <v>38</v>
      </c>
      <c r="C21" s="39" t="s">
        <v>39</v>
      </c>
      <c r="D21" s="40" t="s">
        <v>40</v>
      </c>
      <c r="E21" s="41" t="s">
        <v>41</v>
      </c>
      <c r="F21" s="36"/>
      <c r="G21" s="36"/>
      <c r="H21" s="28"/>
    </row>
    <row r="22" customFormat="false" ht="24" hidden="false" customHeight="true" outlineLevel="0" collapsed="false">
      <c r="A22" s="28"/>
      <c r="B22" s="29" t="s">
        <v>42</v>
      </c>
      <c r="C22" s="29"/>
      <c r="D22" s="29"/>
      <c r="E22" s="29"/>
      <c r="F22" s="29"/>
      <c r="G22" s="29"/>
      <c r="H22" s="28"/>
    </row>
    <row r="23" customFormat="false" ht="21.75" hidden="false" customHeight="true" outlineLevel="0" collapsed="false">
      <c r="B23" s="42" t="s">
        <v>43</v>
      </c>
      <c r="C23" s="43" t="s">
        <v>44</v>
      </c>
      <c r="D23" s="42" t="s">
        <v>45</v>
      </c>
      <c r="E23" s="44" t="s">
        <v>46</v>
      </c>
      <c r="F23" s="44" t="s">
        <v>47</v>
      </c>
      <c r="G23" s="43" t="s">
        <v>48</v>
      </c>
    </row>
    <row r="24" customFormat="false" ht="21.75" hidden="false" customHeight="true" outlineLevel="0" collapsed="false">
      <c r="A24" s="28"/>
      <c r="B24" s="45" t="n">
        <f aca="false">IFERROR(INDEX($U$200:$AR$224,1,VLOOKUP($C$15,$I$100:$T$103,12,FALSE())+1),"")</f>
        <v>1</v>
      </c>
      <c r="C24" s="46" t="str">
        <f aca="false">IFERROR(INDEX($U$200:$AR$224,1,VLOOKUP($C$15,$I$100:$T$103,12,FALSE())+2),"")</f>
        <v>Mattress Firm / Synchrony Home</v>
      </c>
      <c r="D24" s="47" t="n">
        <f aca="false">IFERROR(INDEX($U$200:$AR$224,1,VLOOKUP($C$15,$I$100:$T$103,12,FALSE())+3),"")</f>
        <v>46143</v>
      </c>
      <c r="E24" s="48" t="n">
        <f aca="false">IFERROR(INDEX($U$200:$AR$224,1,VLOOKUP($C$15,$I$100:$T$103,12,FALSE())+4),"")</f>
        <v>1583.49</v>
      </c>
      <c r="F24" s="49" t="n">
        <f aca="false">IFERROR(INDEX($U$200:$AR$224,1,VLOOKUP($C$15,$I$100:$T$103,12,FALSE())+5),"")</f>
        <v>1712.49</v>
      </c>
      <c r="G24" s="50" t="str">
        <f aca="false">IFERROR(INDEX($U$200:$AR$224,1,VLOOKUP($C$15,$I$100:$T$103,12,FALSE())+6),"")</f>
        <v>First win! Frees up $129/mo.</v>
      </c>
      <c r="H24" s="28"/>
    </row>
    <row r="25" customFormat="false" ht="21.75" hidden="false" customHeight="true" outlineLevel="0" collapsed="false">
      <c r="A25" s="28"/>
      <c r="B25" s="51" t="n">
        <f aca="false">IFERROR(INDEX($U$200:$AR$224,2,VLOOKUP($C$15,$I$100:$T$103,12,FALSE())+1),"")</f>
        <v>2</v>
      </c>
      <c r="C25" s="52" t="str">
        <f aca="false">IFERROR(INDEX($U$200:$AR$224,2,VLOOKUP($C$15,$I$100:$T$103,12,FALSE())+2),"")</f>
        <v>Ashley Furniture / Synchrony</v>
      </c>
      <c r="D25" s="53" t="n">
        <f aca="false">IFERROR(INDEX($U$200:$AR$224,2,VLOOKUP($C$15,$I$100:$T$103,12,FALSE())+3),"")</f>
        <v>46143</v>
      </c>
      <c r="E25" s="54" t="n">
        <f aca="false">IFERROR(INDEX($U$200:$AR$224,2,VLOOKUP($C$15,$I$100:$T$103,12,FALSE())+4),"")</f>
        <v>933.82</v>
      </c>
      <c r="F25" s="55" t="n">
        <f aca="false">IFERROR(INDEX($U$200:$AR$224,2,VLOOKUP($C$15,$I$100:$T$103,12,FALSE())+5),"")</f>
        <v>966.82</v>
      </c>
      <c r="G25" s="56" t="str">
        <f aca="false">IFERROR(INDEX($U$200:$AR$224,2,VLOOKUP($C$15,$I$100:$T$103,12,FALSE())+6),"")</f>
        <v>Same-month kill! +$33/mo.</v>
      </c>
      <c r="H25" s="28"/>
    </row>
    <row r="26" customFormat="false" ht="21.75" hidden="false" customHeight="true" outlineLevel="0" collapsed="false">
      <c r="A26" s="28"/>
      <c r="B26" s="57" t="n">
        <f aca="false">IFERROR(INDEX($U$200:$AR$224,3,VLOOKUP($C$15,$I$100:$T$103,12,FALSE())+1),"")</f>
        <v>3</v>
      </c>
      <c r="C26" s="58" t="str">
        <f aca="false">IFERROR(INDEX($U$200:$AR$224,3,VLOOKUP($C$15,$I$100:$T$103,12,FALSE())+2),"")</f>
        <v>Best Buy / Citi</v>
      </c>
      <c r="D26" s="59" t="n">
        <f aca="false">IFERROR(INDEX($U$200:$AR$224,3,VLOOKUP($C$15,$I$100:$T$103,12,FALSE())+3),"")</f>
        <v>46174</v>
      </c>
      <c r="E26" s="60" t="n">
        <f aca="false">IFERROR(INDEX($U$200:$AR$224,3,VLOOKUP($C$15,$I$100:$T$103,12,FALSE())+4),"")</f>
        <v>1200</v>
      </c>
      <c r="F26" s="61" t="n">
        <f aca="false">IFERROR(INDEX($U$200:$AR$224,3,VLOOKUP($C$15,$I$100:$T$103,12,FALSE())+5),"")</f>
        <v>1229</v>
      </c>
      <c r="G26" s="62" t="str">
        <f aca="false">IFERROR(INDEX($U$200:$AR$224,3,VLOOKUP($C$15,$I$100:$T$103,12,FALSE())+6),"")</f>
        <v>+$29/mo to next attack.</v>
      </c>
      <c r="H26" s="28"/>
    </row>
    <row r="27" customFormat="false" ht="21.75" hidden="false" customHeight="true" outlineLevel="0" collapsed="false">
      <c r="A27" s="28"/>
      <c r="B27" s="51" t="n">
        <f aca="false">IFERROR(INDEX($U$200:$AR$224,4,VLOOKUP($C$15,$I$100:$T$103,12,FALSE())+1),"")</f>
        <v>4</v>
      </c>
      <c r="C27" s="52" t="str">
        <f aca="false">IFERROR(INDEX($U$200:$AR$224,4,VLOOKUP($C$15,$I$100:$T$103,12,FALSE())+2),"")</f>
        <v>Capital One Platinum</v>
      </c>
      <c r="D27" s="53" t="n">
        <f aca="false">IFERROR(INDEX($U$200:$AR$224,4,VLOOKUP($C$15,$I$100:$T$103,12,FALSE())+3),"")</f>
        <v>46204</v>
      </c>
      <c r="E27" s="54" t="n">
        <f aca="false">IFERROR(INDEX($U$200:$AR$224,4,VLOOKUP($C$15,$I$100:$T$103,12,FALSE())+4),"")</f>
        <v>5930.94</v>
      </c>
      <c r="F27" s="55" t="n">
        <f aca="false">IFERROR(INDEX($U$200:$AR$224,4,VLOOKUP($C$15,$I$100:$T$103,12,FALSE())+5),"")</f>
        <v>6130.94</v>
      </c>
      <c r="G27" s="56" t="str">
        <f aca="false">IFERROR(INDEX($U$200:$AR$224,4,VLOOKUP($C$15,$I$100:$T$103,12,FALSE())+6),"")</f>
        <v>Big payoff — $200/mo joins war chest.</v>
      </c>
      <c r="H27" s="28"/>
    </row>
    <row r="28" customFormat="false" ht="21.75" hidden="false" customHeight="true" outlineLevel="0" collapsed="false">
      <c r="A28" s="28"/>
      <c r="B28" s="57" t="n">
        <f aca="false">IFERROR(INDEX($U$200:$AR$224,5,VLOOKUP($C$15,$I$100:$T$103,12,FALSE())+1),"")</f>
        <v>5</v>
      </c>
      <c r="C28" s="58" t="str">
        <f aca="false">IFERROR(INDEX($U$200:$AR$224,5,VLOOKUP($C$15,$I$100:$T$103,12,FALSE())+2),"")</f>
        <v>Amex Delta SkyMiles Gold</v>
      </c>
      <c r="D28" s="59" t="n">
        <f aca="false">IFERROR(INDEX($U$200:$AR$224,5,VLOOKUP($C$15,$I$100:$T$103,12,FALSE())+3),"")</f>
        <v>46266</v>
      </c>
      <c r="E28" s="60" t="n">
        <f aca="false">IFERROR(INDEX($U$200:$AR$224,5,VLOOKUP($C$15,$I$100:$T$103,12,FALSE())+4),"")</f>
        <v>7294.06</v>
      </c>
      <c r="F28" s="61" t="n">
        <f aca="false">IFERROR(INDEX($U$200:$AR$224,5,VLOOKUP($C$15,$I$100:$T$103,12,FALSE())+5),"")</f>
        <v>7499.93</v>
      </c>
      <c r="G28" s="62" t="str">
        <f aca="false">IFERROR(INDEX($U$200:$AR$224,5,VLOOKUP($C$15,$I$100:$T$103,12,FALSE())+6),"")</f>
        <v>Big payoff — $206/mo joins war chest.</v>
      </c>
      <c r="H28" s="28"/>
    </row>
    <row r="29" customFormat="false" ht="21.75" hidden="false" customHeight="true" outlineLevel="0" collapsed="false">
      <c r="A29" s="28"/>
      <c r="B29" s="51" t="n">
        <f aca="false">IFERROR(INDEX($U$200:$AR$224,6,VLOOKUP($C$15,$I$100:$T$103,12,FALSE())+1),"")</f>
        <v>6</v>
      </c>
      <c r="C29" s="52" t="str">
        <f aca="false">IFERROR(INDEX($U$200:$AR$224,6,VLOOKUP($C$15,$I$100:$T$103,12,FALSE())+2),"")</f>
        <v>Menards Big Card (Cap One)</v>
      </c>
      <c r="D29" s="53" t="n">
        <f aca="false">IFERROR(INDEX($U$200:$AR$224,6,VLOOKUP($C$15,$I$100:$T$103,12,FALSE())+3),"")</f>
        <v>46296</v>
      </c>
      <c r="E29" s="54" t="n">
        <f aca="false">IFERROR(INDEX($U$200:$AR$224,6,VLOOKUP($C$15,$I$100:$T$103,12,FALSE())+4),"")</f>
        <v>2758.32</v>
      </c>
      <c r="F29" s="55" t="n">
        <f aca="false">IFERROR(INDEX($U$200:$AR$224,6,VLOOKUP($C$15,$I$100:$T$103,12,FALSE())+5),"")</f>
        <v>2850.32</v>
      </c>
      <c r="G29" s="56" t="str">
        <f aca="false">IFERROR(INDEX($U$200:$AR$224,6,VLOOKUP($C$15,$I$100:$T$103,12,FALSE())+6),"")</f>
        <v>+$92/mo to next attack.</v>
      </c>
      <c r="H29" s="28"/>
    </row>
    <row r="30" customFormat="false" ht="21.75" hidden="false" customHeight="true" outlineLevel="0" collapsed="false">
      <c r="A30" s="28"/>
      <c r="B30" s="57" t="n">
        <f aca="false">IFERROR(INDEX($U$200:$AR$224,7,VLOOKUP($C$15,$I$100:$T$103,12,FALSE())+1),"")</f>
        <v>7</v>
      </c>
      <c r="C30" s="58" t="str">
        <f aca="false">IFERROR(INDEX($U$200:$AR$224,7,VLOOKUP($C$15,$I$100:$T$103,12,FALSE())+2),"")</f>
        <v>Amex Platinum (Pay Over Time)</v>
      </c>
      <c r="D30" s="59" t="n">
        <f aca="false">IFERROR(INDEX($U$200:$AR$224,7,VLOOKUP($C$15,$I$100:$T$103,12,FALSE())+3),"")</f>
        <v>46296</v>
      </c>
      <c r="E30" s="60" t="n">
        <f aca="false">IFERROR(INDEX($U$200:$AR$224,7,VLOOKUP($C$15,$I$100:$T$103,12,FALSE())+4),"")</f>
        <v>1406.09</v>
      </c>
      <c r="F30" s="61" t="n">
        <f aca="false">IFERROR(INDEX($U$200:$AR$224,7,VLOOKUP($C$15,$I$100:$T$103,12,FALSE())+5),"")</f>
        <v>1446.09</v>
      </c>
      <c r="G30" s="62" t="str">
        <f aca="false">IFERROR(INDEX($U$200:$AR$224,7,VLOOKUP($C$15,$I$100:$T$103,12,FALSE())+6),"")</f>
        <v>Same-month kill! +$40/mo.</v>
      </c>
      <c r="H30" s="28"/>
    </row>
    <row r="31" customFormat="false" ht="21.75" hidden="false" customHeight="true" outlineLevel="0" collapsed="false">
      <c r="A31" s="28"/>
      <c r="B31" s="51" t="n">
        <f aca="false">IFERROR(INDEX($U$200:$AR$224,8,VLOOKUP($C$15,$I$100:$T$103,12,FALSE())+1),"")</f>
        <v>8</v>
      </c>
      <c r="C31" s="52" t="str">
        <f aca="false">IFERROR(INDEX($U$200:$AR$224,8,VLOOKUP($C$15,$I$100:$T$103,12,FALSE())+2),"")</f>
        <v>Affirm — Best Buy (Dec)</v>
      </c>
      <c r="D31" s="53" t="n">
        <f aca="false">IFERROR(INDEX($U$200:$AR$224,8,VLOOKUP($C$15,$I$100:$T$103,12,FALSE())+3),"")</f>
        <v>46327</v>
      </c>
      <c r="E31" s="54" t="n">
        <f aca="false">IFERROR(INDEX($U$200:$AR$224,8,VLOOKUP($C$15,$I$100:$T$103,12,FALSE())+4),"")</f>
        <v>3020.12</v>
      </c>
      <c r="F31" s="55" t="n">
        <f aca="false">IFERROR(INDEX($U$200:$AR$224,8,VLOOKUP($C$15,$I$100:$T$103,12,FALSE())+5),"")</f>
        <v>3171.13</v>
      </c>
      <c r="G31" s="56" t="str">
        <f aca="false">IFERROR(INDEX($U$200:$AR$224,8,VLOOKUP($C$15,$I$100:$T$103,12,FALSE())+6),"")</f>
        <v>+$151/mo to next attack.</v>
      </c>
      <c r="H31" s="28"/>
    </row>
    <row r="32" customFormat="false" ht="21.75" hidden="false" customHeight="true" outlineLevel="0" collapsed="false">
      <c r="A32" s="28"/>
      <c r="B32" s="57" t="n">
        <f aca="false">IFERROR(INDEX($U$200:$AR$224,9,VLOOKUP($C$15,$I$100:$T$103,12,FALSE())+1),"")</f>
        <v>9</v>
      </c>
      <c r="C32" s="58" t="str">
        <f aca="false">IFERROR(INDEX($U$200:$AR$224,9,VLOOKUP($C$15,$I$100:$T$103,12,FALSE())+2),"")</f>
        <v>Capital One Quicksilver</v>
      </c>
      <c r="D32" s="59" t="n">
        <f aca="false">IFERROR(INDEX($U$200:$AR$224,9,VLOOKUP($C$15,$I$100:$T$103,12,FALSE())+3),"")</f>
        <v>46327</v>
      </c>
      <c r="E32" s="60" t="n">
        <f aca="false">IFERROR(INDEX($U$200:$AR$224,9,VLOOKUP($C$15,$I$100:$T$103,12,FALSE())+4),"")</f>
        <v>1169.64</v>
      </c>
      <c r="F32" s="61" t="n">
        <f aca="false">IFERROR(INDEX($U$200:$AR$224,9,VLOOKUP($C$15,$I$100:$T$103,12,FALSE())+5),"")</f>
        <v>1207.64</v>
      </c>
      <c r="G32" s="62" t="str">
        <f aca="false">IFERROR(INDEX($U$200:$AR$224,9,VLOOKUP($C$15,$I$100:$T$103,12,FALSE())+6),"")</f>
        <v>Same-month kill! +$38/mo.</v>
      </c>
      <c r="H32" s="28"/>
    </row>
    <row r="33" customFormat="false" ht="21.75" hidden="false" customHeight="true" outlineLevel="0" collapsed="false">
      <c r="A33" s="28"/>
      <c r="B33" s="51" t="n">
        <f aca="false">IFERROR(INDEX($U$200:$AR$224,10,VLOOKUP($C$15,$I$100:$T$103,12,FALSE())+1),"")</f>
        <v>10</v>
      </c>
      <c r="C33" s="52" t="str">
        <f aca="false">IFERROR(INDEX($U$200:$AR$224,10,VLOOKUP($C$15,$I$100:$T$103,12,FALSE())+2),"")</f>
        <v>Affirm — Best Buy (Feb)</v>
      </c>
      <c r="D33" s="53" t="n">
        <f aca="false">IFERROR(INDEX($U$200:$AR$224,10,VLOOKUP($C$15,$I$100:$T$103,12,FALSE())+3),"")</f>
        <v>46327</v>
      </c>
      <c r="E33" s="54" t="n">
        <f aca="false">IFERROR(INDEX($U$200:$AR$224,10,VLOOKUP($C$15,$I$100:$T$103,12,FALSE())+4),"")</f>
        <v>1160.62</v>
      </c>
      <c r="F33" s="55" t="n">
        <f aca="false">IFERROR(INDEX($U$200:$AR$224,10,VLOOKUP($C$15,$I$100:$T$103,12,FALSE())+5),"")</f>
        <v>1233.16</v>
      </c>
      <c r="G33" s="56" t="str">
        <f aca="false">IFERROR(INDEX($U$200:$AR$224,10,VLOOKUP($C$15,$I$100:$T$103,12,FALSE())+6),"")</f>
        <v>Same-month kill! +$73/mo.</v>
      </c>
      <c r="H33" s="28"/>
    </row>
    <row r="34" customFormat="false" ht="21.75" hidden="false" customHeight="true" outlineLevel="0" collapsed="false">
      <c r="A34" s="28"/>
      <c r="B34" s="57" t="n">
        <f aca="false">IFERROR(INDEX($U$200:$AR$224,11,VLOOKUP($C$15,$I$100:$T$103,12,FALSE())+1),"")</f>
        <v>11</v>
      </c>
      <c r="C34" s="58" t="str">
        <f aca="false">IFERROR(INDEX($U$200:$AR$224,11,VLOOKUP($C$15,$I$100:$T$103,12,FALSE())+2),"")</f>
        <v>Affirm — Shady Rays</v>
      </c>
      <c r="D34" s="59" t="n">
        <f aca="false">IFERROR(INDEX($U$200:$AR$224,11,VLOOKUP($C$15,$I$100:$T$103,12,FALSE())+3),"")</f>
        <v>46327</v>
      </c>
      <c r="E34" s="60" t="n">
        <f aca="false">IFERROR(INDEX($U$200:$AR$224,11,VLOOKUP($C$15,$I$100:$T$103,12,FALSE())+4),"")</f>
        <v>114.71</v>
      </c>
      <c r="F34" s="61" t="n">
        <f aca="false">IFERROR(INDEX($U$200:$AR$224,11,VLOOKUP($C$15,$I$100:$T$103,12,FALSE())+5),"")</f>
        <v>133.82</v>
      </c>
      <c r="G34" s="62" t="str">
        <f aca="false">IFERROR(INDEX($U$200:$AR$224,11,VLOOKUP($C$15,$I$100:$T$103,12,FALSE())+6),"")</f>
        <v>Same-month kill! +$19/mo.</v>
      </c>
      <c r="H34" s="28"/>
    </row>
    <row r="35" customFormat="false" ht="21.75" hidden="false" customHeight="true" outlineLevel="0" collapsed="false">
      <c r="A35" s="28"/>
      <c r="B35" s="51" t="n">
        <f aca="false">IFERROR(INDEX($U$200:$AR$224,12,VLOOKUP($C$15,$I$100:$T$103,12,FALSE())+1),"")</f>
        <v>12</v>
      </c>
      <c r="C35" s="52" t="str">
        <f aca="false">IFERROR(INDEX($U$200:$AR$224,12,VLOOKUP($C$15,$I$100:$T$103,12,FALSE())+2),"")</f>
        <v>Discover</v>
      </c>
      <c r="D35" s="53" t="n">
        <f aca="false">IFERROR(INDEX($U$200:$AR$224,12,VLOOKUP($C$15,$I$100:$T$103,12,FALSE())+3),"")</f>
        <v>46357</v>
      </c>
      <c r="E35" s="54" t="n">
        <f aca="false">IFERROR(INDEX($U$200:$AR$224,12,VLOOKUP($C$15,$I$100:$T$103,12,FALSE())+4),"")</f>
        <v>2758</v>
      </c>
      <c r="F35" s="55" t="n">
        <f aca="false">IFERROR(INDEX($U$200:$AR$224,12,VLOOKUP($C$15,$I$100:$T$103,12,FALSE())+5),"")</f>
        <v>2838</v>
      </c>
      <c r="G35" s="56" t="str">
        <f aca="false">IFERROR(INDEX($U$200:$AR$224,12,VLOOKUP($C$15,$I$100:$T$103,12,FALSE())+6),"")</f>
        <v>+$80/mo to next attack.</v>
      </c>
      <c r="H35" s="28"/>
    </row>
    <row r="36" customFormat="false" ht="21.75" hidden="false" customHeight="true" outlineLevel="0" collapsed="false">
      <c r="A36" s="28"/>
      <c r="B36" s="57" t="n">
        <f aca="false">IFERROR(INDEX($U$200:$AR$224,13,VLOOKUP($C$15,$I$100:$T$103,12,FALSE())+1),"")</f>
        <v>13</v>
      </c>
      <c r="C36" s="58" t="str">
        <f aca="false">IFERROR(INDEX($U$200:$AR$224,13,VLOOKUP($C$15,$I$100:$T$103,12,FALSE())+2),"")</f>
        <v>Credit One Bank</v>
      </c>
      <c r="D36" s="59" t="n">
        <f aca="false">IFERROR(INDEX($U$200:$AR$224,13,VLOOKUP($C$15,$I$100:$T$103,12,FALSE())+3),"")</f>
        <v>46357</v>
      </c>
      <c r="E36" s="60" t="n">
        <f aca="false">IFERROR(INDEX($U$200:$AR$224,13,VLOOKUP($C$15,$I$100:$T$103,12,FALSE())+4),"")</f>
        <v>300</v>
      </c>
      <c r="F36" s="61" t="n">
        <f aca="false">IFERROR(INDEX($U$200:$AR$224,13,VLOOKUP($C$15,$I$100:$T$103,12,FALSE())+5),"")</f>
        <v>308.25</v>
      </c>
      <c r="G36" s="62" t="str">
        <f aca="false">IFERROR(INDEX($U$200:$AR$224,13,VLOOKUP($C$15,$I$100:$T$103,12,FALSE())+6),"")</f>
        <v>Same-month kill! +$8/mo.</v>
      </c>
      <c r="H36" s="28"/>
    </row>
    <row r="37" customFormat="false" ht="21.75" hidden="false" customHeight="true" outlineLevel="0" collapsed="false">
      <c r="A37" s="28"/>
      <c r="B37" s="51" t="n">
        <f aca="false">IFERROR(INDEX($U$200:$AR$224,14,VLOOKUP($C$15,$I$100:$T$103,12,FALSE())+1),"")</f>
        <v>14</v>
      </c>
      <c r="C37" s="52" t="str">
        <f aca="false">IFERROR(INDEX($U$200:$AR$224,14,VLOOKUP($C$15,$I$100:$T$103,12,FALSE())+2),"")</f>
        <v>PayPal Credit (Hannah) / Synchrony</v>
      </c>
      <c r="D37" s="53" t="n">
        <f aca="false">IFERROR(INDEX($U$200:$AR$224,14,VLOOKUP($C$15,$I$100:$T$103,12,FALSE())+3),"")</f>
        <v>46357</v>
      </c>
      <c r="E37" s="54" t="n">
        <f aca="false">IFERROR(INDEX($U$200:$AR$224,14,VLOOKUP($C$15,$I$100:$T$103,12,FALSE())+4),"")</f>
        <v>3116.13</v>
      </c>
      <c r="F37" s="55" t="n">
        <f aca="false">IFERROR(INDEX($U$200:$AR$224,14,VLOOKUP($C$15,$I$100:$T$103,12,FALSE())+5),"")</f>
        <v>3215.13</v>
      </c>
      <c r="G37" s="56" t="str">
        <f aca="false">IFERROR(INDEX($U$200:$AR$224,14,VLOOKUP($C$15,$I$100:$T$103,12,FALSE())+6),"")</f>
        <v>Same-month kill! +$99/mo.</v>
      </c>
      <c r="H37" s="28"/>
    </row>
    <row r="38" customFormat="false" ht="21.75" hidden="false" customHeight="true" outlineLevel="0" collapsed="false">
      <c r="A38" s="28"/>
      <c r="B38" s="57" t="n">
        <f aca="false">IFERROR(INDEX($U$200:$AR$224,15,VLOOKUP($C$15,$I$100:$T$103,12,FALSE())+1),"")</f>
        <v>15</v>
      </c>
      <c r="C38" s="58" t="str">
        <f aca="false">IFERROR(INDEX($U$200:$AR$224,15,VLOOKUP($C$15,$I$100:$T$103,12,FALSE())+2),"")</f>
        <v>PayPal Credit (Brad) / Synchrony</v>
      </c>
      <c r="D38" s="59" t="n">
        <f aca="false">IFERROR(INDEX($U$200:$AR$224,15,VLOOKUP($C$15,$I$100:$T$103,12,FALSE())+3),"")</f>
        <v>46388</v>
      </c>
      <c r="E38" s="60" t="n">
        <f aca="false">IFERROR(INDEX($U$200:$AR$224,15,VLOOKUP($C$15,$I$100:$T$103,12,FALSE())+4),"")</f>
        <v>1570.31</v>
      </c>
      <c r="F38" s="61" t="n">
        <f aca="false">IFERROR(INDEX($U$200:$AR$224,15,VLOOKUP($C$15,$I$100:$T$103,12,FALSE())+5),"")</f>
        <v>1614.31</v>
      </c>
      <c r="G38" s="62" t="str">
        <f aca="false">IFERROR(INDEX($U$200:$AR$224,15,VLOOKUP($C$15,$I$100:$T$103,12,FALSE())+6),"")</f>
        <v>+$44/mo to next attack.</v>
      </c>
      <c r="H38" s="28"/>
    </row>
    <row r="39" customFormat="false" ht="21.75" hidden="false" customHeight="true" outlineLevel="0" collapsed="false">
      <c r="A39" s="28"/>
      <c r="B39" s="51" t="n">
        <f aca="false">IFERROR(INDEX($U$200:$AR$224,16,VLOOKUP($C$15,$I$100:$T$103,12,FALSE())+1),"")</f>
        <v>16</v>
      </c>
      <c r="C39" s="52" t="str">
        <f aca="false">IFERROR(INDEX($U$200:$AR$224,16,VLOOKUP($C$15,$I$100:$T$103,12,FALSE())+2),"")</f>
        <v>Amex Blue Cash Preferred</v>
      </c>
      <c r="D39" s="53" t="n">
        <f aca="false">IFERROR(INDEX($U$200:$AR$224,16,VLOOKUP($C$15,$I$100:$T$103,12,FALSE())+3),"")</f>
        <v>46388</v>
      </c>
      <c r="E39" s="54" t="n">
        <f aca="false">IFERROR(INDEX($U$200:$AR$224,16,VLOOKUP($C$15,$I$100:$T$103,12,FALSE())+4),"")</f>
        <v>1015.61</v>
      </c>
      <c r="F39" s="55" t="n">
        <f aca="false">IFERROR(INDEX($U$200:$AR$224,16,VLOOKUP($C$15,$I$100:$T$103,12,FALSE())+5),"")</f>
        <v>1055.61</v>
      </c>
      <c r="G39" s="56" t="str">
        <f aca="false">IFERROR(INDEX($U$200:$AR$224,16,VLOOKUP($C$15,$I$100:$T$103,12,FALSE())+6),"")</f>
        <v>Same-month kill! +$40/mo.</v>
      </c>
      <c r="H39" s="28"/>
    </row>
    <row r="40" customFormat="false" ht="21.75" hidden="false" customHeight="true" outlineLevel="0" collapsed="false">
      <c r="A40" s="28"/>
      <c r="B40" s="57" t="n">
        <f aca="false">IFERROR(INDEX($U$200:$AR$224,17,VLOOKUP($C$15,$I$100:$T$103,12,FALSE())+1),"")</f>
        <v>17</v>
      </c>
      <c r="C40" s="58" t="str">
        <f aca="false">IFERROR(INDEX($U$200:$AR$224,17,VLOOKUP($C$15,$I$100:$T$103,12,FALSE())+2),"")</f>
        <v>Chase Amazon Prime Visa</v>
      </c>
      <c r="D40" s="59" t="n">
        <f aca="false">IFERROR(INDEX($U$200:$AR$224,17,VLOOKUP($C$15,$I$100:$T$103,12,FALSE())+3),"")</f>
        <v>46388</v>
      </c>
      <c r="E40" s="60" t="n">
        <f aca="false">IFERROR(INDEX($U$200:$AR$224,17,VLOOKUP($C$15,$I$100:$T$103,12,FALSE())+4),"")</f>
        <v>654.42</v>
      </c>
      <c r="F40" s="61" t="n">
        <f aca="false">IFERROR(INDEX($U$200:$AR$224,17,VLOOKUP($C$15,$I$100:$T$103,12,FALSE())+5),"")</f>
        <v>708.41</v>
      </c>
      <c r="G40" s="62" t="str">
        <f aca="false">IFERROR(INDEX($U$200:$AR$224,17,VLOOKUP($C$15,$I$100:$T$103,12,FALSE())+6),"")</f>
        <v>Same-month kill! +$54/mo.</v>
      </c>
      <c r="H40" s="28"/>
    </row>
    <row r="41" customFormat="false" ht="21.75" hidden="false" customHeight="true" outlineLevel="0" collapsed="false">
      <c r="A41" s="28"/>
      <c r="B41" s="51" t="n">
        <f aca="false">IFERROR(INDEX($U$200:$AR$224,18,VLOOKUP($C$15,$I$100:$T$103,12,FALSE())+1),"")</f>
        <v>18</v>
      </c>
      <c r="C41" s="52" t="str">
        <f aca="false">IFERROR(INDEX($U$200:$AR$224,18,VLOOKUP($C$15,$I$100:$T$103,12,FALSE())+2),"")</f>
        <v>Apple Card (Goldman Sachs)</v>
      </c>
      <c r="D41" s="53" t="n">
        <f aca="false">IFERROR(INDEX($U$200:$AR$224,18,VLOOKUP($C$15,$I$100:$T$103,12,FALSE())+3),"")</f>
        <v>46419</v>
      </c>
      <c r="E41" s="54" t="n">
        <f aca="false">IFERROR(INDEX($U$200:$AR$224,18,VLOOKUP($C$15,$I$100:$T$103,12,FALSE())+4),"")</f>
        <v>7477.57</v>
      </c>
      <c r="F41" s="55" t="n">
        <f aca="false">IFERROR(INDEX($U$200:$AR$224,18,VLOOKUP($C$15,$I$100:$T$103,12,FALSE())+5),"")</f>
        <v>7743.07</v>
      </c>
      <c r="G41" s="56" t="str">
        <f aca="false">IFERROR(INDEX($U$200:$AR$224,18,VLOOKUP($C$15,$I$100:$T$103,12,FALSE())+6),"")</f>
        <v>Big payoff — $266/mo joins war chest.</v>
      </c>
      <c r="H41" s="28"/>
    </row>
    <row r="42" customFormat="false" ht="21.75" hidden="false" customHeight="true" outlineLevel="0" collapsed="false">
      <c r="A42" s="28"/>
      <c r="B42" s="57" t="n">
        <f aca="false">IFERROR(INDEX($U$200:$AR$224,19,VLOOKUP($C$15,$I$100:$T$103,12,FALSE())+1),"")</f>
        <v>19</v>
      </c>
      <c r="C42" s="58" t="str">
        <f aca="false">IFERROR(INDEX($U$200:$AR$224,19,VLOOKUP($C$15,$I$100:$T$103,12,FALSE())+2),"")</f>
        <v>Affirm — Ridge</v>
      </c>
      <c r="D42" s="59" t="n">
        <f aca="false">IFERROR(INDEX($U$200:$AR$224,19,VLOOKUP($C$15,$I$100:$T$103,12,FALSE())+3),"")</f>
        <v>46419</v>
      </c>
      <c r="E42" s="60" t="n">
        <f aca="false">IFERROR(INDEX($U$200:$AR$224,19,VLOOKUP($C$15,$I$100:$T$103,12,FALSE())+4),"")</f>
        <v>504.15</v>
      </c>
      <c r="F42" s="61" t="n">
        <f aca="false">IFERROR(INDEX($U$200:$AR$224,19,VLOOKUP($C$15,$I$100:$T$103,12,FALSE())+5),"")</f>
        <v>560.17</v>
      </c>
      <c r="G42" s="62" t="str">
        <f aca="false">IFERROR(INDEX($U$200:$AR$224,19,VLOOKUP($C$15,$I$100:$T$103,12,FALSE())+6),"")</f>
        <v>Same-month kill! +$56/mo.</v>
      </c>
      <c r="H42" s="28"/>
    </row>
    <row r="43" customFormat="false" ht="21.75" hidden="false" customHeight="true" outlineLevel="0" collapsed="false">
      <c r="A43" s="28"/>
      <c r="B43" s="51" t="n">
        <f aca="false">IFERROR(INDEX($U$200:$AR$224,20,VLOOKUP($C$15,$I$100:$T$103,12,FALSE())+1),"")</f>
        <v>20</v>
      </c>
      <c r="C43" s="52" t="str">
        <f aca="false">IFERROR(INDEX($U$200:$AR$224,20,VLOOKUP($C$15,$I$100:$T$103,12,FALSE())+2),"")</f>
        <v>Affirm — Target</v>
      </c>
      <c r="D43" s="53" t="n">
        <f aca="false">IFERROR(INDEX($U$200:$AR$224,20,VLOOKUP($C$15,$I$100:$T$103,12,FALSE())+3),"")</f>
        <v>46419</v>
      </c>
      <c r="E43" s="54" t="n">
        <f aca="false">IFERROR(INDEX($U$200:$AR$224,20,VLOOKUP($C$15,$I$100:$T$103,12,FALSE())+4),"")</f>
        <v>183.47</v>
      </c>
      <c r="F43" s="55" t="n">
        <f aca="false">IFERROR(INDEX($U$200:$AR$224,20,VLOOKUP($C$15,$I$100:$T$103,12,FALSE())+5),"")</f>
        <v>203.85</v>
      </c>
      <c r="G43" s="56" t="str">
        <f aca="false">IFERROR(INDEX($U$200:$AR$224,20,VLOOKUP($C$15,$I$100:$T$103,12,FALSE())+6),"")</f>
        <v>Same-month kill! +$20/mo.</v>
      </c>
      <c r="H43" s="28"/>
    </row>
    <row r="44" customFormat="false" ht="21.75" hidden="false" customHeight="true" outlineLevel="0" collapsed="false">
      <c r="A44" s="28"/>
      <c r="B44" s="57" t="n">
        <f aca="false">IFERROR(INDEX($U$200:$AR$224,21,VLOOKUP($C$15,$I$100:$T$103,12,FALSE())+1),"")</f>
        <v>21</v>
      </c>
      <c r="C44" s="58" t="str">
        <f aca="false">IFERROR(INDEX($U$200:$AR$224,21,VLOOKUP($C$15,$I$100:$T$103,12,FALSE())+2),"")</f>
        <v>Affirm — Shokz</v>
      </c>
      <c r="D44" s="59" t="n">
        <f aca="false">IFERROR(INDEX($U$200:$AR$224,21,VLOOKUP($C$15,$I$100:$T$103,12,FALSE())+3),"")</f>
        <v>46419</v>
      </c>
      <c r="E44" s="60" t="n">
        <f aca="false">IFERROR(INDEX($U$200:$AR$224,21,VLOOKUP($C$15,$I$100:$T$103,12,FALSE())+4),"")</f>
        <v>182.14</v>
      </c>
      <c r="F44" s="61" t="n">
        <f aca="false">IFERROR(INDEX($U$200:$AR$224,21,VLOOKUP($C$15,$I$100:$T$103,12,FALSE())+5),"")</f>
        <v>200.36</v>
      </c>
      <c r="G44" s="62" t="str">
        <f aca="false">IFERROR(INDEX($U$200:$AR$224,21,VLOOKUP($C$15,$I$100:$T$103,12,FALSE())+6),"")</f>
        <v>Same-month kill! +$18/mo.</v>
      </c>
      <c r="H44" s="28"/>
    </row>
    <row r="45" customFormat="false" ht="21.75" hidden="false" customHeight="true" outlineLevel="0" collapsed="false">
      <c r="A45" s="28"/>
      <c r="B45" s="51" t="n">
        <f aca="false">IFERROR(INDEX($U$200:$AR$224,22,VLOOKUP($C$15,$I$100:$T$103,12,FALSE())+1),"")</f>
        <v>22</v>
      </c>
      <c r="C45" s="52" t="str">
        <f aca="false">IFERROR(INDEX($U$200:$AR$224,22,VLOOKUP($C$15,$I$100:$T$103,12,FALSE())+2),"")</f>
        <v>Upstart Loan</v>
      </c>
      <c r="D45" s="53" t="n">
        <f aca="false">IFERROR(INDEX($U$200:$AR$224,22,VLOOKUP($C$15,$I$100:$T$103,12,FALSE())+3),"")</f>
        <v>46539</v>
      </c>
      <c r="E45" s="54" t="n">
        <f aca="false">IFERROR(INDEX($U$200:$AR$224,22,VLOOKUP($C$15,$I$100:$T$103,12,FALSE())+4),"")</f>
        <v>32000</v>
      </c>
      <c r="F45" s="55" t="n">
        <f aca="false">IFERROR(INDEX($U$200:$AR$224,22,VLOOKUP($C$15,$I$100:$T$103,12,FALSE())+5),"")</f>
        <v>33309.17</v>
      </c>
      <c r="G45" s="56" t="str">
        <f aca="false">IFERROR(INDEX($U$200:$AR$224,22,VLOOKUP($C$15,$I$100:$T$103,12,FALSE())+6),"")</f>
        <v>Big payoff — $1309/mo joins war chest.</v>
      </c>
      <c r="H45" s="28"/>
    </row>
    <row r="46" customFormat="false" ht="21.75" hidden="false" customHeight="true" outlineLevel="0" collapsed="false">
      <c r="A46" s="28"/>
      <c r="B46" s="57" t="n">
        <f aca="false">IFERROR(INDEX($U$200:$AR$224,23,VLOOKUP($C$15,$I$100:$T$103,12,FALSE())+1),"")</f>
        <v>23</v>
      </c>
      <c r="C46" s="58" t="str">
        <f aca="false">IFERROR(INDEX($U$200:$AR$224,23,VLOOKUP($C$15,$I$100:$T$103,12,FALSE())+2),"")</f>
        <v>Affirm — Tonal</v>
      </c>
      <c r="D46" s="59" t="n">
        <f aca="false">IFERROR(INDEX($U$200:$AR$224,23,VLOOKUP($C$15,$I$100:$T$103,12,FALSE())+3),"")</f>
        <v>46539</v>
      </c>
      <c r="E46" s="60" t="n">
        <f aca="false">IFERROR(INDEX($U$200:$AR$224,23,VLOOKUP($C$15,$I$100:$T$103,12,FALSE())+4),"")</f>
        <v>4184.82</v>
      </c>
      <c r="F46" s="61" t="n">
        <f aca="false">IFERROR(INDEX($U$200:$AR$224,23,VLOOKUP($C$15,$I$100:$T$103,12,FALSE())+5),"")</f>
        <v>4324.32</v>
      </c>
      <c r="G46" s="62" t="str">
        <f aca="false">IFERROR(INDEX($U$200:$AR$224,23,VLOOKUP($C$15,$I$100:$T$103,12,FALSE())+6),"")</f>
        <v>Same-month kill! +$140/mo.</v>
      </c>
      <c r="H46" s="28"/>
    </row>
    <row r="47" customFormat="false" ht="21.75" hidden="false" customHeight="true" outlineLevel="0" collapsed="false">
      <c r="A47" s="28"/>
      <c r="B47" s="51" t="n">
        <f aca="false">IFERROR(INDEX($U$200:$AR$224,24,VLOOKUP($C$15,$I$100:$T$103,12,FALSE())+1),"")</f>
        <v>24</v>
      </c>
      <c r="C47" s="52" t="str">
        <f aca="false">IFERROR(INDEX($U$200:$AR$224,24,VLOOKUP($C$15,$I$100:$T$103,12,FALSE())+2),"")</f>
        <v>Affirm — Peloton</v>
      </c>
      <c r="D47" s="53" t="n">
        <f aca="false">IFERROR(INDEX($U$200:$AR$224,24,VLOOKUP($C$15,$I$100:$T$103,12,FALSE())+3),"")</f>
        <v>46569</v>
      </c>
      <c r="E47" s="54" t="n">
        <f aca="false">IFERROR(INDEX($U$200:$AR$224,24,VLOOKUP($C$15,$I$100:$T$103,12,FALSE())+4),"")</f>
        <v>3553.86</v>
      </c>
      <c r="F47" s="55" t="n">
        <f aca="false">IFERROR(INDEX($U$200:$AR$224,24,VLOOKUP($C$15,$I$100:$T$103,12,FALSE())+5),"")</f>
        <v>3661.61</v>
      </c>
      <c r="G47" s="56" t="str">
        <f aca="false">IFERROR(INDEX($U$200:$AR$224,24,VLOOKUP($C$15,$I$100:$T$103,12,FALSE())+6),"")</f>
        <v>+$108/mo to next attack.</v>
      </c>
      <c r="H47" s="28"/>
    </row>
    <row r="48" customFormat="false" ht="21.75" hidden="false" customHeight="true" outlineLevel="0" collapsed="false">
      <c r="A48" s="28"/>
      <c r="B48" s="57" t="n">
        <f aca="false">IFERROR(INDEX($U$200:$AR$224,25,VLOOKUP($C$15,$I$100:$T$103,12,FALSE())+1),"")</f>
        <v>25</v>
      </c>
      <c r="C48" s="58" t="str">
        <f aca="false">IFERROR(INDEX($U$200:$AR$224,25,VLOOKUP($C$15,$I$100:$T$103,12,FALSE())+2),"")</f>
        <v>Affirm — Amazon</v>
      </c>
      <c r="D48" s="59" t="n">
        <f aca="false">IFERROR(INDEX($U$200:$AR$224,25,VLOOKUP($C$15,$I$100:$T$103,12,FALSE())+3),"")</f>
        <v>46569</v>
      </c>
      <c r="E48" s="60" t="n">
        <f aca="false">IFERROR(INDEX($U$200:$AR$224,25,VLOOKUP($C$15,$I$100:$T$103,12,FALSE())+4),"")</f>
        <v>1069.37</v>
      </c>
      <c r="F48" s="61" t="n">
        <f aca="false">IFERROR(INDEX($U$200:$AR$224,25,VLOOKUP($C$15,$I$100:$T$103,12,FALSE())+5),"")</f>
        <v>1136.3</v>
      </c>
      <c r="G48" s="62" t="str">
        <f aca="false">IFERROR(INDEX($U$200:$AR$224,25,VLOOKUP($C$15,$I$100:$T$103,12,FALSE())+6),"")</f>
        <v>🎉 DEBT FREE!</v>
      </c>
      <c r="H48" s="28"/>
    </row>
    <row r="49" customFormat="false" ht="15" hidden="false" customHeight="true" outlineLevel="0" collapsed="false">
      <c r="A49" s="28"/>
      <c r="B49" s="28"/>
      <c r="C49" s="28"/>
      <c r="D49" s="28"/>
      <c r="E49" s="28"/>
      <c r="F49" s="28"/>
      <c r="G49" s="28"/>
      <c r="H49" s="28"/>
    </row>
    <row r="50" customFormat="false" ht="36" hidden="false" customHeight="true" outlineLevel="0" collapsed="false">
      <c r="A50" s="28"/>
      <c r="B50" s="28"/>
      <c r="C50" s="28"/>
      <c r="D50" s="28"/>
      <c r="E50" s="28"/>
      <c r="F50" s="28"/>
      <c r="G50" s="28"/>
      <c r="H50" s="28"/>
    </row>
    <row r="51" customFormat="false" ht="15" hidden="false" customHeight="true" outlineLevel="0" collapsed="false">
      <c r="A51" s="28"/>
      <c r="B51" s="28"/>
      <c r="C51" s="28"/>
      <c r="D51" s="28"/>
      <c r="E51" s="28"/>
      <c r="F51" s="28"/>
      <c r="G51" s="28"/>
      <c r="H51" s="28"/>
    </row>
    <row r="52" customFormat="false" ht="15" hidden="false" customHeight="true" outlineLevel="0" collapsed="false">
      <c r="A52" s="28"/>
      <c r="B52" s="28"/>
      <c r="C52" s="28"/>
      <c r="D52" s="28"/>
      <c r="E52" s="28"/>
      <c r="F52" s="28"/>
      <c r="G52" s="28"/>
      <c r="H52" s="28"/>
    </row>
    <row r="53" customFormat="false" ht="15" hidden="false" customHeight="true" outlineLevel="0" collapsed="false">
      <c r="A53" s="28"/>
      <c r="B53" s="28"/>
      <c r="C53" s="28"/>
      <c r="D53" s="28"/>
      <c r="E53" s="28"/>
      <c r="F53" s="28"/>
      <c r="G53" s="28"/>
      <c r="H53" s="28"/>
    </row>
    <row r="100" customFormat="false" ht="15" hidden="false" customHeight="true" outlineLevel="0" collapsed="false">
      <c r="I100" s="1" t="s">
        <v>49</v>
      </c>
      <c r="J100" s="1" t="n">
        <v>37</v>
      </c>
      <c r="K100" s="1" t="n">
        <v>34132.1675975613</v>
      </c>
      <c r="L100" s="1" t="s">
        <v>50</v>
      </c>
      <c r="M100" s="1" t="s">
        <v>51</v>
      </c>
      <c r="N100" s="1" t="s">
        <v>52</v>
      </c>
      <c r="O100" s="1" t="n">
        <v>7</v>
      </c>
      <c r="P100" s="1" t="n">
        <v>10</v>
      </c>
      <c r="Q100" s="1" t="n">
        <v>10</v>
      </c>
      <c r="R100" s="1" t="s">
        <v>53</v>
      </c>
      <c r="S100" s="1" t="s">
        <v>54</v>
      </c>
      <c r="T100" s="1" t="n">
        <v>0</v>
      </c>
    </row>
    <row r="101" customFormat="false" ht="15" hidden="false" customHeight="true" outlineLevel="0" collapsed="false">
      <c r="I101" s="1" t="s">
        <v>55</v>
      </c>
      <c r="J101" s="1" t="n">
        <v>22</v>
      </c>
      <c r="K101" s="1" t="n">
        <v>18272.5800795171</v>
      </c>
      <c r="L101" s="1" t="s">
        <v>56</v>
      </c>
      <c r="M101" s="1" t="s">
        <v>57</v>
      </c>
      <c r="N101" s="1" t="s">
        <v>58</v>
      </c>
      <c r="O101" s="1" t="n">
        <v>2</v>
      </c>
      <c r="P101" s="1" t="n">
        <v>2</v>
      </c>
      <c r="Q101" s="1" t="n">
        <v>3</v>
      </c>
      <c r="R101" s="1" t="s">
        <v>59</v>
      </c>
      <c r="S101" s="1" t="s">
        <v>60</v>
      </c>
      <c r="T101" s="1" t="n">
        <v>6</v>
      </c>
    </row>
    <row r="102" customFormat="false" ht="15" hidden="false" customHeight="true" outlineLevel="0" collapsed="false">
      <c r="I102" s="1" t="s">
        <v>14</v>
      </c>
      <c r="J102" s="1" t="n">
        <v>15</v>
      </c>
      <c r="K102" s="1" t="n">
        <v>11780.3521266725</v>
      </c>
      <c r="L102" s="1" t="s">
        <v>56</v>
      </c>
      <c r="M102" s="1" t="s">
        <v>57</v>
      </c>
      <c r="N102" s="1" t="s">
        <v>58</v>
      </c>
      <c r="O102" s="1" t="n">
        <v>1</v>
      </c>
      <c r="P102" s="1" t="n">
        <v>1</v>
      </c>
      <c r="Q102" s="1" t="n">
        <v>2</v>
      </c>
      <c r="R102" s="1" t="s">
        <v>59</v>
      </c>
      <c r="S102" s="1" t="s">
        <v>61</v>
      </c>
      <c r="T102" s="1" t="n">
        <v>12</v>
      </c>
    </row>
    <row r="103" customFormat="false" ht="15" hidden="false" customHeight="true" outlineLevel="0" collapsed="false">
      <c r="I103" s="1" t="s">
        <v>62</v>
      </c>
      <c r="J103" s="1" t="n">
        <v>11</v>
      </c>
      <c r="K103" s="1" t="n">
        <v>6045.75031752703</v>
      </c>
      <c r="L103" s="1" t="s">
        <v>63</v>
      </c>
      <c r="M103" s="1" t="s">
        <v>64</v>
      </c>
      <c r="N103" s="1" t="s">
        <v>65</v>
      </c>
      <c r="O103" s="1" t="n">
        <v>1</v>
      </c>
      <c r="P103" s="1" t="n">
        <v>1</v>
      </c>
      <c r="Q103" s="1" t="n">
        <v>2</v>
      </c>
      <c r="R103" s="1" t="s">
        <v>66</v>
      </c>
      <c r="S103" s="1" t="s">
        <v>67</v>
      </c>
      <c r="T103" s="1" t="n">
        <v>18</v>
      </c>
    </row>
    <row r="200" customFormat="false" ht="15" hidden="false" customHeight="true" outlineLevel="0" collapsed="false">
      <c r="U200" s="1" t="n">
        <v>1</v>
      </c>
      <c r="V200" s="1" t="s">
        <v>50</v>
      </c>
      <c r="W200" s="63" t="n">
        <v>46327</v>
      </c>
      <c r="X200" s="1" t="n">
        <v>114.71</v>
      </c>
      <c r="Y200" s="1" t="n">
        <v>133.82</v>
      </c>
      <c r="Z200" s="1" t="s">
        <v>68</v>
      </c>
      <c r="AA200" s="1" t="n">
        <v>1</v>
      </c>
      <c r="AB200" s="1" t="s">
        <v>56</v>
      </c>
      <c r="AC200" s="63" t="n">
        <v>46174</v>
      </c>
      <c r="AD200" s="1" t="n">
        <v>1583.49</v>
      </c>
      <c r="AE200" s="1" t="n">
        <v>1712.49</v>
      </c>
      <c r="AF200" s="1" t="s">
        <v>69</v>
      </c>
      <c r="AG200" s="1" t="n">
        <v>1</v>
      </c>
      <c r="AH200" s="1" t="s">
        <v>56</v>
      </c>
      <c r="AI200" s="63" t="n">
        <v>46143</v>
      </c>
      <c r="AJ200" s="1" t="n">
        <v>1583.49</v>
      </c>
      <c r="AK200" s="1" t="n">
        <v>1712.49</v>
      </c>
      <c r="AL200" s="1" t="s">
        <v>69</v>
      </c>
      <c r="AM200" s="1" t="n">
        <v>1</v>
      </c>
      <c r="AN200" s="1" t="s">
        <v>63</v>
      </c>
      <c r="AO200" s="63" t="n">
        <v>46143</v>
      </c>
      <c r="AP200" s="1" t="n">
        <v>1406.09</v>
      </c>
      <c r="AQ200" s="1" t="n">
        <v>1446.09</v>
      </c>
      <c r="AR200" s="1" t="s">
        <v>70</v>
      </c>
    </row>
    <row r="201" customFormat="false" ht="15" hidden="false" customHeight="true" outlineLevel="0" collapsed="false">
      <c r="U201" s="1" t="n">
        <v>2</v>
      </c>
      <c r="V201" s="1" t="s">
        <v>51</v>
      </c>
      <c r="W201" s="63" t="n">
        <v>46419</v>
      </c>
      <c r="X201" s="1" t="n">
        <v>504.15</v>
      </c>
      <c r="Y201" s="1" t="n">
        <v>560.17</v>
      </c>
      <c r="Z201" s="1" t="s">
        <v>71</v>
      </c>
      <c r="AA201" s="1" t="n">
        <v>2</v>
      </c>
      <c r="AB201" s="1" t="s">
        <v>57</v>
      </c>
      <c r="AC201" s="63" t="n">
        <v>46174</v>
      </c>
      <c r="AD201" s="1" t="n">
        <v>933.82</v>
      </c>
      <c r="AE201" s="1" t="n">
        <v>966.82</v>
      </c>
      <c r="AF201" s="1" t="s">
        <v>72</v>
      </c>
      <c r="AG201" s="1" t="n">
        <v>2</v>
      </c>
      <c r="AH201" s="1" t="s">
        <v>57</v>
      </c>
      <c r="AI201" s="63" t="n">
        <v>46143</v>
      </c>
      <c r="AJ201" s="1" t="n">
        <v>933.82</v>
      </c>
      <c r="AK201" s="1" t="n">
        <v>966.82</v>
      </c>
      <c r="AL201" s="1" t="s">
        <v>72</v>
      </c>
      <c r="AM201" s="1" t="n">
        <v>2</v>
      </c>
      <c r="AN201" s="1" t="s">
        <v>64</v>
      </c>
      <c r="AO201" s="63" t="n">
        <v>46143</v>
      </c>
      <c r="AP201" s="1" t="n">
        <v>3020.12</v>
      </c>
      <c r="AQ201" s="1" t="n">
        <v>3171.13</v>
      </c>
      <c r="AR201" s="1" t="s">
        <v>73</v>
      </c>
    </row>
    <row r="202" customFormat="false" ht="15" hidden="false" customHeight="true" outlineLevel="0" collapsed="false">
      <c r="U202" s="1" t="n">
        <v>3</v>
      </c>
      <c r="V202" s="1" t="s">
        <v>52</v>
      </c>
      <c r="W202" s="63" t="n">
        <v>46419</v>
      </c>
      <c r="X202" s="1" t="n">
        <v>183.47</v>
      </c>
      <c r="Y202" s="1" t="n">
        <v>203.85</v>
      </c>
      <c r="Z202" s="1" t="s">
        <v>74</v>
      </c>
      <c r="AA202" s="1" t="n">
        <v>3</v>
      </c>
      <c r="AB202" s="1" t="s">
        <v>58</v>
      </c>
      <c r="AC202" s="63" t="n">
        <v>46204</v>
      </c>
      <c r="AD202" s="1" t="n">
        <v>1200</v>
      </c>
      <c r="AE202" s="1" t="n">
        <v>1229</v>
      </c>
      <c r="AF202" s="1" t="s">
        <v>75</v>
      </c>
      <c r="AG202" s="1" t="n">
        <v>3</v>
      </c>
      <c r="AH202" s="1" t="s">
        <v>58</v>
      </c>
      <c r="AI202" s="63" t="n">
        <v>46174</v>
      </c>
      <c r="AJ202" s="1" t="n">
        <v>1200</v>
      </c>
      <c r="AK202" s="1" t="n">
        <v>1229</v>
      </c>
      <c r="AL202" s="1" t="s">
        <v>75</v>
      </c>
      <c r="AM202" s="1" t="n">
        <v>3</v>
      </c>
      <c r="AN202" s="1" t="s">
        <v>65</v>
      </c>
      <c r="AO202" s="63" t="n">
        <v>46174</v>
      </c>
      <c r="AP202" s="1" t="n">
        <v>1169.64</v>
      </c>
      <c r="AQ202" s="1" t="n">
        <v>1207.64</v>
      </c>
      <c r="AR202" s="1" t="s">
        <v>76</v>
      </c>
    </row>
    <row r="203" customFormat="false" ht="15" hidden="false" customHeight="true" outlineLevel="0" collapsed="false">
      <c r="U203" s="1" t="n">
        <v>4</v>
      </c>
      <c r="V203" s="1" t="s">
        <v>77</v>
      </c>
      <c r="W203" s="63" t="n">
        <v>46419</v>
      </c>
      <c r="X203" s="1" t="n">
        <v>182.14</v>
      </c>
      <c r="Y203" s="1" t="n">
        <v>200.36</v>
      </c>
      <c r="Z203" s="1" t="s">
        <v>78</v>
      </c>
      <c r="AA203" s="1" t="n">
        <v>4</v>
      </c>
      <c r="AB203" s="1" t="s">
        <v>79</v>
      </c>
      <c r="AC203" s="63" t="n">
        <v>46296</v>
      </c>
      <c r="AD203" s="1" t="n">
        <v>5930.94</v>
      </c>
      <c r="AE203" s="1" t="n">
        <v>6130.94</v>
      </c>
      <c r="AF203" s="1" t="s">
        <v>80</v>
      </c>
      <c r="AG203" s="1" t="n">
        <v>4</v>
      </c>
      <c r="AH203" s="1" t="s">
        <v>79</v>
      </c>
      <c r="AI203" s="63" t="n">
        <v>46204</v>
      </c>
      <c r="AJ203" s="1" t="n">
        <v>5930.94</v>
      </c>
      <c r="AK203" s="1" t="n">
        <v>6130.94</v>
      </c>
      <c r="AL203" s="1" t="s">
        <v>80</v>
      </c>
      <c r="AM203" s="1" t="n">
        <v>4</v>
      </c>
      <c r="AN203" s="1" t="s">
        <v>81</v>
      </c>
      <c r="AO203" s="63" t="n">
        <v>46174</v>
      </c>
      <c r="AP203" s="1" t="n">
        <v>1160.62</v>
      </c>
      <c r="AQ203" s="1" t="n">
        <v>1233.16</v>
      </c>
      <c r="AR203" s="1" t="s">
        <v>82</v>
      </c>
    </row>
    <row r="204" customFormat="false" ht="15" hidden="false" customHeight="true" outlineLevel="0" collapsed="false">
      <c r="U204" s="1" t="n">
        <v>5</v>
      </c>
      <c r="V204" s="1" t="s">
        <v>56</v>
      </c>
      <c r="W204" s="63" t="n">
        <v>46508</v>
      </c>
      <c r="X204" s="1" t="n">
        <v>1583.49</v>
      </c>
      <c r="Y204" s="1" t="n">
        <v>1712.49</v>
      </c>
      <c r="Z204" s="1" t="s">
        <v>83</v>
      </c>
      <c r="AA204" s="1" t="n">
        <v>5</v>
      </c>
      <c r="AB204" s="1" t="s">
        <v>50</v>
      </c>
      <c r="AC204" s="63" t="n">
        <v>46327</v>
      </c>
      <c r="AD204" s="1" t="n">
        <v>114.71</v>
      </c>
      <c r="AE204" s="1" t="n">
        <v>133.82</v>
      </c>
      <c r="AF204" s="1" t="s">
        <v>84</v>
      </c>
      <c r="AG204" s="1" t="n">
        <v>5</v>
      </c>
      <c r="AH204" s="1" t="s">
        <v>85</v>
      </c>
      <c r="AI204" s="63" t="n">
        <v>46266</v>
      </c>
      <c r="AJ204" s="1" t="n">
        <v>7294.06</v>
      </c>
      <c r="AK204" s="1" t="n">
        <v>7499.93</v>
      </c>
      <c r="AL204" s="1" t="s">
        <v>86</v>
      </c>
      <c r="AM204" s="1" t="n">
        <v>5</v>
      </c>
      <c r="AN204" s="1" t="s">
        <v>87</v>
      </c>
      <c r="AO204" s="63" t="n">
        <v>46204</v>
      </c>
      <c r="AP204" s="1" t="n">
        <v>2758</v>
      </c>
      <c r="AQ204" s="1" t="n">
        <v>2838</v>
      </c>
      <c r="AR204" s="1" t="s">
        <v>88</v>
      </c>
    </row>
    <row r="205" customFormat="false" ht="15" hidden="false" customHeight="true" outlineLevel="0" collapsed="false">
      <c r="U205" s="1" t="n">
        <v>6</v>
      </c>
      <c r="V205" s="1" t="s">
        <v>89</v>
      </c>
      <c r="W205" s="63" t="n">
        <v>46569</v>
      </c>
      <c r="X205" s="1" t="n">
        <v>654.42</v>
      </c>
      <c r="Y205" s="1" t="n">
        <v>708.41</v>
      </c>
      <c r="Z205" s="1" t="s">
        <v>90</v>
      </c>
      <c r="AA205" s="1" t="n">
        <v>6</v>
      </c>
      <c r="AB205" s="1" t="s">
        <v>85</v>
      </c>
      <c r="AC205" s="63" t="n">
        <v>46419</v>
      </c>
      <c r="AD205" s="1" t="n">
        <v>7294.06</v>
      </c>
      <c r="AE205" s="1" t="n">
        <v>7499.93</v>
      </c>
      <c r="AF205" s="1" t="s">
        <v>86</v>
      </c>
      <c r="AG205" s="1" t="n">
        <v>6</v>
      </c>
      <c r="AH205" s="1" t="s">
        <v>91</v>
      </c>
      <c r="AI205" s="63" t="n">
        <v>46296</v>
      </c>
      <c r="AJ205" s="1" t="n">
        <v>2758.32</v>
      </c>
      <c r="AK205" s="1" t="n">
        <v>2850.32</v>
      </c>
      <c r="AL205" s="1" t="s">
        <v>92</v>
      </c>
      <c r="AM205" s="1" t="n">
        <v>6</v>
      </c>
      <c r="AN205" s="1" t="s">
        <v>93</v>
      </c>
      <c r="AO205" s="63" t="n">
        <v>46204</v>
      </c>
      <c r="AP205" s="1" t="n">
        <v>300</v>
      </c>
      <c r="AQ205" s="1" t="n">
        <v>308.25</v>
      </c>
      <c r="AR205" s="1" t="s">
        <v>94</v>
      </c>
    </row>
    <row r="206" customFormat="false" ht="15" hidden="false" customHeight="true" outlineLevel="0" collapsed="false">
      <c r="U206" s="1" t="n">
        <v>7</v>
      </c>
      <c r="V206" s="1" t="s">
        <v>57</v>
      </c>
      <c r="W206" s="63" t="n">
        <v>46600</v>
      </c>
      <c r="X206" s="1" t="n">
        <v>933.82</v>
      </c>
      <c r="Y206" s="1" t="n">
        <v>966.82</v>
      </c>
      <c r="Z206" s="1" t="s">
        <v>95</v>
      </c>
      <c r="AA206" s="1" t="n">
        <v>7</v>
      </c>
      <c r="AB206" s="1" t="s">
        <v>51</v>
      </c>
      <c r="AC206" s="63" t="n">
        <v>46419</v>
      </c>
      <c r="AD206" s="1" t="n">
        <v>504.15</v>
      </c>
      <c r="AE206" s="1" t="n">
        <v>560.17</v>
      </c>
      <c r="AF206" s="1" t="s">
        <v>96</v>
      </c>
      <c r="AG206" s="1" t="n">
        <v>7</v>
      </c>
      <c r="AH206" s="1" t="s">
        <v>63</v>
      </c>
      <c r="AI206" s="63" t="n">
        <v>46296</v>
      </c>
      <c r="AJ206" s="1" t="n">
        <v>1406.09</v>
      </c>
      <c r="AK206" s="1" t="n">
        <v>1446.09</v>
      </c>
      <c r="AL206" s="1" t="s">
        <v>97</v>
      </c>
      <c r="AM206" s="1" t="n">
        <v>7</v>
      </c>
      <c r="AN206" s="1" t="s">
        <v>98</v>
      </c>
      <c r="AO206" s="63" t="n">
        <v>46204</v>
      </c>
      <c r="AP206" s="1" t="n">
        <v>3116.13</v>
      </c>
      <c r="AQ206" s="1" t="n">
        <v>3215.13</v>
      </c>
      <c r="AR206" s="1" t="s">
        <v>99</v>
      </c>
    </row>
    <row r="207" customFormat="false" ht="15" hidden="false" customHeight="true" outlineLevel="0" collapsed="false">
      <c r="U207" s="1" t="n">
        <v>8</v>
      </c>
      <c r="V207" s="1" t="s">
        <v>100</v>
      </c>
      <c r="W207" s="63" t="n">
        <v>46661</v>
      </c>
      <c r="X207" s="1" t="n">
        <v>1069.37</v>
      </c>
      <c r="Y207" s="1" t="n">
        <v>1136.3</v>
      </c>
      <c r="Z207" s="1" t="s">
        <v>101</v>
      </c>
      <c r="AA207" s="1" t="n">
        <v>8</v>
      </c>
      <c r="AB207" s="1" t="s">
        <v>52</v>
      </c>
      <c r="AC207" s="63" t="n">
        <v>46419</v>
      </c>
      <c r="AD207" s="1" t="n">
        <v>183.47</v>
      </c>
      <c r="AE207" s="1" t="n">
        <v>203.85</v>
      </c>
      <c r="AF207" s="1" t="s">
        <v>74</v>
      </c>
      <c r="AG207" s="1" t="n">
        <v>8</v>
      </c>
      <c r="AH207" s="1" t="s">
        <v>64</v>
      </c>
      <c r="AI207" s="63" t="n">
        <v>46327</v>
      </c>
      <c r="AJ207" s="1" t="n">
        <v>3020.12</v>
      </c>
      <c r="AK207" s="1" t="n">
        <v>3171.13</v>
      </c>
      <c r="AL207" s="1" t="s">
        <v>102</v>
      </c>
      <c r="AM207" s="1" t="n">
        <v>8</v>
      </c>
      <c r="AN207" s="1" t="s">
        <v>103</v>
      </c>
      <c r="AO207" s="63" t="n">
        <v>46235</v>
      </c>
      <c r="AP207" s="1" t="n">
        <v>1570.31</v>
      </c>
      <c r="AQ207" s="1" t="n">
        <v>1614.31</v>
      </c>
      <c r="AR207" s="1" t="s">
        <v>104</v>
      </c>
    </row>
    <row r="208" customFormat="false" ht="15" hidden="false" customHeight="true" outlineLevel="0" collapsed="false">
      <c r="U208" s="1" t="n">
        <v>9</v>
      </c>
      <c r="V208" s="1" t="s">
        <v>58</v>
      </c>
      <c r="W208" s="63" t="n">
        <v>46722</v>
      </c>
      <c r="X208" s="1" t="n">
        <v>1200</v>
      </c>
      <c r="Y208" s="1" t="n">
        <v>1229</v>
      </c>
      <c r="Z208" s="1" t="s">
        <v>75</v>
      </c>
      <c r="AA208" s="1" t="n">
        <v>9</v>
      </c>
      <c r="AB208" s="1" t="s">
        <v>77</v>
      </c>
      <c r="AC208" s="63" t="n">
        <v>46419</v>
      </c>
      <c r="AD208" s="1" t="n">
        <v>182.14</v>
      </c>
      <c r="AE208" s="1" t="n">
        <v>200.36</v>
      </c>
      <c r="AF208" s="1" t="s">
        <v>78</v>
      </c>
      <c r="AG208" s="1" t="n">
        <v>9</v>
      </c>
      <c r="AH208" s="1" t="s">
        <v>65</v>
      </c>
      <c r="AI208" s="63" t="n">
        <v>46327</v>
      </c>
      <c r="AJ208" s="1" t="n">
        <v>1169.64</v>
      </c>
      <c r="AK208" s="1" t="n">
        <v>1207.64</v>
      </c>
      <c r="AL208" s="1" t="s">
        <v>105</v>
      </c>
      <c r="AM208" s="1" t="n">
        <v>9</v>
      </c>
      <c r="AN208" s="1" t="s">
        <v>50</v>
      </c>
      <c r="AO208" s="63" t="n">
        <v>46235</v>
      </c>
      <c r="AP208" s="1" t="n">
        <v>114.71</v>
      </c>
      <c r="AQ208" s="1" t="n">
        <v>133.82</v>
      </c>
      <c r="AR208" s="1" t="s">
        <v>106</v>
      </c>
    </row>
    <row r="209" customFormat="false" ht="15" hidden="false" customHeight="true" outlineLevel="0" collapsed="false">
      <c r="U209" s="1" t="n">
        <v>10</v>
      </c>
      <c r="V209" s="1" t="s">
        <v>81</v>
      </c>
      <c r="W209" s="63" t="n">
        <v>46753</v>
      </c>
      <c r="X209" s="1" t="n">
        <v>1160.62</v>
      </c>
      <c r="Y209" s="1" t="n">
        <v>1233.16</v>
      </c>
      <c r="Z209" s="1" t="s">
        <v>107</v>
      </c>
      <c r="AA209" s="1" t="n">
        <v>10</v>
      </c>
      <c r="AB209" s="1" t="s">
        <v>91</v>
      </c>
      <c r="AC209" s="63" t="n">
        <v>46447</v>
      </c>
      <c r="AD209" s="1" t="n">
        <v>2758.32</v>
      </c>
      <c r="AE209" s="1" t="n">
        <v>2850.32</v>
      </c>
      <c r="AF209" s="1" t="s">
        <v>92</v>
      </c>
      <c r="AG209" s="1" t="n">
        <v>10</v>
      </c>
      <c r="AH209" s="1" t="s">
        <v>81</v>
      </c>
      <c r="AI209" s="63" t="n">
        <v>46327</v>
      </c>
      <c r="AJ209" s="1" t="n">
        <v>1160.62</v>
      </c>
      <c r="AK209" s="1" t="n">
        <v>1233.16</v>
      </c>
      <c r="AL209" s="1" t="s">
        <v>82</v>
      </c>
      <c r="AM209" s="1" t="n">
        <v>10</v>
      </c>
      <c r="AN209" s="1" t="s">
        <v>108</v>
      </c>
      <c r="AO209" s="63" t="n">
        <v>46235</v>
      </c>
      <c r="AP209" s="1" t="n">
        <v>1015.61</v>
      </c>
      <c r="AQ209" s="1" t="n">
        <v>1055.61</v>
      </c>
      <c r="AR209" s="1" t="s">
        <v>97</v>
      </c>
    </row>
    <row r="210" customFormat="false" ht="15" hidden="false" customHeight="true" outlineLevel="0" collapsed="false">
      <c r="U210" s="1" t="n">
        <v>11</v>
      </c>
      <c r="V210" s="1" t="s">
        <v>79</v>
      </c>
      <c r="W210" s="63" t="n">
        <v>46935</v>
      </c>
      <c r="X210" s="1" t="n">
        <v>5930.94</v>
      </c>
      <c r="Y210" s="1" t="n">
        <v>6130.94</v>
      </c>
      <c r="Z210" s="1" t="s">
        <v>80</v>
      </c>
      <c r="AA210" s="1" t="n">
        <v>11</v>
      </c>
      <c r="AB210" s="1" t="s">
        <v>63</v>
      </c>
      <c r="AC210" s="63" t="n">
        <v>46447</v>
      </c>
      <c r="AD210" s="1" t="n">
        <v>1406.09</v>
      </c>
      <c r="AE210" s="1" t="n">
        <v>1446.09</v>
      </c>
      <c r="AF210" s="1" t="s">
        <v>97</v>
      </c>
      <c r="AG210" s="1" t="n">
        <v>11</v>
      </c>
      <c r="AH210" s="1" t="s">
        <v>50</v>
      </c>
      <c r="AI210" s="63" t="n">
        <v>46327</v>
      </c>
      <c r="AJ210" s="1" t="n">
        <v>114.71</v>
      </c>
      <c r="AK210" s="1" t="n">
        <v>133.82</v>
      </c>
      <c r="AL210" s="1" t="s">
        <v>106</v>
      </c>
      <c r="AM210" s="1" t="n">
        <v>11</v>
      </c>
      <c r="AN210" s="1" t="s">
        <v>89</v>
      </c>
      <c r="AO210" s="63" t="n">
        <v>46235</v>
      </c>
      <c r="AP210" s="1" t="n">
        <v>654.42</v>
      </c>
      <c r="AQ210" s="1" t="n">
        <v>708.41</v>
      </c>
      <c r="AR210" s="1" t="s">
        <v>109</v>
      </c>
    </row>
    <row r="211" customFormat="false" ht="15" hidden="false" customHeight="true" outlineLevel="0" collapsed="false">
      <c r="U211" s="1" t="n">
        <v>12</v>
      </c>
      <c r="V211" s="1" t="s">
        <v>64</v>
      </c>
      <c r="W211" s="63" t="n">
        <v>46966</v>
      </c>
      <c r="X211" s="1" t="n">
        <v>3020.12</v>
      </c>
      <c r="Y211" s="1" t="n">
        <v>3171.13</v>
      </c>
      <c r="Z211" s="1" t="s">
        <v>102</v>
      </c>
      <c r="AA211" s="1" t="n">
        <v>12</v>
      </c>
      <c r="AB211" s="1" t="s">
        <v>64</v>
      </c>
      <c r="AC211" s="63" t="n">
        <v>46478</v>
      </c>
      <c r="AD211" s="1" t="n">
        <v>3020.12</v>
      </c>
      <c r="AE211" s="1" t="n">
        <v>3171.13</v>
      </c>
      <c r="AF211" s="1" t="s">
        <v>102</v>
      </c>
      <c r="AG211" s="1" t="n">
        <v>12</v>
      </c>
      <c r="AH211" s="1" t="s">
        <v>87</v>
      </c>
      <c r="AI211" s="63" t="n">
        <v>46357</v>
      </c>
      <c r="AJ211" s="1" t="n">
        <v>2758</v>
      </c>
      <c r="AK211" s="1" t="n">
        <v>2838</v>
      </c>
      <c r="AL211" s="1" t="s">
        <v>88</v>
      </c>
      <c r="AM211" s="1" t="n">
        <v>12</v>
      </c>
      <c r="AN211" s="1" t="s">
        <v>110</v>
      </c>
      <c r="AO211" s="63" t="n">
        <v>46266</v>
      </c>
      <c r="AP211" s="1" t="n">
        <v>7477.57</v>
      </c>
      <c r="AQ211" s="1" t="n">
        <v>7743.07</v>
      </c>
      <c r="AR211" s="1" t="s">
        <v>111</v>
      </c>
    </row>
    <row r="212" customFormat="false" ht="15" hidden="false" customHeight="true" outlineLevel="0" collapsed="false">
      <c r="U212" s="1" t="n">
        <v>13</v>
      </c>
      <c r="V212" s="1" t="s">
        <v>112</v>
      </c>
      <c r="W212" s="63" t="n">
        <v>47058</v>
      </c>
      <c r="X212" s="1" t="n">
        <v>32000</v>
      </c>
      <c r="Y212" s="1" t="n">
        <v>33309.17</v>
      </c>
      <c r="Z212" s="1" t="s">
        <v>113</v>
      </c>
      <c r="AA212" s="1" t="n">
        <v>13</v>
      </c>
      <c r="AB212" s="1" t="s">
        <v>65</v>
      </c>
      <c r="AC212" s="63" t="n">
        <v>46508</v>
      </c>
      <c r="AD212" s="1" t="n">
        <v>1169.64</v>
      </c>
      <c r="AE212" s="1" t="n">
        <v>1207.64</v>
      </c>
      <c r="AF212" s="1" t="s">
        <v>76</v>
      </c>
      <c r="AG212" s="1" t="n">
        <v>13</v>
      </c>
      <c r="AH212" s="1" t="s">
        <v>93</v>
      </c>
      <c r="AI212" s="63" t="n">
        <v>46357</v>
      </c>
      <c r="AJ212" s="1" t="n">
        <v>300</v>
      </c>
      <c r="AK212" s="1" t="n">
        <v>308.25</v>
      </c>
      <c r="AL212" s="1" t="s">
        <v>94</v>
      </c>
      <c r="AM212" s="1" t="n">
        <v>13</v>
      </c>
      <c r="AN212" s="1" t="s">
        <v>112</v>
      </c>
      <c r="AO212" s="63" t="n">
        <v>46419</v>
      </c>
      <c r="AP212" s="1" t="n">
        <v>32000</v>
      </c>
      <c r="AQ212" s="1" t="n">
        <v>33309.17</v>
      </c>
      <c r="AR212" s="1" t="s">
        <v>113</v>
      </c>
    </row>
    <row r="213" customFormat="false" ht="15" hidden="false" customHeight="true" outlineLevel="0" collapsed="false">
      <c r="U213" s="1" t="n">
        <v>14</v>
      </c>
      <c r="V213" s="1" t="s">
        <v>85</v>
      </c>
      <c r="W213" s="63" t="n">
        <v>47088</v>
      </c>
      <c r="X213" s="1" t="n">
        <v>7294.06</v>
      </c>
      <c r="Y213" s="1" t="n">
        <v>7499.93</v>
      </c>
      <c r="Z213" s="1" t="s">
        <v>86</v>
      </c>
      <c r="AA213" s="1" t="n">
        <v>14</v>
      </c>
      <c r="AB213" s="1" t="s">
        <v>81</v>
      </c>
      <c r="AC213" s="63" t="n">
        <v>46508</v>
      </c>
      <c r="AD213" s="1" t="n">
        <v>1160.62</v>
      </c>
      <c r="AE213" s="1" t="n">
        <v>1233.16</v>
      </c>
      <c r="AF213" s="1" t="s">
        <v>82</v>
      </c>
      <c r="AG213" s="1" t="n">
        <v>14</v>
      </c>
      <c r="AH213" s="1" t="s">
        <v>98</v>
      </c>
      <c r="AI213" s="63" t="n">
        <v>46357</v>
      </c>
      <c r="AJ213" s="1" t="n">
        <v>3116.13</v>
      </c>
      <c r="AK213" s="1" t="n">
        <v>3215.13</v>
      </c>
      <c r="AL213" s="1" t="s">
        <v>99</v>
      </c>
      <c r="AM213" s="1" t="n">
        <v>14</v>
      </c>
      <c r="AN213" s="1" t="s">
        <v>114</v>
      </c>
      <c r="AO213" s="63" t="n">
        <v>46419</v>
      </c>
      <c r="AP213" s="1" t="n">
        <v>4184.82</v>
      </c>
      <c r="AQ213" s="1" t="n">
        <v>4324.32</v>
      </c>
      <c r="AR213" s="1" t="s">
        <v>115</v>
      </c>
    </row>
    <row r="214" customFormat="false" ht="15" hidden="false" customHeight="true" outlineLevel="0" collapsed="false">
      <c r="U214" s="1" t="n">
        <v>15</v>
      </c>
      <c r="V214" s="1" t="s">
        <v>91</v>
      </c>
      <c r="W214" s="63" t="n">
        <v>47119</v>
      </c>
      <c r="X214" s="1" t="n">
        <v>2758.32</v>
      </c>
      <c r="Y214" s="1" t="n">
        <v>2850.32</v>
      </c>
      <c r="Z214" s="1" t="s">
        <v>92</v>
      </c>
      <c r="AA214" s="1" t="n">
        <v>15</v>
      </c>
      <c r="AB214" s="1" t="s">
        <v>87</v>
      </c>
      <c r="AC214" s="63" t="n">
        <v>46539</v>
      </c>
      <c r="AD214" s="1" t="n">
        <v>2758</v>
      </c>
      <c r="AE214" s="1" t="n">
        <v>2838</v>
      </c>
      <c r="AF214" s="1" t="s">
        <v>88</v>
      </c>
      <c r="AG214" s="1" t="n">
        <v>15</v>
      </c>
      <c r="AH214" s="1" t="s">
        <v>103</v>
      </c>
      <c r="AI214" s="63" t="n">
        <v>46388</v>
      </c>
      <c r="AJ214" s="1" t="n">
        <v>1570.31</v>
      </c>
      <c r="AK214" s="1" t="n">
        <v>1614.31</v>
      </c>
      <c r="AL214" s="1" t="s">
        <v>104</v>
      </c>
      <c r="AM214" s="1" t="n">
        <v>15</v>
      </c>
      <c r="AN214" s="1" t="s">
        <v>51</v>
      </c>
      <c r="AO214" s="63" t="n">
        <v>46419</v>
      </c>
      <c r="AP214" s="1" t="n">
        <v>504.15</v>
      </c>
      <c r="AQ214" s="1" t="n">
        <v>560.17</v>
      </c>
      <c r="AR214" s="1" t="s">
        <v>96</v>
      </c>
    </row>
    <row r="215" customFormat="false" ht="15" hidden="false" customHeight="true" outlineLevel="0" collapsed="false">
      <c r="U215" s="1" t="n">
        <v>16</v>
      </c>
      <c r="V215" s="1" t="s">
        <v>63</v>
      </c>
      <c r="W215" s="63" t="n">
        <v>47119</v>
      </c>
      <c r="X215" s="1" t="n">
        <v>1406.09</v>
      </c>
      <c r="Y215" s="1" t="n">
        <v>1446.09</v>
      </c>
      <c r="Z215" s="1" t="s">
        <v>97</v>
      </c>
      <c r="AA215" s="1" t="n">
        <v>16</v>
      </c>
      <c r="AB215" s="1" t="s">
        <v>93</v>
      </c>
      <c r="AC215" s="63" t="n">
        <v>46539</v>
      </c>
      <c r="AD215" s="1" t="n">
        <v>300</v>
      </c>
      <c r="AE215" s="1" t="n">
        <v>308.25</v>
      </c>
      <c r="AF215" s="1" t="s">
        <v>94</v>
      </c>
      <c r="AG215" s="1" t="n">
        <v>16</v>
      </c>
      <c r="AH215" s="1" t="s">
        <v>108</v>
      </c>
      <c r="AI215" s="63" t="n">
        <v>46388</v>
      </c>
      <c r="AJ215" s="1" t="n">
        <v>1015.61</v>
      </c>
      <c r="AK215" s="1" t="n">
        <v>1055.61</v>
      </c>
      <c r="AL215" s="1" t="s">
        <v>97</v>
      </c>
      <c r="AM215" s="1" t="n">
        <v>16</v>
      </c>
      <c r="AN215" s="1" t="s">
        <v>52</v>
      </c>
      <c r="AO215" s="63" t="n">
        <v>46419</v>
      </c>
      <c r="AP215" s="1" t="n">
        <v>183.47</v>
      </c>
      <c r="AQ215" s="1" t="n">
        <v>203.85</v>
      </c>
      <c r="AR215" s="1" t="s">
        <v>74</v>
      </c>
    </row>
    <row r="216" customFormat="false" ht="15" hidden="false" customHeight="true" outlineLevel="0" collapsed="false">
      <c r="U216" s="1" t="n">
        <v>17</v>
      </c>
      <c r="V216" s="1" t="s">
        <v>65</v>
      </c>
      <c r="W216" s="63" t="n">
        <v>47150</v>
      </c>
      <c r="X216" s="1" t="n">
        <v>1169.64</v>
      </c>
      <c r="Y216" s="1" t="n">
        <v>1207.64</v>
      </c>
      <c r="Z216" s="1" t="s">
        <v>76</v>
      </c>
      <c r="AA216" s="1" t="n">
        <v>17</v>
      </c>
      <c r="AB216" s="1" t="s">
        <v>98</v>
      </c>
      <c r="AC216" s="63" t="n">
        <v>46569</v>
      </c>
      <c r="AD216" s="1" t="n">
        <v>3116.13</v>
      </c>
      <c r="AE216" s="1" t="n">
        <v>3215.13</v>
      </c>
      <c r="AF216" s="1" t="s">
        <v>116</v>
      </c>
      <c r="AG216" s="1" t="n">
        <v>17</v>
      </c>
      <c r="AH216" s="1" t="s">
        <v>89</v>
      </c>
      <c r="AI216" s="63" t="n">
        <v>46388</v>
      </c>
      <c r="AJ216" s="1" t="n">
        <v>654.42</v>
      </c>
      <c r="AK216" s="1" t="n">
        <v>708.41</v>
      </c>
      <c r="AL216" s="1" t="s">
        <v>109</v>
      </c>
      <c r="AM216" s="1" t="n">
        <v>17</v>
      </c>
      <c r="AN216" s="1" t="s">
        <v>77</v>
      </c>
      <c r="AO216" s="63" t="n">
        <v>46419</v>
      </c>
      <c r="AP216" s="1" t="n">
        <v>182.14</v>
      </c>
      <c r="AQ216" s="1" t="n">
        <v>200.36</v>
      </c>
      <c r="AR216" s="1" t="s">
        <v>78</v>
      </c>
    </row>
    <row r="217" customFormat="false" ht="15" hidden="false" customHeight="true" outlineLevel="0" collapsed="false">
      <c r="U217" s="1" t="n">
        <v>18</v>
      </c>
      <c r="V217" s="1" t="s">
        <v>87</v>
      </c>
      <c r="W217" s="63" t="n">
        <v>47178</v>
      </c>
      <c r="X217" s="1" t="n">
        <v>2758</v>
      </c>
      <c r="Y217" s="1" t="n">
        <v>2838</v>
      </c>
      <c r="Z217" s="1" t="s">
        <v>88</v>
      </c>
      <c r="AA217" s="1" t="n">
        <v>18</v>
      </c>
      <c r="AB217" s="1" t="s">
        <v>103</v>
      </c>
      <c r="AC217" s="63" t="n">
        <v>46569</v>
      </c>
      <c r="AD217" s="1" t="n">
        <v>1570.31</v>
      </c>
      <c r="AE217" s="1" t="n">
        <v>1614.31</v>
      </c>
      <c r="AF217" s="1" t="s">
        <v>117</v>
      </c>
      <c r="AG217" s="1" t="n">
        <v>18</v>
      </c>
      <c r="AH217" s="1" t="s">
        <v>110</v>
      </c>
      <c r="AI217" s="63" t="n">
        <v>46419</v>
      </c>
      <c r="AJ217" s="1" t="n">
        <v>7477.57</v>
      </c>
      <c r="AK217" s="1" t="n">
        <v>7743.07</v>
      </c>
      <c r="AL217" s="1" t="s">
        <v>111</v>
      </c>
      <c r="AM217" s="1" t="n">
        <v>18</v>
      </c>
      <c r="AN217" s="1" t="s">
        <v>118</v>
      </c>
      <c r="AO217" s="63" t="n">
        <v>46447</v>
      </c>
      <c r="AP217" s="1" t="n">
        <v>3553.86</v>
      </c>
      <c r="AQ217" s="1" t="n">
        <v>3661.61</v>
      </c>
      <c r="AR217" s="1" t="s">
        <v>119</v>
      </c>
    </row>
    <row r="218" customFormat="false" ht="15" hidden="false" customHeight="true" outlineLevel="0" collapsed="false">
      <c r="U218" s="1" t="n">
        <v>19</v>
      </c>
      <c r="V218" s="1" t="s">
        <v>93</v>
      </c>
      <c r="W218" s="63" t="n">
        <v>47178</v>
      </c>
      <c r="X218" s="1" t="n">
        <v>300</v>
      </c>
      <c r="Y218" s="1" t="n">
        <v>308.25</v>
      </c>
      <c r="Z218" s="1" t="s">
        <v>94</v>
      </c>
      <c r="AA218" s="1" t="n">
        <v>19</v>
      </c>
      <c r="AB218" s="1" t="s">
        <v>89</v>
      </c>
      <c r="AC218" s="63" t="n">
        <v>46569</v>
      </c>
      <c r="AD218" s="1" t="n">
        <v>654.42</v>
      </c>
      <c r="AE218" s="1" t="n">
        <v>708.41</v>
      </c>
      <c r="AF218" s="1" t="s">
        <v>109</v>
      </c>
      <c r="AG218" s="1" t="n">
        <v>19</v>
      </c>
      <c r="AH218" s="1" t="s">
        <v>51</v>
      </c>
      <c r="AI218" s="63" t="n">
        <v>46419</v>
      </c>
      <c r="AJ218" s="1" t="n">
        <v>504.15</v>
      </c>
      <c r="AK218" s="1" t="n">
        <v>560.17</v>
      </c>
      <c r="AL218" s="1" t="s">
        <v>96</v>
      </c>
      <c r="AM218" s="1" t="n">
        <v>19</v>
      </c>
      <c r="AN218" s="1" t="s">
        <v>100</v>
      </c>
      <c r="AO218" s="63" t="n">
        <v>46447</v>
      </c>
      <c r="AP218" s="1" t="n">
        <v>1069.37</v>
      </c>
      <c r="AQ218" s="1" t="n">
        <v>1136.3</v>
      </c>
      <c r="AR218" s="1" t="s">
        <v>120</v>
      </c>
    </row>
    <row r="219" customFormat="false" ht="15" hidden="false" customHeight="true" outlineLevel="0" collapsed="false">
      <c r="U219" s="1" t="n">
        <v>20</v>
      </c>
      <c r="V219" s="1" t="s">
        <v>98</v>
      </c>
      <c r="W219" s="63" t="n">
        <v>47178</v>
      </c>
      <c r="X219" s="1" t="n">
        <v>3116.13</v>
      </c>
      <c r="Y219" s="1" t="n">
        <v>3215.13</v>
      </c>
      <c r="Z219" s="1" t="s">
        <v>99</v>
      </c>
      <c r="AA219" s="1" t="n">
        <v>20</v>
      </c>
      <c r="AB219" s="1" t="s">
        <v>108</v>
      </c>
      <c r="AC219" s="63" t="n">
        <v>46600</v>
      </c>
      <c r="AD219" s="1" t="n">
        <v>1015.61</v>
      </c>
      <c r="AE219" s="1" t="n">
        <v>1055.61</v>
      </c>
      <c r="AF219" s="1" t="s">
        <v>121</v>
      </c>
      <c r="AG219" s="1" t="n">
        <v>20</v>
      </c>
      <c r="AH219" s="1" t="s">
        <v>52</v>
      </c>
      <c r="AI219" s="63" t="n">
        <v>46419</v>
      </c>
      <c r="AJ219" s="1" t="n">
        <v>183.47</v>
      </c>
      <c r="AK219" s="1" t="n">
        <v>203.85</v>
      </c>
      <c r="AL219" s="1" t="s">
        <v>74</v>
      </c>
    </row>
    <row r="220" customFormat="false" ht="15" hidden="false" customHeight="true" outlineLevel="0" collapsed="false">
      <c r="U220" s="1" t="n">
        <v>21</v>
      </c>
      <c r="V220" s="1" t="s">
        <v>103</v>
      </c>
      <c r="W220" s="63" t="n">
        <v>47209</v>
      </c>
      <c r="X220" s="1" t="n">
        <v>1570.31</v>
      </c>
      <c r="Y220" s="1" t="n">
        <v>1614.31</v>
      </c>
      <c r="Z220" s="1" t="s">
        <v>104</v>
      </c>
      <c r="AA220" s="1" t="n">
        <v>21</v>
      </c>
      <c r="AB220" s="1" t="s">
        <v>110</v>
      </c>
      <c r="AC220" s="63" t="n">
        <v>46631</v>
      </c>
      <c r="AD220" s="1" t="n">
        <v>7477.57</v>
      </c>
      <c r="AE220" s="1" t="n">
        <v>7743.07</v>
      </c>
      <c r="AF220" s="1" t="s">
        <v>111</v>
      </c>
      <c r="AG220" s="1" t="n">
        <v>21</v>
      </c>
      <c r="AH220" s="1" t="s">
        <v>77</v>
      </c>
      <c r="AI220" s="63" t="n">
        <v>46419</v>
      </c>
      <c r="AJ220" s="1" t="n">
        <v>182.14</v>
      </c>
      <c r="AK220" s="1" t="n">
        <v>200.36</v>
      </c>
      <c r="AL220" s="1" t="s">
        <v>78</v>
      </c>
    </row>
    <row r="221" customFormat="false" ht="15" hidden="false" customHeight="true" outlineLevel="0" collapsed="false">
      <c r="U221" s="1" t="n">
        <v>22</v>
      </c>
      <c r="V221" s="1" t="s">
        <v>108</v>
      </c>
      <c r="W221" s="63" t="n">
        <v>47209</v>
      </c>
      <c r="X221" s="1" t="n">
        <v>1015.61</v>
      </c>
      <c r="Y221" s="1" t="n">
        <v>1055.61</v>
      </c>
      <c r="Z221" s="1" t="s">
        <v>97</v>
      </c>
      <c r="AA221" s="1" t="n">
        <v>22</v>
      </c>
      <c r="AB221" s="1" t="s">
        <v>100</v>
      </c>
      <c r="AC221" s="63" t="n">
        <v>46661</v>
      </c>
      <c r="AD221" s="1" t="n">
        <v>1069.37</v>
      </c>
      <c r="AE221" s="1" t="n">
        <v>1136.3</v>
      </c>
      <c r="AF221" s="1" t="s">
        <v>101</v>
      </c>
      <c r="AG221" s="1" t="n">
        <v>22</v>
      </c>
      <c r="AH221" s="1" t="s">
        <v>112</v>
      </c>
      <c r="AI221" s="63" t="n">
        <v>46539</v>
      </c>
      <c r="AJ221" s="1" t="n">
        <v>32000</v>
      </c>
      <c r="AK221" s="1" t="n">
        <v>33309.17</v>
      </c>
      <c r="AL221" s="1" t="s">
        <v>113</v>
      </c>
    </row>
    <row r="222" customFormat="false" ht="15" hidden="false" customHeight="true" outlineLevel="0" collapsed="false">
      <c r="U222" s="1" t="n">
        <v>23</v>
      </c>
      <c r="V222" s="1" t="s">
        <v>110</v>
      </c>
      <c r="W222" s="63" t="n">
        <v>47209</v>
      </c>
      <c r="X222" s="1" t="n">
        <v>7477.57</v>
      </c>
      <c r="Y222" s="1" t="n">
        <v>7743.07</v>
      </c>
      <c r="Z222" s="1" t="s">
        <v>122</v>
      </c>
      <c r="AA222" s="1" t="n">
        <v>23</v>
      </c>
      <c r="AB222" s="1" t="s">
        <v>112</v>
      </c>
      <c r="AC222" s="63" t="n">
        <v>46753</v>
      </c>
      <c r="AD222" s="1" t="n">
        <v>32000</v>
      </c>
      <c r="AE222" s="1" t="n">
        <v>33309.17</v>
      </c>
      <c r="AF222" s="1" t="s">
        <v>113</v>
      </c>
      <c r="AG222" s="1" t="n">
        <v>23</v>
      </c>
      <c r="AH222" s="1" t="s">
        <v>114</v>
      </c>
      <c r="AI222" s="63" t="n">
        <v>46539</v>
      </c>
      <c r="AJ222" s="1" t="n">
        <v>4184.82</v>
      </c>
      <c r="AK222" s="1" t="n">
        <v>4324.32</v>
      </c>
      <c r="AL222" s="1" t="s">
        <v>115</v>
      </c>
    </row>
    <row r="223" customFormat="false" ht="15" hidden="false" customHeight="true" outlineLevel="0" collapsed="false">
      <c r="U223" s="1" t="n">
        <v>24</v>
      </c>
      <c r="V223" s="1" t="s">
        <v>114</v>
      </c>
      <c r="W223" s="63" t="n">
        <v>47209</v>
      </c>
      <c r="X223" s="1" t="n">
        <v>4184.82</v>
      </c>
      <c r="Y223" s="1" t="n">
        <v>4324.32</v>
      </c>
      <c r="Z223" s="1" t="s">
        <v>115</v>
      </c>
      <c r="AA223" s="1" t="n">
        <v>24</v>
      </c>
      <c r="AB223" s="1" t="s">
        <v>114</v>
      </c>
      <c r="AC223" s="63" t="n">
        <v>46784</v>
      </c>
      <c r="AD223" s="1" t="n">
        <v>4184.82</v>
      </c>
      <c r="AE223" s="1" t="n">
        <v>4324.32</v>
      </c>
      <c r="AF223" s="1" t="s">
        <v>123</v>
      </c>
      <c r="AG223" s="1" t="n">
        <v>24</v>
      </c>
      <c r="AH223" s="1" t="s">
        <v>118</v>
      </c>
      <c r="AI223" s="63" t="n">
        <v>46569</v>
      </c>
      <c r="AJ223" s="1" t="n">
        <v>3553.86</v>
      </c>
      <c r="AK223" s="1" t="n">
        <v>3661.61</v>
      </c>
      <c r="AL223" s="1" t="s">
        <v>119</v>
      </c>
    </row>
    <row r="224" customFormat="false" ht="15" hidden="false" customHeight="true" outlineLevel="0" collapsed="false">
      <c r="U224" s="1" t="n">
        <v>25</v>
      </c>
      <c r="V224" s="1" t="s">
        <v>118</v>
      </c>
      <c r="W224" s="63" t="n">
        <v>47239</v>
      </c>
      <c r="X224" s="1" t="n">
        <v>3553.86</v>
      </c>
      <c r="Y224" s="1" t="n">
        <v>3661.61</v>
      </c>
      <c r="Z224" s="1" t="s">
        <v>120</v>
      </c>
      <c r="AA224" s="1" t="n">
        <v>25</v>
      </c>
      <c r="AB224" s="1" t="s">
        <v>118</v>
      </c>
      <c r="AC224" s="63" t="n">
        <v>46784</v>
      </c>
      <c r="AD224" s="1" t="n">
        <v>3553.86</v>
      </c>
      <c r="AE224" s="1" t="n">
        <v>3661.61</v>
      </c>
      <c r="AF224" s="1" t="s">
        <v>120</v>
      </c>
      <c r="AG224" s="1" t="n">
        <v>25</v>
      </c>
      <c r="AH224" s="1" t="s">
        <v>100</v>
      </c>
      <c r="AI224" s="63" t="n">
        <v>46569</v>
      </c>
      <c r="AJ224" s="1" t="n">
        <v>1069.37</v>
      </c>
      <c r="AK224" s="1" t="n">
        <v>1136.3</v>
      </c>
      <c r="AL224" s="1" t="s">
        <v>120</v>
      </c>
    </row>
  </sheetData>
  <mergeCells count="22">
    <mergeCell ref="A1:H1"/>
    <mergeCell ref="A5:B5"/>
    <mergeCell ref="C5:D5"/>
    <mergeCell ref="E5:F5"/>
    <mergeCell ref="G5:H5"/>
    <mergeCell ref="A6:F6"/>
    <mergeCell ref="G6:H6"/>
    <mergeCell ref="B7:C7"/>
    <mergeCell ref="D7:E7"/>
    <mergeCell ref="F7:G7"/>
    <mergeCell ref="B8:C8"/>
    <mergeCell ref="D8:E8"/>
    <mergeCell ref="F8:G8"/>
    <mergeCell ref="B10:G10"/>
    <mergeCell ref="B11:G11"/>
    <mergeCell ref="B12:G12"/>
    <mergeCell ref="B14:G14"/>
    <mergeCell ref="C15:D15"/>
    <mergeCell ref="E15:G15"/>
    <mergeCell ref="F16:G16"/>
    <mergeCell ref="F17:G21"/>
    <mergeCell ref="B22:G22"/>
  </mergeCells>
  <conditionalFormatting sqref="B17:B21">
    <cfRule type="expression" priority="2" aboveAverage="0" equalAverage="0" bottom="0" percent="0" rank="0" text="" dxfId="0">
      <formula>$C$15="Just Minimums"</formula>
    </cfRule>
  </conditionalFormatting>
  <conditionalFormatting sqref="B16">
    <cfRule type="expression" priority="3" aboveAverage="0" equalAverage="0" bottom="0" percent="0" rank="0" text="" dxfId="1">
      <formula>$C$15="Just Minimums"</formula>
    </cfRule>
  </conditionalFormatting>
  <conditionalFormatting sqref="C17:C21">
    <cfRule type="expression" priority="4" aboveAverage="0" equalAverage="0" bottom="0" percent="0" rank="0" text="" dxfId="0">
      <formula>$C$15="Conservative"</formula>
    </cfRule>
  </conditionalFormatting>
  <conditionalFormatting sqref="C16">
    <cfRule type="expression" priority="5" aboveAverage="0" equalAverage="0" bottom="0" percent="0" rank="0" text="" dxfId="1">
      <formula>$C$15="Conservative"</formula>
    </cfRule>
  </conditionalFormatting>
  <conditionalFormatting sqref="D17:D21">
    <cfRule type="expression" priority="6" aboveAverage="0" equalAverage="0" bottom="0" percent="0" rank="0" text="" dxfId="0">
      <formula>$C$15="Current Plan"</formula>
    </cfRule>
  </conditionalFormatting>
  <conditionalFormatting sqref="D16">
    <cfRule type="expression" priority="7" aboveAverage="0" equalAverage="0" bottom="0" percent="0" rank="0" text="" dxfId="1">
      <formula>$C$15="Current Plan"</formula>
    </cfRule>
  </conditionalFormatting>
  <conditionalFormatting sqref="E17:E21">
    <cfRule type="expression" priority="8" aboveAverage="0" equalAverage="0" bottom="0" percent="0" rank="0" text="" dxfId="0">
      <formula>$C$15="Aggressive"</formula>
    </cfRule>
  </conditionalFormatting>
  <conditionalFormatting sqref="E16">
    <cfRule type="expression" priority="9" aboveAverage="0" equalAverage="0" bottom="0" percent="0" rank="0" text="" dxfId="1">
      <formula>$C$15="Aggressive"</formula>
    </cfRule>
  </conditionalFormatting>
  <dataValidations count="1">
    <dataValidation allowBlank="false" errorStyle="stop" operator="between" showDropDown="false" showErrorMessage="false" showInputMessage="false" sqref="C15" type="list">
      <formula1>"Just Minimums,Conservative,Current Plan,Aggressive"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38"/>
    <col collapsed="false" customWidth="true" hidden="false" outlineLevel="0" max="4" min="4" style="1" width="11"/>
    <col collapsed="false" customWidth="true" hidden="false" outlineLevel="0" max="5" min="5" style="1" width="3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38"/>
    <col collapsed="false" customWidth="true" hidden="false" outlineLevel="0" max="9" min="9" style="1" width="12"/>
    <col collapsed="false" customWidth="true" hidden="false" outlineLevel="0" max="10" min="10" style="1" width="8"/>
  </cols>
  <sheetData>
    <row r="1" customFormat="false" ht="36" hidden="false" customHeight="true" outlineLevel="0" collapsed="false">
      <c r="A1" s="64" t="s">
        <v>124</v>
      </c>
      <c r="B1" s="64"/>
      <c r="C1" s="64"/>
      <c r="D1" s="64"/>
      <c r="E1" s="64"/>
      <c r="F1" s="64"/>
      <c r="G1" s="64"/>
      <c r="H1" s="64"/>
    </row>
    <row r="2" customFormat="false" ht="31.5" hidden="false" customHeight="true" outlineLevel="0" collapsed="false">
      <c r="A2" s="65" t="s">
        <v>125</v>
      </c>
      <c r="B2" s="65"/>
      <c r="C2" s="66" t="n">
        <v>2954.7</v>
      </c>
      <c r="D2" s="67" t="s">
        <v>126</v>
      </c>
      <c r="E2" s="68" t="n">
        <f aca="false">IFERROR(LOOKUP(2,1/(F6:F505&lt;&gt;""),G6:G505),C2)</f>
        <v>3408.09</v>
      </c>
      <c r="F2" s="67" t="s">
        <v>127</v>
      </c>
      <c r="G2" s="69" t="n">
        <v>46141</v>
      </c>
      <c r="H2" s="69"/>
    </row>
    <row r="3" customFormat="false" ht="21.75" hidden="false" customHeight="true" outlineLevel="0" collapsed="false">
      <c r="A3" s="70" t="s">
        <v>128</v>
      </c>
      <c r="B3" s="70"/>
      <c r="C3" s="70"/>
      <c r="D3" s="70"/>
      <c r="E3" s="70"/>
      <c r="F3" s="70"/>
      <c r="G3" s="70"/>
      <c r="H3" s="70"/>
    </row>
    <row r="4" customFormat="false" ht="7.5" hidden="false" customHeight="true" outlineLevel="0" collapsed="false"/>
    <row r="5" customFormat="false" ht="24" hidden="false" customHeight="true" outlineLevel="0" collapsed="false">
      <c r="A5" s="42" t="s">
        <v>43</v>
      </c>
      <c r="B5" s="42" t="s">
        <v>129</v>
      </c>
      <c r="C5" s="43" t="s">
        <v>130</v>
      </c>
      <c r="D5" s="42" t="s">
        <v>131</v>
      </c>
      <c r="E5" s="43" t="s">
        <v>132</v>
      </c>
      <c r="F5" s="44" t="s">
        <v>133</v>
      </c>
      <c r="G5" s="44" t="s">
        <v>134</v>
      </c>
      <c r="H5" s="43" t="s">
        <v>135</v>
      </c>
      <c r="I5" s="42" t="s">
        <v>136</v>
      </c>
      <c r="J5" s="42" t="s">
        <v>137</v>
      </c>
    </row>
    <row r="6" customFormat="false" ht="18" hidden="false" customHeight="true" outlineLevel="0" collapsed="false">
      <c r="A6" s="71" t="n">
        <v>1</v>
      </c>
      <c r="B6" s="72" t="n">
        <v>46113</v>
      </c>
      <c r="C6" s="73" t="s">
        <v>138</v>
      </c>
      <c r="D6" s="74" t="s">
        <v>139</v>
      </c>
      <c r="E6" s="75" t="s">
        <v>110</v>
      </c>
      <c r="F6" s="76" t="n">
        <v>227.5</v>
      </c>
      <c r="G6" s="77" t="n">
        <v>2727.2</v>
      </c>
      <c r="H6" s="78" t="s">
        <v>140</v>
      </c>
      <c r="I6" s="79" t="str">
        <f aca="false">IF(B6="","",TEXT(B6,"mmm"))</f>
        <v>Apr</v>
      </c>
      <c r="J6" s="80" t="n">
        <f aca="false">IF(B6="","",YEAR(B6))</f>
        <v>2026</v>
      </c>
    </row>
    <row r="7" customFormat="false" ht="18" hidden="false" customHeight="true" outlineLevel="0" collapsed="false">
      <c r="A7" s="81" t="n">
        <v>2</v>
      </c>
      <c r="B7" s="82" t="n">
        <v>46113</v>
      </c>
      <c r="C7" s="83" t="s">
        <v>141</v>
      </c>
      <c r="D7" s="84" t="s">
        <v>139</v>
      </c>
      <c r="E7" s="85" t="s">
        <v>142</v>
      </c>
      <c r="F7" s="86" t="n">
        <v>42.53</v>
      </c>
      <c r="G7" s="87" t="n">
        <v>2684.67</v>
      </c>
      <c r="H7" s="88" t="s">
        <v>143</v>
      </c>
      <c r="I7" s="79" t="str">
        <f aca="false">IF(B7="","",TEXT(B7,"mmm"))</f>
        <v>Apr</v>
      </c>
      <c r="J7" s="80" t="n">
        <f aca="false">IF(B7="","",YEAR(B7))</f>
        <v>2026</v>
      </c>
    </row>
    <row r="8" customFormat="false" ht="18" hidden="false" customHeight="true" outlineLevel="0" collapsed="false">
      <c r="A8" s="71" t="n">
        <v>3</v>
      </c>
      <c r="B8" s="72" t="n">
        <v>46113</v>
      </c>
      <c r="C8" s="73" t="s">
        <v>144</v>
      </c>
      <c r="D8" s="74" t="s">
        <v>139</v>
      </c>
      <c r="E8" s="75" t="s">
        <v>145</v>
      </c>
      <c r="F8" s="76" t="n">
        <v>16.25</v>
      </c>
      <c r="G8" s="77" t="n">
        <v>2668.42</v>
      </c>
      <c r="H8" s="78" t="s">
        <v>146</v>
      </c>
      <c r="I8" s="79" t="str">
        <f aca="false">IF(B8="","",TEXT(B8,"mmm"))</f>
        <v>Apr</v>
      </c>
      <c r="J8" s="80" t="n">
        <f aca="false">IF(B8="","",YEAR(B8))</f>
        <v>2026</v>
      </c>
    </row>
    <row r="9" customFormat="false" ht="18" hidden="false" customHeight="true" outlineLevel="0" collapsed="false">
      <c r="A9" s="81" t="n">
        <v>4</v>
      </c>
      <c r="B9" s="82" t="n">
        <v>46113</v>
      </c>
      <c r="C9" s="83" t="s">
        <v>147</v>
      </c>
      <c r="D9" s="84" t="s">
        <v>139</v>
      </c>
      <c r="E9" s="85" t="s">
        <v>79</v>
      </c>
      <c r="F9" s="86" t="n">
        <v>500</v>
      </c>
      <c r="G9" s="87" t="n">
        <v>2168.42</v>
      </c>
      <c r="H9" s="88" t="s">
        <v>148</v>
      </c>
      <c r="I9" s="79" t="str">
        <f aca="false">IF(B9="","",TEXT(B9,"mmm"))</f>
        <v>Apr</v>
      </c>
      <c r="J9" s="80" t="n">
        <f aca="false">IF(B9="","",YEAR(B9))</f>
        <v>2026</v>
      </c>
    </row>
    <row r="10" customFormat="false" ht="18" hidden="false" customHeight="true" outlineLevel="0" collapsed="false">
      <c r="A10" s="71" t="n">
        <v>5</v>
      </c>
      <c r="B10" s="72" t="n">
        <v>46114</v>
      </c>
      <c r="C10" s="73" t="s">
        <v>149</v>
      </c>
      <c r="D10" s="74" t="s">
        <v>139</v>
      </c>
      <c r="E10" s="75" t="s">
        <v>112</v>
      </c>
      <c r="F10" s="76" t="n">
        <v>1309.17</v>
      </c>
      <c r="G10" s="77" t="n">
        <v>859.25</v>
      </c>
      <c r="H10" s="78" t="s">
        <v>150</v>
      </c>
      <c r="I10" s="79" t="str">
        <f aca="false">IF(B10="","",TEXT(B10,"mmm"))</f>
        <v>Apr</v>
      </c>
      <c r="J10" s="80" t="n">
        <f aca="false">IF(B10="","",YEAR(B10))</f>
        <v>2026</v>
      </c>
    </row>
    <row r="11" customFormat="false" ht="18" hidden="false" customHeight="true" outlineLevel="0" collapsed="false">
      <c r="A11" s="81" t="n">
        <v>6</v>
      </c>
      <c r="B11" s="82" t="n">
        <v>46114</v>
      </c>
      <c r="C11" s="83" t="s">
        <v>151</v>
      </c>
      <c r="D11" s="84" t="s">
        <v>139</v>
      </c>
      <c r="E11" s="85" t="s">
        <v>85</v>
      </c>
      <c r="F11" s="86" t="n">
        <v>600</v>
      </c>
      <c r="G11" s="89" t="n">
        <v>259.25</v>
      </c>
      <c r="H11" s="88" t="s">
        <v>152</v>
      </c>
      <c r="I11" s="79" t="str">
        <f aca="false">IF(B11="","",TEXT(B11,"mmm"))</f>
        <v>Apr</v>
      </c>
      <c r="J11" s="80" t="n">
        <f aca="false">IF(B11="","",YEAR(B11))</f>
        <v>2026</v>
      </c>
    </row>
    <row r="12" customFormat="false" ht="18" hidden="false" customHeight="true" outlineLevel="0" collapsed="false">
      <c r="A12" s="71" t="n">
        <v>7</v>
      </c>
      <c r="B12" s="72" t="n">
        <v>46115</v>
      </c>
      <c r="C12" s="73" t="s">
        <v>153</v>
      </c>
      <c r="D12" s="90" t="s">
        <v>154</v>
      </c>
      <c r="E12" s="75" t="s">
        <v>155</v>
      </c>
      <c r="F12" s="76" t="n">
        <v>3909.8</v>
      </c>
      <c r="G12" s="77" t="n">
        <v>4169.05</v>
      </c>
      <c r="H12" s="78" t="s">
        <v>156</v>
      </c>
      <c r="I12" s="79" t="str">
        <f aca="false">IF(B12="","",TEXT(B12,"mmm"))</f>
        <v>Apr</v>
      </c>
      <c r="J12" s="80" t="n">
        <f aca="false">IF(B12="","",YEAR(B12))</f>
        <v>2026</v>
      </c>
    </row>
    <row r="13" customFormat="false" ht="18" hidden="false" customHeight="true" outlineLevel="0" collapsed="false">
      <c r="A13" s="81" t="n">
        <v>8</v>
      </c>
      <c r="B13" s="82" t="n">
        <v>46115</v>
      </c>
      <c r="C13" s="83" t="s">
        <v>157</v>
      </c>
      <c r="D13" s="84" t="s">
        <v>139</v>
      </c>
      <c r="E13" s="85"/>
      <c r="F13" s="86" t="n">
        <v>128.59</v>
      </c>
      <c r="G13" s="87" t="n">
        <v>4040.46</v>
      </c>
      <c r="H13" s="88" t="s">
        <v>158</v>
      </c>
      <c r="I13" s="79" t="str">
        <f aca="false">IF(B13="","",TEXT(B13,"mmm"))</f>
        <v>Apr</v>
      </c>
      <c r="J13" s="80" t="n">
        <f aca="false">IF(B13="","",YEAR(B13))</f>
        <v>2026</v>
      </c>
    </row>
    <row r="14" customFormat="false" ht="18" hidden="false" customHeight="true" outlineLevel="0" collapsed="false">
      <c r="A14" s="71" t="n">
        <v>9</v>
      </c>
      <c r="B14" s="72" t="n">
        <v>46115</v>
      </c>
      <c r="C14" s="73" t="s">
        <v>159</v>
      </c>
      <c r="D14" s="74" t="s">
        <v>139</v>
      </c>
      <c r="E14" s="75" t="s">
        <v>103</v>
      </c>
      <c r="F14" s="76" t="n">
        <v>18.98</v>
      </c>
      <c r="G14" s="77" t="n">
        <v>4021.48</v>
      </c>
      <c r="H14" s="78" t="s">
        <v>160</v>
      </c>
      <c r="I14" s="79" t="str">
        <f aca="false">IF(B14="","",TEXT(B14,"mmm"))</f>
        <v>Apr</v>
      </c>
      <c r="J14" s="80" t="n">
        <f aca="false">IF(B14="","",YEAR(B14))</f>
        <v>2026</v>
      </c>
    </row>
    <row r="15" customFormat="false" ht="18" hidden="false" customHeight="true" outlineLevel="0" collapsed="false">
      <c r="A15" s="81" t="n">
        <v>10</v>
      </c>
      <c r="B15" s="82" t="n">
        <v>46115</v>
      </c>
      <c r="C15" s="83" t="s">
        <v>161</v>
      </c>
      <c r="D15" s="84" t="s">
        <v>139</v>
      </c>
      <c r="E15" s="85" t="s">
        <v>79</v>
      </c>
      <c r="F15" s="86" t="n">
        <v>91</v>
      </c>
      <c r="G15" s="87" t="n">
        <v>3930.48</v>
      </c>
      <c r="H15" s="88" t="s">
        <v>162</v>
      </c>
      <c r="I15" s="79" t="str">
        <f aca="false">IF(B15="","",TEXT(B15,"mmm"))</f>
        <v>Apr</v>
      </c>
      <c r="J15" s="80" t="n">
        <f aca="false">IF(B15="","",YEAR(B15))</f>
        <v>2026</v>
      </c>
    </row>
    <row r="16" customFormat="false" ht="18" hidden="false" customHeight="true" outlineLevel="0" collapsed="false">
      <c r="A16" s="71" t="n">
        <v>11</v>
      </c>
      <c r="B16" s="72" t="n">
        <v>46115</v>
      </c>
      <c r="C16" s="73" t="s">
        <v>163</v>
      </c>
      <c r="D16" s="74" t="s">
        <v>139</v>
      </c>
      <c r="E16" s="75" t="s">
        <v>164</v>
      </c>
      <c r="F16" s="76" t="n">
        <v>677.4</v>
      </c>
      <c r="G16" s="77" t="n">
        <v>3253.08</v>
      </c>
      <c r="H16" s="78" t="s">
        <v>165</v>
      </c>
      <c r="I16" s="79" t="str">
        <f aca="false">IF(B16="","",TEXT(B16,"mmm"))</f>
        <v>Apr</v>
      </c>
      <c r="J16" s="80" t="n">
        <f aca="false">IF(B16="","",YEAR(B16))</f>
        <v>2026</v>
      </c>
    </row>
    <row r="17" customFormat="false" ht="18" hidden="false" customHeight="true" outlineLevel="0" collapsed="false">
      <c r="A17" s="81" t="n">
        <v>12</v>
      </c>
      <c r="B17" s="82" t="n">
        <v>46115</v>
      </c>
      <c r="C17" s="83" t="s">
        <v>166</v>
      </c>
      <c r="D17" s="84" t="s">
        <v>139</v>
      </c>
      <c r="E17" s="85" t="s">
        <v>103</v>
      </c>
      <c r="F17" s="86" t="n">
        <v>42.77</v>
      </c>
      <c r="G17" s="87" t="n">
        <v>3210.31</v>
      </c>
      <c r="H17" s="88" t="s">
        <v>167</v>
      </c>
      <c r="I17" s="79" t="str">
        <f aca="false">IF(B17="","",TEXT(B17,"mmm"))</f>
        <v>Apr</v>
      </c>
      <c r="J17" s="80" t="n">
        <f aca="false">IF(B17="","",YEAR(B17))</f>
        <v>2026</v>
      </c>
    </row>
    <row r="18" customFormat="false" ht="18" hidden="false" customHeight="true" outlineLevel="0" collapsed="false">
      <c r="A18" s="71" t="n">
        <v>13</v>
      </c>
      <c r="B18" s="72" t="n">
        <v>46118</v>
      </c>
      <c r="C18" s="73" t="s">
        <v>168</v>
      </c>
      <c r="D18" s="90" t="s">
        <v>154</v>
      </c>
      <c r="E18" s="75" t="s">
        <v>103</v>
      </c>
      <c r="F18" s="76" t="n">
        <v>87.48</v>
      </c>
      <c r="G18" s="77" t="n">
        <v>3297.79</v>
      </c>
      <c r="H18" s="78" t="s">
        <v>169</v>
      </c>
      <c r="I18" s="79" t="str">
        <f aca="false">IF(B18="","",TEXT(B18,"mmm"))</f>
        <v>Apr</v>
      </c>
      <c r="J18" s="80" t="n">
        <f aca="false">IF(B18="","",YEAR(B18))</f>
        <v>2026</v>
      </c>
    </row>
    <row r="19" customFormat="false" ht="18" hidden="false" customHeight="true" outlineLevel="0" collapsed="false">
      <c r="A19" s="81" t="n">
        <v>14</v>
      </c>
      <c r="B19" s="82" t="n">
        <v>46118</v>
      </c>
      <c r="C19" s="83" t="s">
        <v>168</v>
      </c>
      <c r="D19" s="91" t="s">
        <v>154</v>
      </c>
      <c r="E19" s="85" t="s">
        <v>103</v>
      </c>
      <c r="F19" s="86" t="n">
        <v>69.29</v>
      </c>
      <c r="G19" s="87" t="n">
        <v>3367.08</v>
      </c>
      <c r="H19" s="88" t="s">
        <v>169</v>
      </c>
      <c r="I19" s="79" t="str">
        <f aca="false">IF(B19="","",TEXT(B19,"mmm"))</f>
        <v>Apr</v>
      </c>
      <c r="J19" s="80" t="n">
        <f aca="false">IF(B19="","",YEAR(B19))</f>
        <v>2026</v>
      </c>
    </row>
    <row r="20" customFormat="false" ht="18" hidden="false" customHeight="true" outlineLevel="0" collapsed="false">
      <c r="A20" s="71" t="n">
        <v>15</v>
      </c>
      <c r="B20" s="72" t="n">
        <v>46118</v>
      </c>
      <c r="C20" s="73" t="s">
        <v>168</v>
      </c>
      <c r="D20" s="90" t="s">
        <v>154</v>
      </c>
      <c r="E20" s="75" t="s">
        <v>103</v>
      </c>
      <c r="F20" s="76" t="n">
        <v>9.02</v>
      </c>
      <c r="G20" s="77" t="n">
        <v>3376.1</v>
      </c>
      <c r="H20" s="78" t="s">
        <v>169</v>
      </c>
      <c r="I20" s="79" t="str">
        <f aca="false">IF(B20="","",TEXT(B20,"mmm"))</f>
        <v>Apr</v>
      </c>
      <c r="J20" s="80" t="n">
        <f aca="false">IF(B20="","",YEAR(B20))</f>
        <v>2026</v>
      </c>
    </row>
    <row r="21" customFormat="false" ht="18" hidden="false" customHeight="true" outlineLevel="0" collapsed="false">
      <c r="A21" s="81" t="n">
        <v>16</v>
      </c>
      <c r="B21" s="82" t="n">
        <v>46118</v>
      </c>
      <c r="C21" s="83" t="s">
        <v>168</v>
      </c>
      <c r="D21" s="91" t="s">
        <v>154</v>
      </c>
      <c r="E21" s="85" t="s">
        <v>103</v>
      </c>
      <c r="F21" s="86" t="n">
        <v>3.92</v>
      </c>
      <c r="G21" s="87" t="n">
        <v>3380.02</v>
      </c>
      <c r="H21" s="88" t="s">
        <v>169</v>
      </c>
      <c r="I21" s="79" t="str">
        <f aca="false">IF(B21="","",TEXT(B21,"mmm"))</f>
        <v>Apr</v>
      </c>
      <c r="J21" s="80" t="n">
        <f aca="false">IF(B21="","",YEAR(B21))</f>
        <v>2026</v>
      </c>
    </row>
    <row r="22" customFormat="false" ht="18" hidden="false" customHeight="true" outlineLevel="0" collapsed="false">
      <c r="A22" s="71" t="n">
        <v>17</v>
      </c>
      <c r="B22" s="72" t="n">
        <v>46118</v>
      </c>
      <c r="C22" s="73" t="s">
        <v>168</v>
      </c>
      <c r="D22" s="90" t="s">
        <v>154</v>
      </c>
      <c r="E22" s="75" t="s">
        <v>103</v>
      </c>
      <c r="F22" s="76" t="n">
        <v>3.65</v>
      </c>
      <c r="G22" s="77" t="n">
        <v>3383.67</v>
      </c>
      <c r="H22" s="78" t="s">
        <v>169</v>
      </c>
      <c r="I22" s="79" t="str">
        <f aca="false">IF(B22="","",TEXT(B22,"mmm"))</f>
        <v>Apr</v>
      </c>
      <c r="J22" s="80" t="n">
        <f aca="false">IF(B22="","",YEAR(B22))</f>
        <v>2026</v>
      </c>
    </row>
    <row r="23" customFormat="false" ht="18" hidden="false" customHeight="true" outlineLevel="0" collapsed="false">
      <c r="A23" s="81" t="n">
        <v>18</v>
      </c>
      <c r="B23" s="82" t="n">
        <v>46118</v>
      </c>
      <c r="C23" s="83" t="s">
        <v>168</v>
      </c>
      <c r="D23" s="91" t="s">
        <v>154</v>
      </c>
      <c r="E23" s="85" t="s">
        <v>103</v>
      </c>
      <c r="F23" s="86" t="n">
        <v>2.85</v>
      </c>
      <c r="G23" s="87" t="n">
        <v>3386.52</v>
      </c>
      <c r="H23" s="88" t="s">
        <v>169</v>
      </c>
      <c r="I23" s="79" t="str">
        <f aca="false">IF(B23="","",TEXT(B23,"mmm"))</f>
        <v>Apr</v>
      </c>
      <c r="J23" s="80" t="n">
        <f aca="false">IF(B23="","",YEAR(B23))</f>
        <v>2026</v>
      </c>
    </row>
    <row r="24" customFormat="false" ht="18" hidden="false" customHeight="true" outlineLevel="0" collapsed="false">
      <c r="A24" s="71" t="n">
        <v>19</v>
      </c>
      <c r="B24" s="72" t="n">
        <v>46118</v>
      </c>
      <c r="C24" s="73" t="s">
        <v>168</v>
      </c>
      <c r="D24" s="90" t="s">
        <v>154</v>
      </c>
      <c r="E24" s="75" t="s">
        <v>103</v>
      </c>
      <c r="F24" s="76" t="n">
        <v>0.54</v>
      </c>
      <c r="G24" s="77" t="n">
        <v>3387.06</v>
      </c>
      <c r="H24" s="78" t="s">
        <v>169</v>
      </c>
      <c r="I24" s="79" t="str">
        <f aca="false">IF(B24="","",TEXT(B24,"mmm"))</f>
        <v>Apr</v>
      </c>
      <c r="J24" s="80" t="n">
        <f aca="false">IF(B24="","",YEAR(B24))</f>
        <v>2026</v>
      </c>
    </row>
    <row r="25" customFormat="false" ht="18" hidden="false" customHeight="true" outlineLevel="0" collapsed="false">
      <c r="A25" s="81" t="n">
        <v>20</v>
      </c>
      <c r="B25" s="82" t="n">
        <v>46118</v>
      </c>
      <c r="C25" s="83" t="s">
        <v>170</v>
      </c>
      <c r="D25" s="84" t="s">
        <v>139</v>
      </c>
      <c r="E25" s="85"/>
      <c r="F25" s="86" t="n">
        <v>121.54</v>
      </c>
      <c r="G25" s="87" t="n">
        <v>3265.52</v>
      </c>
      <c r="H25" s="88" t="s">
        <v>158</v>
      </c>
      <c r="I25" s="79" t="str">
        <f aca="false">IF(B25="","",TEXT(B25,"mmm"))</f>
        <v>Apr</v>
      </c>
      <c r="J25" s="80" t="n">
        <f aca="false">IF(B25="","",YEAR(B25))</f>
        <v>2026</v>
      </c>
    </row>
    <row r="26" customFormat="false" ht="18" hidden="false" customHeight="true" outlineLevel="0" collapsed="false">
      <c r="A26" s="71" t="n">
        <v>21</v>
      </c>
      <c r="B26" s="72" t="n">
        <v>46118</v>
      </c>
      <c r="C26" s="73" t="s">
        <v>171</v>
      </c>
      <c r="D26" s="92" t="s">
        <v>172</v>
      </c>
      <c r="E26" s="75" t="s">
        <v>173</v>
      </c>
      <c r="F26" s="76" t="n">
        <v>-80</v>
      </c>
      <c r="G26" s="77" t="n">
        <v>3185.52</v>
      </c>
      <c r="H26" s="78" t="s">
        <v>174</v>
      </c>
      <c r="I26" s="79" t="str">
        <f aca="false">IF(B26="","",TEXT(B26,"mmm"))</f>
        <v>Apr</v>
      </c>
      <c r="J26" s="80" t="n">
        <f aca="false">IF(B26="","",YEAR(B26))</f>
        <v>2026</v>
      </c>
    </row>
    <row r="27" customFormat="false" ht="18" hidden="false" customHeight="true" outlineLevel="0" collapsed="false">
      <c r="A27" s="81" t="n">
        <v>22</v>
      </c>
      <c r="B27" s="82" t="n">
        <v>46118</v>
      </c>
      <c r="C27" s="83" t="s">
        <v>175</v>
      </c>
      <c r="D27" s="93" t="s">
        <v>172</v>
      </c>
      <c r="E27" s="85" t="s">
        <v>173</v>
      </c>
      <c r="F27" s="86" t="n">
        <v>-10</v>
      </c>
      <c r="G27" s="87" t="n">
        <v>3175.52</v>
      </c>
      <c r="H27" s="88" t="s">
        <v>174</v>
      </c>
      <c r="I27" s="79" t="str">
        <f aca="false">IF(B27="","",TEXT(B27,"mmm"))</f>
        <v>Apr</v>
      </c>
      <c r="J27" s="80" t="n">
        <f aca="false">IF(B27="","",YEAR(B27))</f>
        <v>2026</v>
      </c>
    </row>
    <row r="28" customFormat="false" ht="18" hidden="false" customHeight="true" outlineLevel="0" collapsed="false">
      <c r="A28" s="71" t="n">
        <v>23</v>
      </c>
      <c r="B28" s="72" t="n">
        <v>46118</v>
      </c>
      <c r="C28" s="73" t="s">
        <v>176</v>
      </c>
      <c r="D28" s="92" t="s">
        <v>172</v>
      </c>
      <c r="E28" s="75" t="s">
        <v>173</v>
      </c>
      <c r="F28" s="76" t="n">
        <v>-20</v>
      </c>
      <c r="G28" s="77" t="n">
        <v>3155.52</v>
      </c>
      <c r="H28" s="78" t="s">
        <v>174</v>
      </c>
      <c r="I28" s="79" t="str">
        <f aca="false">IF(B28="","",TEXT(B28,"mmm"))</f>
        <v>Apr</v>
      </c>
      <c r="J28" s="80" t="n">
        <f aca="false">IF(B28="","",YEAR(B28))</f>
        <v>2026</v>
      </c>
    </row>
    <row r="29" customFormat="false" ht="18" hidden="false" customHeight="true" outlineLevel="0" collapsed="false">
      <c r="A29" s="81" t="n">
        <v>24</v>
      </c>
      <c r="B29" s="82" t="n">
        <v>46118</v>
      </c>
      <c r="C29" s="83" t="s">
        <v>177</v>
      </c>
      <c r="D29" s="84" t="s">
        <v>139</v>
      </c>
      <c r="E29" s="85" t="s">
        <v>178</v>
      </c>
      <c r="F29" s="86" t="n">
        <v>651.55</v>
      </c>
      <c r="G29" s="87" t="n">
        <v>2503.97</v>
      </c>
      <c r="H29" s="88" t="s">
        <v>179</v>
      </c>
      <c r="I29" s="79" t="str">
        <f aca="false">IF(B29="","",TEXT(B29,"mmm"))</f>
        <v>Apr</v>
      </c>
      <c r="J29" s="80" t="n">
        <f aca="false">IF(B29="","",YEAR(B29))</f>
        <v>2026</v>
      </c>
    </row>
    <row r="30" customFormat="false" ht="18" hidden="false" customHeight="true" outlineLevel="0" collapsed="false">
      <c r="A30" s="71" t="n">
        <v>25</v>
      </c>
      <c r="B30" s="72" t="n">
        <v>46118</v>
      </c>
      <c r="C30" s="73" t="s">
        <v>180</v>
      </c>
      <c r="D30" s="74" t="s">
        <v>139</v>
      </c>
      <c r="E30" s="75" t="s">
        <v>89</v>
      </c>
      <c r="F30" s="76" t="n">
        <v>434.31</v>
      </c>
      <c r="G30" s="77" t="n">
        <v>2069.66</v>
      </c>
      <c r="H30" s="78" t="s">
        <v>181</v>
      </c>
      <c r="I30" s="79" t="str">
        <f aca="false">IF(B30="","",TEXT(B30,"mmm"))</f>
        <v>Apr</v>
      </c>
      <c r="J30" s="80" t="n">
        <f aca="false">IF(B30="","",YEAR(B30))</f>
        <v>2026</v>
      </c>
    </row>
    <row r="31" customFormat="false" ht="18" hidden="false" customHeight="true" outlineLevel="0" collapsed="false">
      <c r="A31" s="81" t="n">
        <v>26</v>
      </c>
      <c r="B31" s="82" t="n">
        <v>46118</v>
      </c>
      <c r="C31" s="83" t="s">
        <v>182</v>
      </c>
      <c r="D31" s="84" t="s">
        <v>139</v>
      </c>
      <c r="E31" s="85"/>
      <c r="F31" s="86" t="n">
        <v>29</v>
      </c>
      <c r="G31" s="87" t="n">
        <v>2040.66</v>
      </c>
      <c r="H31" s="88" t="s">
        <v>183</v>
      </c>
      <c r="I31" s="79" t="str">
        <f aca="false">IF(B31="","",TEXT(B31,"mmm"))</f>
        <v>Apr</v>
      </c>
      <c r="J31" s="80" t="n">
        <f aca="false">IF(B31="","",YEAR(B31))</f>
        <v>2026</v>
      </c>
    </row>
    <row r="32" customFormat="false" ht="18" hidden="false" customHeight="true" outlineLevel="0" collapsed="false">
      <c r="A32" s="71" t="n">
        <v>27</v>
      </c>
      <c r="B32" s="72" t="n">
        <v>46118</v>
      </c>
      <c r="C32" s="73" t="s">
        <v>184</v>
      </c>
      <c r="D32" s="74" t="s">
        <v>139</v>
      </c>
      <c r="E32" s="75" t="s">
        <v>103</v>
      </c>
      <c r="F32" s="76" t="n">
        <v>15</v>
      </c>
      <c r="G32" s="77" t="n">
        <v>2025.66</v>
      </c>
      <c r="H32" s="78" t="s">
        <v>185</v>
      </c>
      <c r="I32" s="79" t="str">
        <f aca="false">IF(B32="","",TEXT(B32,"mmm"))</f>
        <v>Apr</v>
      </c>
      <c r="J32" s="80" t="n">
        <f aca="false">IF(B32="","",YEAR(B32))</f>
        <v>2026</v>
      </c>
    </row>
    <row r="33" customFormat="false" ht="18" hidden="false" customHeight="true" outlineLevel="0" collapsed="false">
      <c r="A33" s="81" t="n">
        <v>28</v>
      </c>
      <c r="B33" s="82" t="n">
        <v>46118</v>
      </c>
      <c r="C33" s="83" t="s">
        <v>186</v>
      </c>
      <c r="D33" s="84" t="s">
        <v>139</v>
      </c>
      <c r="E33" s="85" t="s">
        <v>103</v>
      </c>
      <c r="F33" s="86" t="n">
        <v>4.21</v>
      </c>
      <c r="G33" s="87" t="n">
        <v>2021.45</v>
      </c>
      <c r="H33" s="88" t="s">
        <v>169</v>
      </c>
      <c r="I33" s="79" t="str">
        <f aca="false">IF(B33="","",TEXT(B33,"mmm"))</f>
        <v>Apr</v>
      </c>
      <c r="J33" s="80" t="n">
        <f aca="false">IF(B33="","",YEAR(B33))</f>
        <v>2026</v>
      </c>
    </row>
    <row r="34" customFormat="false" ht="18" hidden="false" customHeight="true" outlineLevel="0" collapsed="false">
      <c r="A34" s="71" t="n">
        <v>29</v>
      </c>
      <c r="B34" s="72" t="n">
        <v>46118</v>
      </c>
      <c r="C34" s="73" t="s">
        <v>187</v>
      </c>
      <c r="D34" s="74" t="s">
        <v>139</v>
      </c>
      <c r="E34" s="75" t="s">
        <v>85</v>
      </c>
      <c r="F34" s="76" t="n">
        <v>402.82</v>
      </c>
      <c r="G34" s="77" t="n">
        <v>1618.63</v>
      </c>
      <c r="H34" s="78" t="s">
        <v>188</v>
      </c>
      <c r="I34" s="79" t="str">
        <f aca="false">IF(B34="","",TEXT(B34,"mmm"))</f>
        <v>Apr</v>
      </c>
      <c r="J34" s="80" t="n">
        <f aca="false">IF(B34="","",YEAR(B34))</f>
        <v>2026</v>
      </c>
    </row>
    <row r="35" customFormat="false" ht="18" hidden="false" customHeight="true" outlineLevel="0" collapsed="false">
      <c r="A35" s="81" t="n">
        <v>30</v>
      </c>
      <c r="B35" s="82" t="n">
        <v>46118</v>
      </c>
      <c r="C35" s="83" t="s">
        <v>189</v>
      </c>
      <c r="D35" s="84" t="s">
        <v>139</v>
      </c>
      <c r="E35" s="85" t="s">
        <v>85</v>
      </c>
      <c r="F35" s="86" t="n">
        <v>85.01</v>
      </c>
      <c r="G35" s="87" t="n">
        <v>1533.62</v>
      </c>
      <c r="H35" s="88" t="s">
        <v>190</v>
      </c>
      <c r="I35" s="79" t="str">
        <f aca="false">IF(B35="","",TEXT(B35,"mmm"))</f>
        <v>Apr</v>
      </c>
      <c r="J35" s="80" t="n">
        <f aca="false">IF(B35="","",YEAR(B35))</f>
        <v>2026</v>
      </c>
    </row>
    <row r="36" customFormat="false" ht="18" hidden="false" customHeight="true" outlineLevel="0" collapsed="false">
      <c r="A36" s="71" t="n">
        <v>31</v>
      </c>
      <c r="B36" s="72" t="n">
        <v>46119</v>
      </c>
      <c r="C36" s="73" t="s">
        <v>191</v>
      </c>
      <c r="D36" s="74" t="s">
        <v>139</v>
      </c>
      <c r="E36" s="75" t="s">
        <v>192</v>
      </c>
      <c r="F36" s="76" t="n">
        <v>672.8</v>
      </c>
      <c r="G36" s="77" t="n">
        <v>860.82</v>
      </c>
      <c r="H36" s="78" t="s">
        <v>193</v>
      </c>
      <c r="I36" s="79" t="str">
        <f aca="false">IF(B36="","",TEXT(B36,"mmm"))</f>
        <v>Apr</v>
      </c>
      <c r="J36" s="80" t="n">
        <f aca="false">IF(B36="","",YEAR(B36))</f>
        <v>2026</v>
      </c>
    </row>
    <row r="37" customFormat="false" ht="18" hidden="false" customHeight="true" outlineLevel="0" collapsed="false">
      <c r="A37" s="81" t="n">
        <v>32</v>
      </c>
      <c r="B37" s="82" t="n">
        <v>46119</v>
      </c>
      <c r="C37" s="83" t="s">
        <v>194</v>
      </c>
      <c r="D37" s="84" t="s">
        <v>139</v>
      </c>
      <c r="E37" s="85" t="s">
        <v>103</v>
      </c>
      <c r="F37" s="86" t="n">
        <v>105</v>
      </c>
      <c r="G37" s="87" t="n">
        <v>755.82</v>
      </c>
      <c r="H37" s="88" t="s">
        <v>169</v>
      </c>
      <c r="I37" s="79" t="str">
        <f aca="false">IF(B37="","",TEXT(B37,"mmm"))</f>
        <v>Apr</v>
      </c>
      <c r="J37" s="80" t="n">
        <f aca="false">IF(B37="","",YEAR(B37))</f>
        <v>2026</v>
      </c>
    </row>
    <row r="38" customFormat="false" ht="18" hidden="false" customHeight="true" outlineLevel="0" collapsed="false">
      <c r="A38" s="71" t="n">
        <v>33</v>
      </c>
      <c r="B38" s="72" t="n">
        <v>46120</v>
      </c>
      <c r="C38" s="73" t="s">
        <v>195</v>
      </c>
      <c r="D38" s="74" t="s">
        <v>139</v>
      </c>
      <c r="E38" s="75" t="s">
        <v>196</v>
      </c>
      <c r="F38" s="76" t="n">
        <v>200</v>
      </c>
      <c r="G38" s="77" t="n">
        <v>555.82</v>
      </c>
      <c r="H38" s="78" t="s">
        <v>197</v>
      </c>
      <c r="I38" s="79" t="str">
        <f aca="false">IF(B38="","",TEXT(B38,"mmm"))</f>
        <v>Apr</v>
      </c>
      <c r="J38" s="80" t="n">
        <f aca="false">IF(B38="","",YEAR(B38))</f>
        <v>2026</v>
      </c>
    </row>
    <row r="39" customFormat="false" ht="18" hidden="false" customHeight="true" outlineLevel="0" collapsed="false">
      <c r="A39" s="81" t="n">
        <v>34</v>
      </c>
      <c r="B39" s="82" t="n">
        <v>46120</v>
      </c>
      <c r="C39" s="83" t="s">
        <v>198</v>
      </c>
      <c r="D39" s="84" t="s">
        <v>139</v>
      </c>
      <c r="E39" s="85" t="s">
        <v>87</v>
      </c>
      <c r="F39" s="86" t="n">
        <v>184.7</v>
      </c>
      <c r="G39" s="89" t="n">
        <v>371.12</v>
      </c>
      <c r="H39" s="88" t="s">
        <v>199</v>
      </c>
      <c r="I39" s="79" t="str">
        <f aca="false">IF(B39="","",TEXT(B39,"mmm"))</f>
        <v>Apr</v>
      </c>
      <c r="J39" s="80" t="n">
        <f aca="false">IF(B39="","",YEAR(B39))</f>
        <v>2026</v>
      </c>
    </row>
    <row r="40" customFormat="false" ht="18" hidden="false" customHeight="true" outlineLevel="0" collapsed="false">
      <c r="A40" s="71" t="n">
        <v>35</v>
      </c>
      <c r="B40" s="72" t="n">
        <v>46121</v>
      </c>
      <c r="C40" s="73" t="s">
        <v>200</v>
      </c>
      <c r="D40" s="90" t="s">
        <v>154</v>
      </c>
      <c r="E40" s="75" t="s">
        <v>201</v>
      </c>
      <c r="F40" s="76" t="n">
        <v>2274.43</v>
      </c>
      <c r="G40" s="77" t="n">
        <v>2645.55</v>
      </c>
      <c r="H40" s="78" t="s">
        <v>202</v>
      </c>
      <c r="I40" s="79" t="str">
        <f aca="false">IF(B40="","",TEXT(B40,"mmm"))</f>
        <v>Apr</v>
      </c>
      <c r="J40" s="80" t="n">
        <f aca="false">IF(B40="","",YEAR(B40))</f>
        <v>2026</v>
      </c>
    </row>
    <row r="41" customFormat="false" ht="18" hidden="false" customHeight="true" outlineLevel="0" collapsed="false">
      <c r="A41" s="81" t="n">
        <v>36</v>
      </c>
      <c r="B41" s="82" t="n">
        <v>46121</v>
      </c>
      <c r="C41" s="83" t="s">
        <v>203</v>
      </c>
      <c r="D41" s="84" t="s">
        <v>139</v>
      </c>
      <c r="E41" s="85" t="s">
        <v>204</v>
      </c>
      <c r="F41" s="86" t="n">
        <v>200</v>
      </c>
      <c r="G41" s="87" t="n">
        <v>2445.55</v>
      </c>
      <c r="H41" s="88" t="s">
        <v>205</v>
      </c>
      <c r="I41" s="79" t="str">
        <f aca="false">IF(B41="","",TEXT(B41,"mmm"))</f>
        <v>Apr</v>
      </c>
      <c r="J41" s="80" t="n">
        <f aca="false">IF(B41="","",YEAR(B41))</f>
        <v>2026</v>
      </c>
    </row>
    <row r="42" customFormat="false" ht="18" hidden="false" customHeight="true" outlineLevel="0" collapsed="false">
      <c r="A42" s="71" t="n">
        <v>37</v>
      </c>
      <c r="B42" s="72" t="n">
        <v>46121</v>
      </c>
      <c r="C42" s="73" t="s">
        <v>206</v>
      </c>
      <c r="D42" s="74" t="s">
        <v>139</v>
      </c>
      <c r="E42" s="75" t="s">
        <v>207</v>
      </c>
      <c r="F42" s="76" t="n">
        <v>50</v>
      </c>
      <c r="G42" s="77" t="n">
        <v>2395.55</v>
      </c>
      <c r="H42" s="78" t="s">
        <v>208</v>
      </c>
      <c r="I42" s="79" t="str">
        <f aca="false">IF(B42="","",TEXT(B42,"mmm"))</f>
        <v>Apr</v>
      </c>
      <c r="J42" s="80" t="n">
        <f aca="false">IF(B42="","",YEAR(B42))</f>
        <v>2026</v>
      </c>
    </row>
    <row r="43" customFormat="false" ht="18" hidden="false" customHeight="true" outlineLevel="0" collapsed="false">
      <c r="A43" s="81" t="n">
        <v>38</v>
      </c>
      <c r="B43" s="82" t="n">
        <v>46121</v>
      </c>
      <c r="C43" s="83" t="s">
        <v>209</v>
      </c>
      <c r="D43" s="84" t="s">
        <v>139</v>
      </c>
      <c r="E43" s="85" t="s">
        <v>56</v>
      </c>
      <c r="F43" s="86" t="n">
        <v>200</v>
      </c>
      <c r="G43" s="87" t="n">
        <v>2195.55</v>
      </c>
      <c r="H43" s="88" t="s">
        <v>210</v>
      </c>
      <c r="I43" s="79" t="str">
        <f aca="false">IF(B43="","",TEXT(B43,"mmm"))</f>
        <v>Apr</v>
      </c>
      <c r="J43" s="80" t="n">
        <f aca="false">IF(B43="","",YEAR(B43))</f>
        <v>2026</v>
      </c>
    </row>
    <row r="44" customFormat="false" ht="18" hidden="false" customHeight="true" outlineLevel="0" collapsed="false">
      <c r="A44" s="71" t="n">
        <v>39</v>
      </c>
      <c r="B44" s="72" t="n">
        <v>46122</v>
      </c>
      <c r="C44" s="73" t="s">
        <v>211</v>
      </c>
      <c r="D44" s="74" t="s">
        <v>139</v>
      </c>
      <c r="E44" s="75" t="s">
        <v>81</v>
      </c>
      <c r="F44" s="76" t="n">
        <v>72.54</v>
      </c>
      <c r="G44" s="77" t="n">
        <v>2123.01</v>
      </c>
      <c r="H44" s="78" t="s">
        <v>212</v>
      </c>
      <c r="I44" s="79" t="str">
        <f aca="false">IF(B44="","",TEXT(B44,"mmm"))</f>
        <v>Apr</v>
      </c>
      <c r="J44" s="80" t="n">
        <f aca="false">IF(B44="","",YEAR(B44))</f>
        <v>2026</v>
      </c>
    </row>
    <row r="45" customFormat="false" ht="18" hidden="false" customHeight="true" outlineLevel="0" collapsed="false">
      <c r="A45" s="81" t="n">
        <v>40</v>
      </c>
      <c r="B45" s="82" t="n">
        <v>46125</v>
      </c>
      <c r="C45" s="83" t="s">
        <v>213</v>
      </c>
      <c r="D45" s="93" t="s">
        <v>172</v>
      </c>
      <c r="E45" s="85" t="s">
        <v>214</v>
      </c>
      <c r="F45" s="86" t="n">
        <v>600</v>
      </c>
      <c r="G45" s="87" t="n">
        <v>2723.01</v>
      </c>
      <c r="H45" s="88" t="s">
        <v>215</v>
      </c>
      <c r="I45" s="79" t="str">
        <f aca="false">IF(B45="","",TEXT(B45,"mmm"))</f>
        <v>Apr</v>
      </c>
      <c r="J45" s="80" t="n">
        <f aca="false">IF(B45="","",YEAR(B45))</f>
        <v>2026</v>
      </c>
    </row>
    <row r="46" customFormat="false" ht="18" hidden="false" customHeight="true" outlineLevel="0" collapsed="false">
      <c r="A46" s="71" t="n">
        <v>41</v>
      </c>
      <c r="B46" s="72" t="n">
        <v>46125</v>
      </c>
      <c r="C46" s="73" t="s">
        <v>216</v>
      </c>
      <c r="D46" s="74" t="s">
        <v>139</v>
      </c>
      <c r="E46" s="75" t="s">
        <v>103</v>
      </c>
      <c r="F46" s="76" t="n">
        <v>14.76</v>
      </c>
      <c r="G46" s="77" t="n">
        <v>2708.25</v>
      </c>
      <c r="H46" s="78" t="s">
        <v>169</v>
      </c>
      <c r="I46" s="79" t="str">
        <f aca="false">IF(B46="","",TEXT(B46,"mmm"))</f>
        <v>Apr</v>
      </c>
      <c r="J46" s="80" t="n">
        <f aca="false">IF(B46="","",YEAR(B46))</f>
        <v>2026</v>
      </c>
    </row>
    <row r="47" customFormat="false" ht="18" hidden="false" customHeight="true" outlineLevel="0" collapsed="false">
      <c r="A47" s="81" t="n">
        <v>42</v>
      </c>
      <c r="B47" s="82" t="n">
        <v>46125</v>
      </c>
      <c r="C47" s="83" t="s">
        <v>217</v>
      </c>
      <c r="D47" s="93" t="s">
        <v>172</v>
      </c>
      <c r="E47" s="85" t="s">
        <v>173</v>
      </c>
      <c r="F47" s="86" t="n">
        <v>-50</v>
      </c>
      <c r="G47" s="87" t="n">
        <v>2658.25</v>
      </c>
      <c r="H47" s="88" t="s">
        <v>174</v>
      </c>
      <c r="I47" s="79" t="str">
        <f aca="false">IF(B47="","",TEXT(B47,"mmm"))</f>
        <v>Apr</v>
      </c>
      <c r="J47" s="80" t="n">
        <f aca="false">IF(B47="","",YEAR(B47))</f>
        <v>2026</v>
      </c>
    </row>
    <row r="48" customFormat="false" ht="18" hidden="false" customHeight="true" outlineLevel="0" collapsed="false">
      <c r="A48" s="71" t="n">
        <v>43</v>
      </c>
      <c r="B48" s="72" t="n">
        <v>46125</v>
      </c>
      <c r="C48" s="73" t="s">
        <v>218</v>
      </c>
      <c r="D48" s="74" t="s">
        <v>139</v>
      </c>
      <c r="E48" s="75" t="s">
        <v>142</v>
      </c>
      <c r="F48" s="76" t="n">
        <v>70.7</v>
      </c>
      <c r="G48" s="77" t="n">
        <v>2587.55</v>
      </c>
      <c r="H48" s="78" t="s">
        <v>143</v>
      </c>
      <c r="I48" s="79" t="str">
        <f aca="false">IF(B48="","",TEXT(B48,"mmm"))</f>
        <v>Apr</v>
      </c>
      <c r="J48" s="80" t="n">
        <f aca="false">IF(B48="","",YEAR(B48))</f>
        <v>2026</v>
      </c>
    </row>
    <row r="49" customFormat="false" ht="18" hidden="false" customHeight="true" outlineLevel="0" collapsed="false">
      <c r="A49" s="81" t="n">
        <v>44</v>
      </c>
      <c r="B49" s="82" t="n">
        <v>46125</v>
      </c>
      <c r="C49" s="83" t="s">
        <v>219</v>
      </c>
      <c r="D49" s="84" t="s">
        <v>139</v>
      </c>
      <c r="E49" s="85" t="s">
        <v>142</v>
      </c>
      <c r="F49" s="86" t="n">
        <v>40.34</v>
      </c>
      <c r="G49" s="87" t="n">
        <v>2547.21</v>
      </c>
      <c r="H49" s="88" t="s">
        <v>143</v>
      </c>
      <c r="I49" s="79" t="str">
        <f aca="false">IF(B49="","",TEXT(B49,"mmm"))</f>
        <v>Apr</v>
      </c>
      <c r="J49" s="80" t="n">
        <f aca="false">IF(B49="","",YEAR(B49))</f>
        <v>2026</v>
      </c>
    </row>
    <row r="50" customFormat="false" ht="18" hidden="false" customHeight="true" outlineLevel="0" collapsed="false">
      <c r="A50" s="71" t="n">
        <v>45</v>
      </c>
      <c r="B50" s="72" t="n">
        <v>46125</v>
      </c>
      <c r="C50" s="73" t="s">
        <v>220</v>
      </c>
      <c r="D50" s="74" t="s">
        <v>139</v>
      </c>
      <c r="E50" s="75" t="s">
        <v>142</v>
      </c>
      <c r="F50" s="76" t="n">
        <v>32.54</v>
      </c>
      <c r="G50" s="77" t="n">
        <v>2514.67</v>
      </c>
      <c r="H50" s="78" t="s">
        <v>143</v>
      </c>
      <c r="I50" s="79" t="str">
        <f aca="false">IF(B50="","",TEXT(B50,"mmm"))</f>
        <v>Apr</v>
      </c>
      <c r="J50" s="80" t="n">
        <f aca="false">IF(B50="","",YEAR(B50))</f>
        <v>2026</v>
      </c>
    </row>
    <row r="51" customFormat="false" ht="18" hidden="false" customHeight="true" outlineLevel="0" collapsed="false">
      <c r="A51" s="81" t="n">
        <v>46</v>
      </c>
      <c r="B51" s="82" t="n">
        <v>46125</v>
      </c>
      <c r="C51" s="83" t="s">
        <v>221</v>
      </c>
      <c r="D51" s="84" t="s">
        <v>139</v>
      </c>
      <c r="E51" s="85" t="s">
        <v>103</v>
      </c>
      <c r="F51" s="86" t="n">
        <v>13.7</v>
      </c>
      <c r="G51" s="87" t="n">
        <v>2500.97</v>
      </c>
      <c r="H51" s="88" t="s">
        <v>169</v>
      </c>
      <c r="I51" s="79" t="str">
        <f aca="false">IF(B51="","",TEXT(B51,"mmm"))</f>
        <v>Apr</v>
      </c>
      <c r="J51" s="80" t="n">
        <f aca="false">IF(B51="","",YEAR(B51))</f>
        <v>2026</v>
      </c>
    </row>
    <row r="52" customFormat="false" ht="18" hidden="false" customHeight="true" outlineLevel="0" collapsed="false">
      <c r="A52" s="71" t="n">
        <v>47</v>
      </c>
      <c r="B52" s="72" t="n">
        <v>46125</v>
      </c>
      <c r="C52" s="73" t="s">
        <v>222</v>
      </c>
      <c r="D52" s="74" t="s">
        <v>139</v>
      </c>
      <c r="E52" s="75" t="s">
        <v>56</v>
      </c>
      <c r="F52" s="76" t="n">
        <v>129</v>
      </c>
      <c r="G52" s="77" t="n">
        <v>2371.97</v>
      </c>
      <c r="H52" s="78" t="s">
        <v>223</v>
      </c>
      <c r="I52" s="79" t="str">
        <f aca="false">IF(B52="","",TEXT(B52,"mmm"))</f>
        <v>Apr</v>
      </c>
      <c r="J52" s="80" t="n">
        <f aca="false">IF(B52="","",YEAR(B52))</f>
        <v>2026</v>
      </c>
    </row>
    <row r="53" customFormat="false" ht="18" hidden="false" customHeight="true" outlineLevel="0" collapsed="false">
      <c r="A53" s="81" t="n">
        <v>48</v>
      </c>
      <c r="B53" s="82" t="n">
        <v>46125</v>
      </c>
      <c r="C53" s="83" t="s">
        <v>224</v>
      </c>
      <c r="D53" s="84" t="s">
        <v>139</v>
      </c>
      <c r="E53" s="85" t="s">
        <v>142</v>
      </c>
      <c r="F53" s="86" t="n">
        <v>30.04</v>
      </c>
      <c r="G53" s="87" t="n">
        <v>2341.93</v>
      </c>
      <c r="H53" s="88" t="s">
        <v>143</v>
      </c>
      <c r="I53" s="79" t="str">
        <f aca="false">IF(B53="","",TEXT(B53,"mmm"))</f>
        <v>Apr</v>
      </c>
      <c r="J53" s="80" t="n">
        <f aca="false">IF(B53="","",YEAR(B53))</f>
        <v>2026</v>
      </c>
    </row>
    <row r="54" customFormat="false" ht="18" hidden="false" customHeight="true" outlineLevel="0" collapsed="false">
      <c r="A54" s="71" t="n">
        <v>49</v>
      </c>
      <c r="B54" s="72" t="n">
        <v>46125</v>
      </c>
      <c r="C54" s="73" t="s">
        <v>225</v>
      </c>
      <c r="D54" s="74" t="s">
        <v>139</v>
      </c>
      <c r="E54" s="75" t="s">
        <v>63</v>
      </c>
      <c r="F54" s="76" t="n">
        <v>300</v>
      </c>
      <c r="G54" s="77" t="n">
        <v>2041.93</v>
      </c>
      <c r="H54" s="78" t="s">
        <v>226</v>
      </c>
      <c r="I54" s="79" t="str">
        <f aca="false">IF(B54="","",TEXT(B54,"mmm"))</f>
        <v>Apr</v>
      </c>
      <c r="J54" s="80" t="n">
        <f aca="false">IF(B54="","",YEAR(B54))</f>
        <v>2026</v>
      </c>
    </row>
    <row r="55" customFormat="false" ht="18" hidden="false" customHeight="true" outlineLevel="0" collapsed="false">
      <c r="A55" s="81" t="n">
        <v>50</v>
      </c>
      <c r="B55" s="82" t="n">
        <v>46125</v>
      </c>
      <c r="C55" s="83" t="s">
        <v>227</v>
      </c>
      <c r="D55" s="84" t="s">
        <v>139</v>
      </c>
      <c r="E55" s="85" t="s">
        <v>85</v>
      </c>
      <c r="F55" s="86" t="n">
        <v>150</v>
      </c>
      <c r="G55" s="87" t="n">
        <v>1891.93</v>
      </c>
      <c r="H55" s="88" t="s">
        <v>190</v>
      </c>
      <c r="I55" s="79" t="str">
        <f aca="false">IF(B55="","",TEXT(B55,"mmm"))</f>
        <v>Apr</v>
      </c>
      <c r="J55" s="80" t="n">
        <f aca="false">IF(B55="","",YEAR(B55))</f>
        <v>2026</v>
      </c>
    </row>
    <row r="56" customFormat="false" ht="18" hidden="false" customHeight="true" outlineLevel="0" collapsed="false">
      <c r="A56" s="71" t="n">
        <v>51</v>
      </c>
      <c r="B56" s="72" t="n">
        <v>46126</v>
      </c>
      <c r="C56" s="73" t="s">
        <v>228</v>
      </c>
      <c r="D56" s="74" t="s">
        <v>139</v>
      </c>
      <c r="E56" s="75" t="s">
        <v>52</v>
      </c>
      <c r="F56" s="76" t="n">
        <v>20.38</v>
      </c>
      <c r="G56" s="77" t="n">
        <v>1871.55</v>
      </c>
      <c r="H56" s="78" t="s">
        <v>229</v>
      </c>
      <c r="I56" s="79" t="str">
        <f aca="false">IF(B56="","",TEXT(B56,"mmm"))</f>
        <v>Apr</v>
      </c>
      <c r="J56" s="80" t="n">
        <f aca="false">IF(B56="","",YEAR(B56))</f>
        <v>2026</v>
      </c>
    </row>
    <row r="57" customFormat="false" ht="18" hidden="false" customHeight="true" outlineLevel="0" collapsed="false">
      <c r="A57" s="81" t="n">
        <v>52</v>
      </c>
      <c r="B57" s="82" t="n">
        <v>46126</v>
      </c>
      <c r="C57" s="83" t="s">
        <v>230</v>
      </c>
      <c r="D57" s="84" t="s">
        <v>139</v>
      </c>
      <c r="E57" s="85" t="s">
        <v>93</v>
      </c>
      <c r="F57" s="86" t="n">
        <v>8.25</v>
      </c>
      <c r="G57" s="87" t="n">
        <v>1863.3</v>
      </c>
      <c r="H57" s="88" t="s">
        <v>231</v>
      </c>
      <c r="I57" s="79" t="str">
        <f aca="false">IF(B57="","",TEXT(B57,"mmm"))</f>
        <v>Apr</v>
      </c>
      <c r="J57" s="80" t="n">
        <f aca="false">IF(B57="","",YEAR(B57))</f>
        <v>2026</v>
      </c>
    </row>
    <row r="58" customFormat="false" ht="18" hidden="false" customHeight="true" outlineLevel="0" collapsed="false">
      <c r="A58" s="71" t="n">
        <v>53</v>
      </c>
      <c r="B58" s="72" t="n">
        <v>46126</v>
      </c>
      <c r="C58" s="73" t="s">
        <v>159</v>
      </c>
      <c r="D58" s="74" t="s">
        <v>139</v>
      </c>
      <c r="E58" s="75" t="s">
        <v>103</v>
      </c>
      <c r="F58" s="76" t="n">
        <v>6.32</v>
      </c>
      <c r="G58" s="77" t="n">
        <v>1856.98</v>
      </c>
      <c r="H58" s="78" t="s">
        <v>160</v>
      </c>
      <c r="I58" s="79" t="str">
        <f aca="false">IF(B58="","",TEXT(B58,"mmm"))</f>
        <v>Apr</v>
      </c>
      <c r="J58" s="80" t="n">
        <f aca="false">IF(B58="","",YEAR(B58))</f>
        <v>2026</v>
      </c>
    </row>
    <row r="59" customFormat="false" ht="18" hidden="false" customHeight="true" outlineLevel="0" collapsed="false">
      <c r="A59" s="81" t="n">
        <v>54</v>
      </c>
      <c r="B59" s="82" t="n">
        <v>46126</v>
      </c>
      <c r="C59" s="83" t="s">
        <v>232</v>
      </c>
      <c r="D59" s="84" t="s">
        <v>139</v>
      </c>
      <c r="E59" s="85"/>
      <c r="F59" s="86" t="n">
        <v>95</v>
      </c>
      <c r="G59" s="87" t="n">
        <v>1761.98</v>
      </c>
      <c r="H59" s="88" t="s">
        <v>233</v>
      </c>
      <c r="I59" s="79" t="str">
        <f aca="false">IF(B59="","",TEXT(B59,"mmm"))</f>
        <v>Apr</v>
      </c>
      <c r="J59" s="80" t="n">
        <f aca="false">IF(B59="","",YEAR(B59))</f>
        <v>2026</v>
      </c>
    </row>
    <row r="60" customFormat="false" ht="18" hidden="false" customHeight="true" outlineLevel="0" collapsed="false">
      <c r="A60" s="71" t="n">
        <v>55</v>
      </c>
      <c r="B60" s="72" t="n">
        <v>46127</v>
      </c>
      <c r="C60" s="73" t="s">
        <v>234</v>
      </c>
      <c r="D60" s="92" t="s">
        <v>172</v>
      </c>
      <c r="E60" s="75" t="s">
        <v>214</v>
      </c>
      <c r="F60" s="76" t="n">
        <v>335.58</v>
      </c>
      <c r="G60" s="77" t="n">
        <v>2097.56</v>
      </c>
      <c r="H60" s="78" t="s">
        <v>235</v>
      </c>
      <c r="I60" s="79" t="str">
        <f aca="false">IF(B60="","",TEXT(B60,"mmm"))</f>
        <v>Apr</v>
      </c>
      <c r="J60" s="80" t="n">
        <f aca="false">IF(B60="","",YEAR(B60))</f>
        <v>2026</v>
      </c>
    </row>
    <row r="61" customFormat="false" ht="18" hidden="false" customHeight="true" outlineLevel="0" collapsed="false">
      <c r="A61" s="81" t="n">
        <v>56</v>
      </c>
      <c r="B61" s="82" t="n">
        <v>46127</v>
      </c>
      <c r="C61" s="83" t="s">
        <v>236</v>
      </c>
      <c r="D61" s="84" t="s">
        <v>139</v>
      </c>
      <c r="E61" s="85" t="s">
        <v>237</v>
      </c>
      <c r="F61" s="86" t="n">
        <v>1989.81</v>
      </c>
      <c r="G61" s="89" t="n">
        <v>107.75</v>
      </c>
      <c r="H61" s="88" t="s">
        <v>238</v>
      </c>
      <c r="I61" s="79" t="str">
        <f aca="false">IF(B61="","",TEXT(B61,"mmm"))</f>
        <v>Apr</v>
      </c>
      <c r="J61" s="80" t="n">
        <f aca="false">IF(B61="","",YEAR(B61))</f>
        <v>2026</v>
      </c>
    </row>
    <row r="62" customFormat="false" ht="18" hidden="false" customHeight="true" outlineLevel="0" collapsed="false">
      <c r="A62" s="71" t="n">
        <v>57</v>
      </c>
      <c r="B62" s="72" t="n">
        <v>46127</v>
      </c>
      <c r="C62" s="73" t="s">
        <v>239</v>
      </c>
      <c r="D62" s="74" t="s">
        <v>139</v>
      </c>
      <c r="E62" s="75" t="s">
        <v>118</v>
      </c>
      <c r="F62" s="76" t="n">
        <v>107.75</v>
      </c>
      <c r="G62" s="94" t="n">
        <v>0</v>
      </c>
      <c r="H62" s="78" t="s">
        <v>240</v>
      </c>
      <c r="I62" s="79" t="str">
        <f aca="false">IF(B62="","",TEXT(B62,"mmm"))</f>
        <v>Apr</v>
      </c>
      <c r="J62" s="80" t="n">
        <f aca="false">IF(B62="","",YEAR(B62))</f>
        <v>2026</v>
      </c>
    </row>
    <row r="63" customFormat="false" ht="18" hidden="false" customHeight="true" outlineLevel="0" collapsed="false">
      <c r="A63" s="81" t="n">
        <v>58</v>
      </c>
      <c r="B63" s="82" t="n">
        <v>46128</v>
      </c>
      <c r="C63" s="83" t="s">
        <v>234</v>
      </c>
      <c r="D63" s="93" t="s">
        <v>172</v>
      </c>
      <c r="E63" s="85" t="s">
        <v>214</v>
      </c>
      <c r="F63" s="86" t="n">
        <v>452.01</v>
      </c>
      <c r="G63" s="89" t="n">
        <v>452.01</v>
      </c>
      <c r="H63" s="88" t="s">
        <v>235</v>
      </c>
      <c r="I63" s="79" t="str">
        <f aca="false">IF(B63="","",TEXT(B63,"mmm"))</f>
        <v>Apr</v>
      </c>
      <c r="J63" s="80" t="n">
        <f aca="false">IF(B63="","",YEAR(B63))</f>
        <v>2026</v>
      </c>
    </row>
    <row r="64" customFormat="false" ht="18" hidden="false" customHeight="true" outlineLevel="0" collapsed="false">
      <c r="A64" s="71" t="n">
        <v>59</v>
      </c>
      <c r="B64" s="72" t="n">
        <v>46128</v>
      </c>
      <c r="C64" s="73" t="s">
        <v>241</v>
      </c>
      <c r="D64" s="74" t="s">
        <v>139</v>
      </c>
      <c r="E64" s="75" t="s">
        <v>103</v>
      </c>
      <c r="F64" s="76" t="n">
        <v>26.36</v>
      </c>
      <c r="G64" s="94" t="n">
        <v>425.65</v>
      </c>
      <c r="H64" s="78" t="s">
        <v>242</v>
      </c>
      <c r="I64" s="79" t="str">
        <f aca="false">IF(B64="","",TEXT(B64,"mmm"))</f>
        <v>Apr</v>
      </c>
      <c r="J64" s="80" t="n">
        <f aca="false">IF(B64="","",YEAR(B64))</f>
        <v>2026</v>
      </c>
    </row>
    <row r="65" customFormat="false" ht="18" hidden="false" customHeight="true" outlineLevel="0" collapsed="false">
      <c r="A65" s="81" t="n">
        <v>60</v>
      </c>
      <c r="B65" s="82" t="n">
        <v>46128</v>
      </c>
      <c r="C65" s="83" t="s">
        <v>243</v>
      </c>
      <c r="D65" s="84" t="s">
        <v>139</v>
      </c>
      <c r="E65" s="85" t="s">
        <v>244</v>
      </c>
      <c r="F65" s="86" t="n">
        <v>425.65</v>
      </c>
      <c r="G65" s="89" t="n">
        <v>0</v>
      </c>
      <c r="H65" s="88" t="s">
        <v>245</v>
      </c>
      <c r="I65" s="79" t="str">
        <f aca="false">IF(B65="","",TEXT(B65,"mmm"))</f>
        <v>Apr</v>
      </c>
      <c r="J65" s="80" t="n">
        <f aca="false">IF(B65="","",YEAR(B65))</f>
        <v>2026</v>
      </c>
    </row>
    <row r="66" customFormat="false" ht="18" hidden="false" customHeight="true" outlineLevel="0" collapsed="false">
      <c r="A66" s="71" t="n">
        <v>61</v>
      </c>
      <c r="B66" s="72" t="n">
        <v>46129</v>
      </c>
      <c r="C66" s="73" t="s">
        <v>153</v>
      </c>
      <c r="D66" s="90" t="s">
        <v>154</v>
      </c>
      <c r="E66" s="75" t="s">
        <v>155</v>
      </c>
      <c r="F66" s="76" t="n">
        <v>3819.79</v>
      </c>
      <c r="G66" s="77" t="n">
        <v>3819.79</v>
      </c>
      <c r="H66" s="78" t="s">
        <v>156</v>
      </c>
      <c r="I66" s="79" t="str">
        <f aca="false">IF(B66="","",TEXT(B66,"mmm"))</f>
        <v>Apr</v>
      </c>
      <c r="J66" s="80" t="n">
        <f aca="false">IF(B66="","",YEAR(B66))</f>
        <v>2026</v>
      </c>
    </row>
    <row r="67" customFormat="false" ht="18" hidden="false" customHeight="true" outlineLevel="0" collapsed="false">
      <c r="A67" s="81" t="n">
        <v>62</v>
      </c>
      <c r="B67" s="82" t="n">
        <v>46129</v>
      </c>
      <c r="C67" s="83" t="s">
        <v>246</v>
      </c>
      <c r="D67" s="84" t="s">
        <v>139</v>
      </c>
      <c r="E67" s="85" t="s">
        <v>103</v>
      </c>
      <c r="F67" s="86" t="n">
        <v>59.06</v>
      </c>
      <c r="G67" s="87" t="n">
        <v>3760.73</v>
      </c>
      <c r="H67" s="88" t="s">
        <v>169</v>
      </c>
      <c r="I67" s="79" t="str">
        <f aca="false">IF(B67="","",TEXT(B67,"mmm"))</f>
        <v>Apr</v>
      </c>
      <c r="J67" s="80" t="n">
        <f aca="false">IF(B67="","",YEAR(B67))</f>
        <v>2026</v>
      </c>
    </row>
    <row r="68" customFormat="false" ht="18" hidden="false" customHeight="true" outlineLevel="0" collapsed="false">
      <c r="A68" s="71" t="n">
        <v>63</v>
      </c>
      <c r="B68" s="72" t="n">
        <v>46132</v>
      </c>
      <c r="C68" s="73" t="s">
        <v>247</v>
      </c>
      <c r="D68" s="90" t="s">
        <v>154</v>
      </c>
      <c r="E68" s="75" t="s">
        <v>145</v>
      </c>
      <c r="F68" s="76" t="n">
        <v>85</v>
      </c>
      <c r="G68" s="77" t="n">
        <v>3845.73</v>
      </c>
      <c r="H68" s="78" t="s">
        <v>146</v>
      </c>
      <c r="I68" s="79" t="str">
        <f aca="false">IF(B68="","",TEXT(B68,"mmm"))</f>
        <v>Apr</v>
      </c>
      <c r="J68" s="80" t="n">
        <f aca="false">IF(B68="","",YEAR(B68))</f>
        <v>2026</v>
      </c>
    </row>
    <row r="69" customFormat="false" ht="18" hidden="false" customHeight="true" outlineLevel="0" collapsed="false">
      <c r="A69" s="81" t="n">
        <v>64</v>
      </c>
      <c r="B69" s="82" t="n">
        <v>46132</v>
      </c>
      <c r="C69" s="83" t="s">
        <v>248</v>
      </c>
      <c r="D69" s="84" t="s">
        <v>139</v>
      </c>
      <c r="E69" s="85"/>
      <c r="F69" s="86" t="n">
        <v>60</v>
      </c>
      <c r="G69" s="87" t="n">
        <v>3785.73</v>
      </c>
      <c r="H69" s="88" t="s">
        <v>249</v>
      </c>
      <c r="I69" s="79" t="str">
        <f aca="false">IF(B69="","",TEXT(B69,"mmm"))</f>
        <v>Apr</v>
      </c>
      <c r="J69" s="80" t="n">
        <f aca="false">IF(B69="","",YEAR(B69))</f>
        <v>2026</v>
      </c>
    </row>
    <row r="70" customFormat="false" ht="18" hidden="false" customHeight="true" outlineLevel="0" collapsed="false">
      <c r="A70" s="71" t="n">
        <v>65</v>
      </c>
      <c r="B70" s="72" t="n">
        <v>46132</v>
      </c>
      <c r="C70" s="73" t="s">
        <v>250</v>
      </c>
      <c r="D70" s="74" t="s">
        <v>139</v>
      </c>
      <c r="E70" s="75" t="s">
        <v>64</v>
      </c>
      <c r="F70" s="76" t="n">
        <v>151.01</v>
      </c>
      <c r="G70" s="77" t="n">
        <v>3634.72</v>
      </c>
      <c r="H70" s="78" t="s">
        <v>251</v>
      </c>
      <c r="I70" s="79" t="str">
        <f aca="false">IF(B70="","",TEXT(B70,"mmm"))</f>
        <v>Apr</v>
      </c>
      <c r="J70" s="80" t="n">
        <f aca="false">IF(B70="","",YEAR(B70))</f>
        <v>2026</v>
      </c>
    </row>
    <row r="71" customFormat="false" ht="18" hidden="false" customHeight="true" outlineLevel="0" collapsed="false">
      <c r="A71" s="81" t="n">
        <v>66</v>
      </c>
      <c r="B71" s="82" t="n">
        <v>46132</v>
      </c>
      <c r="C71" s="83" t="s">
        <v>224</v>
      </c>
      <c r="D71" s="84" t="s">
        <v>139</v>
      </c>
      <c r="E71" s="85" t="s">
        <v>142</v>
      </c>
      <c r="F71" s="86" t="n">
        <v>30.04</v>
      </c>
      <c r="G71" s="87" t="n">
        <v>3604.68</v>
      </c>
      <c r="H71" s="88" t="s">
        <v>143</v>
      </c>
      <c r="I71" s="79" t="str">
        <f aca="false">IF(B71="","",TEXT(B71,"mmm"))</f>
        <v>Apr</v>
      </c>
      <c r="J71" s="80" t="n">
        <f aca="false">IF(B71="","",YEAR(B71))</f>
        <v>2026</v>
      </c>
    </row>
    <row r="72" customFormat="false" ht="18" hidden="false" customHeight="true" outlineLevel="0" collapsed="false">
      <c r="A72" s="71" t="n">
        <v>67</v>
      </c>
      <c r="B72" s="72" t="n">
        <v>46132</v>
      </c>
      <c r="C72" s="73" t="s">
        <v>252</v>
      </c>
      <c r="D72" s="74" t="s">
        <v>139</v>
      </c>
      <c r="E72" s="75" t="s">
        <v>77</v>
      </c>
      <c r="F72" s="76" t="n">
        <v>18.22</v>
      </c>
      <c r="G72" s="77" t="n">
        <v>3586.46</v>
      </c>
      <c r="H72" s="78" t="s">
        <v>253</v>
      </c>
      <c r="I72" s="79" t="str">
        <f aca="false">IF(B72="","",TEXT(B72,"mmm"))</f>
        <v>Apr</v>
      </c>
      <c r="J72" s="80" t="n">
        <f aca="false">IF(B72="","",YEAR(B72))</f>
        <v>2026</v>
      </c>
    </row>
    <row r="73" customFormat="false" ht="18" hidden="false" customHeight="true" outlineLevel="0" collapsed="false">
      <c r="A73" s="81" t="n">
        <v>68</v>
      </c>
      <c r="B73" s="82" t="n">
        <v>46132</v>
      </c>
      <c r="C73" s="83" t="s">
        <v>254</v>
      </c>
      <c r="D73" s="84" t="s">
        <v>139</v>
      </c>
      <c r="E73" s="85" t="s">
        <v>65</v>
      </c>
      <c r="F73" s="86" t="n">
        <v>34</v>
      </c>
      <c r="G73" s="87" t="n">
        <v>3552.46</v>
      </c>
      <c r="H73" s="88" t="s">
        <v>255</v>
      </c>
      <c r="I73" s="79" t="str">
        <f aca="false">IF(B73="","",TEXT(B73,"mmm"))</f>
        <v>Apr</v>
      </c>
      <c r="J73" s="80" t="n">
        <f aca="false">IF(B73="","",YEAR(B73))</f>
        <v>2026</v>
      </c>
    </row>
    <row r="74" customFormat="false" ht="18" hidden="false" customHeight="true" outlineLevel="0" collapsed="false">
      <c r="A74" s="71" t="n">
        <v>69</v>
      </c>
      <c r="B74" s="72" t="n">
        <v>46132</v>
      </c>
      <c r="C74" s="73" t="s">
        <v>256</v>
      </c>
      <c r="D74" s="92" t="s">
        <v>172</v>
      </c>
      <c r="E74" s="75" t="s">
        <v>173</v>
      </c>
      <c r="F74" s="76" t="n">
        <v>-10</v>
      </c>
      <c r="G74" s="77" t="n">
        <v>3542.46</v>
      </c>
      <c r="H74" s="78" t="s">
        <v>174</v>
      </c>
      <c r="I74" s="79" t="str">
        <f aca="false">IF(B74="","",TEXT(B74,"mmm"))</f>
        <v>Apr</v>
      </c>
      <c r="J74" s="80" t="n">
        <f aca="false">IF(B74="","",YEAR(B74))</f>
        <v>2026</v>
      </c>
    </row>
    <row r="75" customFormat="false" ht="18" hidden="false" customHeight="true" outlineLevel="0" collapsed="false">
      <c r="A75" s="81" t="n">
        <v>70</v>
      </c>
      <c r="B75" s="82" t="n">
        <v>46132</v>
      </c>
      <c r="C75" s="83" t="s">
        <v>257</v>
      </c>
      <c r="D75" s="93" t="s">
        <v>172</v>
      </c>
      <c r="E75" s="85" t="s">
        <v>173</v>
      </c>
      <c r="F75" s="86" t="n">
        <v>-30</v>
      </c>
      <c r="G75" s="87" t="n">
        <v>3512.46</v>
      </c>
      <c r="H75" s="88" t="s">
        <v>174</v>
      </c>
      <c r="I75" s="79" t="str">
        <f aca="false">IF(B75="","",TEXT(B75,"mmm"))</f>
        <v>Apr</v>
      </c>
      <c r="J75" s="80" t="n">
        <f aca="false">IF(B75="","",YEAR(B75))</f>
        <v>2026</v>
      </c>
    </row>
    <row r="76" customFormat="false" ht="18" hidden="false" customHeight="true" outlineLevel="0" collapsed="false">
      <c r="A76" s="71" t="n">
        <v>71</v>
      </c>
      <c r="B76" s="72" t="n">
        <v>46132</v>
      </c>
      <c r="C76" s="73" t="s">
        <v>258</v>
      </c>
      <c r="D76" s="74" t="s">
        <v>139</v>
      </c>
      <c r="E76" s="75" t="s">
        <v>85</v>
      </c>
      <c r="F76" s="76" t="n">
        <v>410.32</v>
      </c>
      <c r="G76" s="77" t="n">
        <v>3102.14</v>
      </c>
      <c r="H76" s="78" t="s">
        <v>259</v>
      </c>
      <c r="I76" s="79" t="str">
        <f aca="false">IF(B76="","",TEXT(B76,"mmm"))</f>
        <v>Apr</v>
      </c>
      <c r="J76" s="80" t="n">
        <f aca="false">IF(B76="","",YEAR(B76))</f>
        <v>2026</v>
      </c>
    </row>
    <row r="77" customFormat="false" ht="18" hidden="false" customHeight="true" outlineLevel="0" collapsed="false">
      <c r="A77" s="81" t="n">
        <v>72</v>
      </c>
      <c r="B77" s="82" t="n">
        <v>46132</v>
      </c>
      <c r="C77" s="83" t="s">
        <v>260</v>
      </c>
      <c r="D77" s="84" t="s">
        <v>139</v>
      </c>
      <c r="E77" s="85" t="s">
        <v>85</v>
      </c>
      <c r="F77" s="86" t="n">
        <v>162.41</v>
      </c>
      <c r="G77" s="87" t="n">
        <v>2939.73</v>
      </c>
      <c r="H77" s="88" t="s">
        <v>261</v>
      </c>
      <c r="I77" s="79" t="str">
        <f aca="false">IF(B77="","",TEXT(B77,"mmm"))</f>
        <v>Apr</v>
      </c>
      <c r="J77" s="80" t="n">
        <f aca="false">IF(B77="","",YEAR(B77))</f>
        <v>2026</v>
      </c>
    </row>
    <row r="78" customFormat="false" ht="18" hidden="false" customHeight="true" outlineLevel="0" collapsed="false">
      <c r="A78" s="71" t="n">
        <v>73</v>
      </c>
      <c r="B78" s="72" t="n">
        <v>46133</v>
      </c>
      <c r="C78" s="73" t="s">
        <v>198</v>
      </c>
      <c r="D78" s="74" t="s">
        <v>139</v>
      </c>
      <c r="E78" s="75" t="s">
        <v>87</v>
      </c>
      <c r="F78" s="76" t="n">
        <v>185.3</v>
      </c>
      <c r="G78" s="77" t="n">
        <v>2754.43</v>
      </c>
      <c r="H78" s="78" t="s">
        <v>199</v>
      </c>
      <c r="I78" s="79" t="str">
        <f aca="false">IF(B78="","",TEXT(B78,"mmm"))</f>
        <v>Apr</v>
      </c>
      <c r="J78" s="80" t="n">
        <f aca="false">IF(B78="","",YEAR(B78))</f>
        <v>2026</v>
      </c>
    </row>
    <row r="79" customFormat="false" ht="18" hidden="false" customHeight="true" outlineLevel="0" collapsed="false">
      <c r="A79" s="81" t="n">
        <v>74</v>
      </c>
      <c r="B79" s="82" t="n">
        <v>46133</v>
      </c>
      <c r="C79" s="83" t="s">
        <v>184</v>
      </c>
      <c r="D79" s="84" t="s">
        <v>139</v>
      </c>
      <c r="E79" s="85" t="s">
        <v>103</v>
      </c>
      <c r="F79" s="86" t="n">
        <v>10</v>
      </c>
      <c r="G79" s="87" t="n">
        <v>2744.43</v>
      </c>
      <c r="H79" s="88" t="s">
        <v>185</v>
      </c>
      <c r="I79" s="79" t="str">
        <f aca="false">IF(B79="","",TEXT(B79,"mmm"))</f>
        <v>Apr</v>
      </c>
      <c r="J79" s="80" t="n">
        <f aca="false">IF(B79="","",YEAR(B79))</f>
        <v>2026</v>
      </c>
    </row>
    <row r="80" customFormat="false" ht="18" hidden="false" customHeight="true" outlineLevel="0" collapsed="false">
      <c r="A80" s="71" t="n">
        <v>75</v>
      </c>
      <c r="B80" s="72" t="n">
        <v>46133</v>
      </c>
      <c r="C80" s="73" t="s">
        <v>262</v>
      </c>
      <c r="D80" s="74" t="s">
        <v>139</v>
      </c>
      <c r="E80" s="75" t="s">
        <v>263</v>
      </c>
      <c r="F80" s="76" t="n">
        <v>241</v>
      </c>
      <c r="G80" s="77" t="n">
        <v>2503.43</v>
      </c>
      <c r="H80" s="78" t="s">
        <v>264</v>
      </c>
      <c r="I80" s="79" t="str">
        <f aca="false">IF(B80="","",TEXT(B80,"mmm"))</f>
        <v>Apr</v>
      </c>
      <c r="J80" s="80" t="n">
        <f aca="false">IF(B80="","",YEAR(B80))</f>
        <v>2026</v>
      </c>
    </row>
    <row r="81" customFormat="false" ht="18" hidden="false" customHeight="true" outlineLevel="0" collapsed="false">
      <c r="A81" s="81" t="n">
        <v>76</v>
      </c>
      <c r="B81" s="82" t="n">
        <v>46134</v>
      </c>
      <c r="C81" s="83" t="s">
        <v>265</v>
      </c>
      <c r="D81" s="84" t="s">
        <v>139</v>
      </c>
      <c r="E81" s="85" t="s">
        <v>57</v>
      </c>
      <c r="F81" s="86" t="n">
        <v>34</v>
      </c>
      <c r="G81" s="87" t="n">
        <v>2469.43</v>
      </c>
      <c r="H81" s="88" t="s">
        <v>266</v>
      </c>
      <c r="I81" s="79" t="str">
        <f aca="false">IF(B81="","",TEXT(B81,"mmm"))</f>
        <v>Apr</v>
      </c>
      <c r="J81" s="80" t="n">
        <f aca="false">IF(B81="","",YEAR(B81))</f>
        <v>2026</v>
      </c>
    </row>
    <row r="82" customFormat="false" ht="18" hidden="false" customHeight="true" outlineLevel="0" collapsed="false">
      <c r="A82" s="71" t="n">
        <v>77</v>
      </c>
      <c r="B82" s="72" t="n">
        <v>46134</v>
      </c>
      <c r="C82" s="73" t="s">
        <v>267</v>
      </c>
      <c r="D82" s="74" t="s">
        <v>139</v>
      </c>
      <c r="E82" s="75"/>
      <c r="F82" s="76" t="n">
        <v>58.84</v>
      </c>
      <c r="G82" s="77" t="n">
        <v>2410.59</v>
      </c>
      <c r="H82" s="78" t="s">
        <v>268</v>
      </c>
      <c r="I82" s="79" t="str">
        <f aca="false">IF(B82="","",TEXT(B82,"mmm"))</f>
        <v>Apr</v>
      </c>
      <c r="J82" s="80" t="n">
        <f aca="false">IF(B82="","",YEAR(B82))</f>
        <v>2026</v>
      </c>
    </row>
    <row r="83" customFormat="false" ht="18" hidden="false" customHeight="true" outlineLevel="0" collapsed="false">
      <c r="A83" s="81" t="n">
        <v>78</v>
      </c>
      <c r="B83" s="82" t="n">
        <v>46135</v>
      </c>
      <c r="C83" s="83" t="s">
        <v>200</v>
      </c>
      <c r="D83" s="91" t="s">
        <v>154</v>
      </c>
      <c r="E83" s="85" t="s">
        <v>201</v>
      </c>
      <c r="F83" s="86" t="n">
        <v>2274.42</v>
      </c>
      <c r="G83" s="87" t="n">
        <v>4685.01</v>
      </c>
      <c r="H83" s="88" t="s">
        <v>202</v>
      </c>
      <c r="I83" s="79" t="str">
        <f aca="false">IF(B83="","",TEXT(B83,"mmm"))</f>
        <v>Apr</v>
      </c>
      <c r="J83" s="80" t="n">
        <f aca="false">IF(B83="","",YEAR(B83))</f>
        <v>2026</v>
      </c>
    </row>
    <row r="84" customFormat="false" ht="18" hidden="false" customHeight="true" outlineLevel="0" collapsed="false">
      <c r="A84" s="71" t="n">
        <v>79</v>
      </c>
      <c r="B84" s="72" t="n">
        <v>46135</v>
      </c>
      <c r="C84" s="73" t="s">
        <v>269</v>
      </c>
      <c r="D84" s="74" t="s">
        <v>139</v>
      </c>
      <c r="E84" s="75"/>
      <c r="F84" s="76" t="n">
        <v>176.06</v>
      </c>
      <c r="G84" s="77" t="n">
        <v>4508.95</v>
      </c>
      <c r="H84" s="78" t="s">
        <v>270</v>
      </c>
      <c r="I84" s="79" t="str">
        <f aca="false">IF(B84="","",TEXT(B84,"mmm"))</f>
        <v>Apr</v>
      </c>
      <c r="J84" s="80" t="n">
        <f aca="false">IF(B84="","",YEAR(B84))</f>
        <v>2026</v>
      </c>
    </row>
    <row r="85" customFormat="false" ht="18" hidden="false" customHeight="true" outlineLevel="0" collapsed="false">
      <c r="A85" s="81" t="n">
        <v>80</v>
      </c>
      <c r="B85" s="82" t="n">
        <v>46135</v>
      </c>
      <c r="C85" s="83" t="s">
        <v>206</v>
      </c>
      <c r="D85" s="84" t="s">
        <v>139</v>
      </c>
      <c r="E85" s="85" t="s">
        <v>207</v>
      </c>
      <c r="F85" s="86" t="n">
        <v>50</v>
      </c>
      <c r="G85" s="87" t="n">
        <v>4458.95</v>
      </c>
      <c r="H85" s="88" t="s">
        <v>208</v>
      </c>
      <c r="I85" s="79" t="str">
        <f aca="false">IF(B85="","",TEXT(B85,"mmm"))</f>
        <v>Apr</v>
      </c>
      <c r="J85" s="80" t="n">
        <f aca="false">IF(B85="","",YEAR(B85))</f>
        <v>2026</v>
      </c>
    </row>
    <row r="86" customFormat="false" ht="18" hidden="false" customHeight="true" outlineLevel="0" collapsed="false">
      <c r="A86" s="71" t="n">
        <v>81</v>
      </c>
      <c r="B86" s="72" t="n">
        <v>46136</v>
      </c>
      <c r="C86" s="73" t="s">
        <v>271</v>
      </c>
      <c r="D86" s="74" t="s">
        <v>139</v>
      </c>
      <c r="E86" s="75" t="s">
        <v>204</v>
      </c>
      <c r="F86" s="76" t="n">
        <v>200</v>
      </c>
      <c r="G86" s="77" t="n">
        <v>4258.95</v>
      </c>
      <c r="H86" s="78" t="s">
        <v>205</v>
      </c>
      <c r="I86" s="79" t="str">
        <f aca="false">IF(B86="","",TEXT(B86,"mmm"))</f>
        <v>Apr</v>
      </c>
      <c r="J86" s="80" t="n">
        <f aca="false">IF(B86="","",YEAR(B86))</f>
        <v>2026</v>
      </c>
    </row>
    <row r="87" customFormat="false" ht="18" hidden="false" customHeight="true" outlineLevel="0" collapsed="false">
      <c r="A87" s="81" t="n">
        <v>82</v>
      </c>
      <c r="B87" s="82" t="n">
        <v>46136</v>
      </c>
      <c r="C87" s="83" t="s">
        <v>272</v>
      </c>
      <c r="D87" s="84" t="s">
        <v>139</v>
      </c>
      <c r="E87" s="85" t="s">
        <v>273</v>
      </c>
      <c r="F87" s="86" t="n">
        <v>89.48</v>
      </c>
      <c r="G87" s="87" t="n">
        <v>4169.47</v>
      </c>
      <c r="H87" s="88" t="s">
        <v>274</v>
      </c>
      <c r="I87" s="79" t="str">
        <f aca="false">IF(B87="","",TEXT(B87,"mmm"))</f>
        <v>Apr</v>
      </c>
      <c r="J87" s="80" t="n">
        <f aca="false">IF(B87="","",YEAR(B87))</f>
        <v>2026</v>
      </c>
    </row>
    <row r="88" customFormat="false" ht="18" hidden="false" customHeight="true" outlineLevel="0" collapsed="false">
      <c r="A88" s="71" t="n">
        <v>83</v>
      </c>
      <c r="B88" s="72" t="n">
        <v>46136</v>
      </c>
      <c r="C88" s="73" t="s">
        <v>275</v>
      </c>
      <c r="D88" s="74" t="s">
        <v>139</v>
      </c>
      <c r="E88" s="75" t="s">
        <v>276</v>
      </c>
      <c r="F88" s="76" t="n">
        <v>62.45</v>
      </c>
      <c r="G88" s="77" t="n">
        <v>4107.02</v>
      </c>
      <c r="H88" s="78" t="s">
        <v>277</v>
      </c>
      <c r="I88" s="79" t="str">
        <f aca="false">IF(B88="","",TEXT(B88,"mmm"))</f>
        <v>Apr</v>
      </c>
      <c r="J88" s="80" t="n">
        <f aca="false">IF(B88="","",YEAR(B88))</f>
        <v>2026</v>
      </c>
    </row>
    <row r="89" customFormat="false" ht="18" hidden="false" customHeight="true" outlineLevel="0" collapsed="false">
      <c r="A89" s="81" t="n">
        <v>84</v>
      </c>
      <c r="B89" s="82" t="n">
        <v>46139</v>
      </c>
      <c r="C89" s="83" t="s">
        <v>198</v>
      </c>
      <c r="D89" s="84" t="s">
        <v>139</v>
      </c>
      <c r="E89" s="85" t="s">
        <v>87</v>
      </c>
      <c r="F89" s="86" t="n">
        <v>39</v>
      </c>
      <c r="G89" s="87" t="n">
        <v>4068.02</v>
      </c>
      <c r="H89" s="88" t="s">
        <v>199</v>
      </c>
      <c r="I89" s="79" t="str">
        <f aca="false">IF(B89="","",TEXT(B89,"mmm"))</f>
        <v>Apr</v>
      </c>
      <c r="J89" s="80" t="n">
        <f aca="false">IF(B89="","",YEAR(B89))</f>
        <v>2026</v>
      </c>
    </row>
    <row r="90" customFormat="false" ht="18" hidden="false" customHeight="true" outlineLevel="0" collapsed="false">
      <c r="A90" s="71" t="n">
        <v>85</v>
      </c>
      <c r="B90" s="72" t="n">
        <v>46139</v>
      </c>
      <c r="C90" s="73" t="s">
        <v>224</v>
      </c>
      <c r="D90" s="74" t="s">
        <v>139</v>
      </c>
      <c r="E90" s="75" t="s">
        <v>142</v>
      </c>
      <c r="F90" s="76" t="n">
        <v>29.54</v>
      </c>
      <c r="G90" s="77" t="n">
        <v>4038.48</v>
      </c>
      <c r="H90" s="78" t="s">
        <v>143</v>
      </c>
      <c r="I90" s="79" t="str">
        <f aca="false">IF(B90="","",TEXT(B90,"mmm"))</f>
        <v>Apr</v>
      </c>
      <c r="J90" s="80" t="n">
        <f aca="false">IF(B90="","",YEAR(B90))</f>
        <v>2026</v>
      </c>
    </row>
    <row r="91" customFormat="false" ht="18" hidden="false" customHeight="true" outlineLevel="0" collapsed="false">
      <c r="A91" s="81" t="n">
        <v>86</v>
      </c>
      <c r="B91" s="82" t="n">
        <v>46139</v>
      </c>
      <c r="C91" s="83" t="s">
        <v>224</v>
      </c>
      <c r="D91" s="84" t="s">
        <v>139</v>
      </c>
      <c r="E91" s="85" t="s">
        <v>142</v>
      </c>
      <c r="F91" s="86" t="n">
        <v>30.43</v>
      </c>
      <c r="G91" s="87" t="n">
        <v>4008.05</v>
      </c>
      <c r="H91" s="88" t="s">
        <v>143</v>
      </c>
      <c r="I91" s="79" t="str">
        <f aca="false">IF(B91="","",TEXT(B91,"mmm"))</f>
        <v>Apr</v>
      </c>
      <c r="J91" s="80" t="n">
        <f aca="false">IF(B91="","",YEAR(B91))</f>
        <v>2026</v>
      </c>
    </row>
    <row r="92" customFormat="false" ht="18" hidden="false" customHeight="true" outlineLevel="0" collapsed="false">
      <c r="A92" s="71" t="n">
        <v>87</v>
      </c>
      <c r="B92" s="72" t="n">
        <v>46139</v>
      </c>
      <c r="C92" s="73" t="s">
        <v>278</v>
      </c>
      <c r="D92" s="74" t="s">
        <v>139</v>
      </c>
      <c r="E92" s="75" t="s">
        <v>196</v>
      </c>
      <c r="F92" s="76" t="n">
        <v>58.9</v>
      </c>
      <c r="G92" s="77" t="n">
        <v>3949.15</v>
      </c>
      <c r="H92" s="78" t="s">
        <v>279</v>
      </c>
      <c r="I92" s="79" t="str">
        <f aca="false">IF(B92="","",TEXT(B92,"mmm"))</f>
        <v>Apr</v>
      </c>
      <c r="J92" s="80" t="n">
        <f aca="false">IF(B92="","",YEAR(B92))</f>
        <v>2026</v>
      </c>
    </row>
    <row r="93" customFormat="false" ht="18" hidden="false" customHeight="true" outlineLevel="0" collapsed="false">
      <c r="A93" s="81" t="n">
        <v>88</v>
      </c>
      <c r="B93" s="82" t="n">
        <v>46139</v>
      </c>
      <c r="C93" s="83" t="s">
        <v>280</v>
      </c>
      <c r="D93" s="93" t="s">
        <v>172</v>
      </c>
      <c r="E93" s="85" t="s">
        <v>173</v>
      </c>
      <c r="F93" s="86" t="n">
        <v>-50</v>
      </c>
      <c r="G93" s="87" t="n">
        <v>3899.15</v>
      </c>
      <c r="H93" s="88" t="s">
        <v>174</v>
      </c>
      <c r="I93" s="79" t="str">
        <f aca="false">IF(B93="","",TEXT(B93,"mmm"))</f>
        <v>Apr</v>
      </c>
      <c r="J93" s="80" t="n">
        <f aca="false">IF(B93="","",YEAR(B93))</f>
        <v>2026</v>
      </c>
    </row>
    <row r="94" customFormat="false" ht="18" hidden="false" customHeight="true" outlineLevel="0" collapsed="false">
      <c r="A94" s="71" t="n">
        <v>89</v>
      </c>
      <c r="B94" s="72" t="n">
        <v>46139</v>
      </c>
      <c r="C94" s="73" t="s">
        <v>281</v>
      </c>
      <c r="D94" s="74" t="s">
        <v>139</v>
      </c>
      <c r="E94" s="75" t="s">
        <v>282</v>
      </c>
      <c r="F94" s="76" t="n">
        <v>47.05</v>
      </c>
      <c r="G94" s="77" t="n">
        <v>3852.1</v>
      </c>
      <c r="H94" s="78" t="s">
        <v>283</v>
      </c>
      <c r="I94" s="79" t="str">
        <f aca="false">IF(B94="","",TEXT(B94,"mmm"))</f>
        <v>Apr</v>
      </c>
      <c r="J94" s="80" t="n">
        <f aca="false">IF(B94="","",YEAR(B94))</f>
        <v>2026</v>
      </c>
    </row>
    <row r="95" customFormat="false" ht="18" hidden="false" customHeight="true" outlineLevel="0" collapsed="false">
      <c r="A95" s="81" t="n">
        <v>90</v>
      </c>
      <c r="B95" s="82" t="n">
        <v>46141</v>
      </c>
      <c r="C95" s="83" t="s">
        <v>284</v>
      </c>
      <c r="D95" s="84" t="s">
        <v>139</v>
      </c>
      <c r="E95" s="85" t="s">
        <v>285</v>
      </c>
      <c r="F95" s="86" t="n">
        <v>237.58</v>
      </c>
      <c r="G95" s="87" t="n">
        <v>3614.52</v>
      </c>
      <c r="H95" s="88" t="s">
        <v>286</v>
      </c>
      <c r="I95" s="79" t="str">
        <f aca="false">IF(B95="","",TEXT(B95,"mmm"))</f>
        <v>Apr</v>
      </c>
      <c r="J95" s="80" t="n">
        <f aca="false">IF(B95="","",YEAR(B95))</f>
        <v>2026</v>
      </c>
    </row>
    <row r="96" customFormat="false" ht="18" hidden="false" customHeight="true" outlineLevel="0" collapsed="false">
      <c r="A96" s="71" t="n">
        <v>91</v>
      </c>
      <c r="B96" s="72" t="n">
        <v>46141</v>
      </c>
      <c r="C96" s="73" t="s">
        <v>287</v>
      </c>
      <c r="D96" s="74" t="s">
        <v>139</v>
      </c>
      <c r="E96" s="75" t="s">
        <v>114</v>
      </c>
      <c r="F96" s="76" t="n">
        <v>139.5</v>
      </c>
      <c r="G96" s="77" t="n">
        <v>3475.02</v>
      </c>
      <c r="H96" s="78" t="s">
        <v>288</v>
      </c>
      <c r="I96" s="79" t="str">
        <f aca="false">IF(B96="","",TEXT(B96,"mmm"))</f>
        <v>Apr</v>
      </c>
      <c r="J96" s="80" t="n">
        <f aca="false">IF(B96="","",YEAR(B96))</f>
        <v>2026</v>
      </c>
    </row>
    <row r="97" customFormat="false" ht="18" hidden="false" customHeight="true" outlineLevel="0" collapsed="false">
      <c r="A97" s="81" t="n">
        <v>92</v>
      </c>
      <c r="B97" s="82" t="n">
        <v>46141</v>
      </c>
      <c r="C97" s="83" t="s">
        <v>289</v>
      </c>
      <c r="D97" s="84" t="s">
        <v>139</v>
      </c>
      <c r="E97" s="85" t="s">
        <v>100</v>
      </c>
      <c r="F97" s="86" t="n">
        <v>66.93</v>
      </c>
      <c r="G97" s="87" t="n">
        <v>3408.09</v>
      </c>
      <c r="H97" s="88" t="s">
        <v>290</v>
      </c>
      <c r="I97" s="79" t="str">
        <f aca="false">IF(B97="","",TEXT(B97,"mmm"))</f>
        <v>Apr</v>
      </c>
      <c r="J97" s="80" t="n">
        <f aca="false">IF(B97="","",YEAR(B97))</f>
        <v>2026</v>
      </c>
    </row>
    <row r="98" customFormat="false" ht="18" hidden="false" customHeight="true" outlineLevel="0" collapsed="false">
      <c r="A98" s="81" t="n">
        <v>93</v>
      </c>
      <c r="B98" s="95"/>
      <c r="C98" s="96"/>
      <c r="D98" s="96" t="str">
        <f aca="false">IF(C98="","",IF(OR(ISNUMBER(SEARCH("PAYROLL",UPPER(C98))),ISNUMBER(SEARCH("PAYCHECK",UPPER(C98))),ISNUMBER(SEARCH("DEPOSIT",UPPER(C98)))),"Income",IF(ISNUMBER(SEARCH("TRANSFER",UPPER(C98))),"Transfer","Expense")))</f>
        <v/>
      </c>
      <c r="E98" s="97" t="str">
        <f aca="false">IF(C98="","",IFERROR(INDEX(Mapping!$B$5:$B$200,SUMPRODUCT(MAX((ISNUMBER(SEARCH(Mapping!$A$5:$A$200,UPPER(C98&amp;""))))*ROW(Mapping!$A$5:$A$200)))-4),""))</f>
        <v/>
      </c>
      <c r="F98" s="98"/>
      <c r="G98" s="99" t="n">
        <f aca="false">IF(F98="",G97,G97+IF(D98="Income",F98,IF(D98="Expense",-F98,F98)))</f>
        <v>3408.09</v>
      </c>
      <c r="H98" s="100" t="str">
        <f aca="false">IF(C98="","",IFERROR(INDEX(Mapping!$A$5:$A$200,SUMPRODUCT(MAX((ISNUMBER(SEARCH(Mapping!$A$5:$A$200,UPPER(C98&amp;""))))*ROW(Mapping!$A$5:$A$200)))-4)&amp;" → "&amp;INDEX(Mapping!$B$5:$B$200,SUMPRODUCT(MAX((ISNUMBER(SEARCH(Mapping!$A$5:$A$200,UPPER(C98&amp;""))))*ROW(Mapping!$A$5:$A$200)))-4),"❓ no rule (add to Mapping)"))</f>
        <v/>
      </c>
      <c r="I98" s="79" t="str">
        <f aca="false">IF(B98="","",TEXT(B98,"mmm"))</f>
        <v/>
      </c>
      <c r="J98" s="80" t="str">
        <f aca="false">IF(B98="","",YEAR(B98))</f>
        <v/>
      </c>
    </row>
    <row r="99" customFormat="false" ht="18" hidden="false" customHeight="true" outlineLevel="0" collapsed="false">
      <c r="A99" s="81" t="n">
        <v>94</v>
      </c>
      <c r="B99" s="95"/>
      <c r="C99" s="96"/>
      <c r="D99" s="96" t="str">
        <f aca="false">IF(C99="","",IF(OR(ISNUMBER(SEARCH("PAYROLL",UPPER(C99))),ISNUMBER(SEARCH("PAYCHECK",UPPER(C99))),ISNUMBER(SEARCH("DEPOSIT",UPPER(C99)))),"Income",IF(ISNUMBER(SEARCH("TRANSFER",UPPER(C99))),"Transfer","Expense")))</f>
        <v/>
      </c>
      <c r="E99" s="97" t="str">
        <f aca="false">IF(C99="","",IFERROR(INDEX(Mapping!$B$5:$B$200,SUMPRODUCT(MAX((ISNUMBER(SEARCH(Mapping!$A$5:$A$200,UPPER(C99&amp;""))))*ROW(Mapping!$A$5:$A$200)))-4),""))</f>
        <v/>
      </c>
      <c r="F99" s="98"/>
      <c r="G99" s="99" t="n">
        <f aca="false">IF(F99="",G98,G98+IF(D99="Income",F99,IF(D99="Expense",-F99,F99)))</f>
        <v>3408.09</v>
      </c>
      <c r="H99" s="100" t="str">
        <f aca="false">IF(C99="","",IFERROR(INDEX(Mapping!$A$5:$A$200,SUMPRODUCT(MAX((ISNUMBER(SEARCH(Mapping!$A$5:$A$200,UPPER(C99&amp;""))))*ROW(Mapping!$A$5:$A$200)))-4)&amp;" → "&amp;INDEX(Mapping!$B$5:$B$200,SUMPRODUCT(MAX((ISNUMBER(SEARCH(Mapping!$A$5:$A$200,UPPER(C99&amp;""))))*ROW(Mapping!$A$5:$A$200)))-4),"❓ no rule (add to Mapping)"))</f>
        <v/>
      </c>
      <c r="I99" s="79" t="str">
        <f aca="false">IF(B99="","",TEXT(B99,"mmm"))</f>
        <v/>
      </c>
      <c r="J99" s="80" t="str">
        <f aca="false">IF(B99="","",YEAR(B99))</f>
        <v/>
      </c>
    </row>
    <row r="100" customFormat="false" ht="18" hidden="false" customHeight="true" outlineLevel="0" collapsed="false">
      <c r="A100" s="81" t="n">
        <v>95</v>
      </c>
      <c r="B100" s="95"/>
      <c r="C100" s="96"/>
      <c r="D100" s="96" t="str">
        <f aca="false">IF(C100="","",IF(OR(ISNUMBER(SEARCH("PAYROLL",UPPER(C100))),ISNUMBER(SEARCH("PAYCHECK",UPPER(C100))),ISNUMBER(SEARCH("DEPOSIT",UPPER(C100)))),"Income",IF(ISNUMBER(SEARCH("TRANSFER",UPPER(C100))),"Transfer","Expense")))</f>
        <v/>
      </c>
      <c r="E100" s="97" t="str">
        <f aca="false">IF(C100="","",IFERROR(INDEX(Mapping!$B$5:$B$200,SUMPRODUCT(MAX((ISNUMBER(SEARCH(Mapping!$A$5:$A$200,UPPER(C100&amp;""))))*ROW(Mapping!$A$5:$A$200)))-4),""))</f>
        <v/>
      </c>
      <c r="F100" s="98"/>
      <c r="G100" s="99" t="n">
        <f aca="false">IF(F100="",G99,G99+IF(D100="Income",F100,IF(D100="Expense",-F100,F100)))</f>
        <v>3408.09</v>
      </c>
      <c r="H100" s="100" t="str">
        <f aca="false">IF(C100="","",IFERROR(INDEX(Mapping!$A$5:$A$200,SUMPRODUCT(MAX((ISNUMBER(SEARCH(Mapping!$A$5:$A$200,UPPER(C100&amp;""))))*ROW(Mapping!$A$5:$A$200)))-4)&amp;" → "&amp;INDEX(Mapping!$B$5:$B$200,SUMPRODUCT(MAX((ISNUMBER(SEARCH(Mapping!$A$5:$A$200,UPPER(C100&amp;""))))*ROW(Mapping!$A$5:$A$200)))-4),"❓ no rule (add to Mapping)"))</f>
        <v/>
      </c>
      <c r="I100" s="79" t="str">
        <f aca="false">IF(B100="","",TEXT(B100,"mmm"))</f>
        <v/>
      </c>
      <c r="J100" s="80" t="str">
        <f aca="false">IF(B100="","",YEAR(B100))</f>
        <v/>
      </c>
    </row>
    <row r="101" customFormat="false" ht="18" hidden="false" customHeight="true" outlineLevel="0" collapsed="false">
      <c r="A101" s="81" t="n">
        <v>96</v>
      </c>
      <c r="B101" s="95"/>
      <c r="C101" s="96"/>
      <c r="D101" s="96" t="str">
        <f aca="false">IF(C101="","",IF(OR(ISNUMBER(SEARCH("PAYROLL",UPPER(C101))),ISNUMBER(SEARCH("PAYCHECK",UPPER(C101))),ISNUMBER(SEARCH("DEPOSIT",UPPER(C101)))),"Income",IF(ISNUMBER(SEARCH("TRANSFER",UPPER(C101))),"Transfer","Expense")))</f>
        <v/>
      </c>
      <c r="E101" s="97" t="str">
        <f aca="false">IF(C101="","",IFERROR(INDEX(Mapping!$B$5:$B$200,SUMPRODUCT(MAX((ISNUMBER(SEARCH(Mapping!$A$5:$A$200,UPPER(C101&amp;""))))*ROW(Mapping!$A$5:$A$200)))-4),""))</f>
        <v/>
      </c>
      <c r="F101" s="98"/>
      <c r="G101" s="99" t="n">
        <f aca="false">IF(F101="",G100,G100+IF(D101="Income",F101,IF(D101="Expense",-F101,F101)))</f>
        <v>3408.09</v>
      </c>
      <c r="H101" s="100" t="str">
        <f aca="false">IF(C101="","",IFERROR(INDEX(Mapping!$A$5:$A$200,SUMPRODUCT(MAX((ISNUMBER(SEARCH(Mapping!$A$5:$A$200,UPPER(C101&amp;""))))*ROW(Mapping!$A$5:$A$200)))-4)&amp;" → "&amp;INDEX(Mapping!$B$5:$B$200,SUMPRODUCT(MAX((ISNUMBER(SEARCH(Mapping!$A$5:$A$200,UPPER(C101&amp;""))))*ROW(Mapping!$A$5:$A$200)))-4),"❓ no rule (add to Mapping)"))</f>
        <v/>
      </c>
      <c r="I101" s="79" t="str">
        <f aca="false">IF(B101="","",TEXT(B101,"mmm"))</f>
        <v/>
      </c>
      <c r="J101" s="80" t="str">
        <f aca="false">IF(B101="","",YEAR(B101))</f>
        <v/>
      </c>
    </row>
    <row r="102" customFormat="false" ht="18" hidden="false" customHeight="true" outlineLevel="0" collapsed="false">
      <c r="A102" s="81" t="n">
        <v>97</v>
      </c>
      <c r="B102" s="95"/>
      <c r="C102" s="96"/>
      <c r="D102" s="96" t="str">
        <f aca="false">IF(C102="","",IF(OR(ISNUMBER(SEARCH("PAYROLL",UPPER(C102))),ISNUMBER(SEARCH("PAYCHECK",UPPER(C102))),ISNUMBER(SEARCH("DEPOSIT",UPPER(C102)))),"Income",IF(ISNUMBER(SEARCH("TRANSFER",UPPER(C102))),"Transfer","Expense")))</f>
        <v/>
      </c>
      <c r="E102" s="97" t="str">
        <f aca="false">IF(C102="","",IFERROR(INDEX(Mapping!$B$5:$B$200,SUMPRODUCT(MAX((ISNUMBER(SEARCH(Mapping!$A$5:$A$200,UPPER(C102&amp;""))))*ROW(Mapping!$A$5:$A$200)))-4),""))</f>
        <v/>
      </c>
      <c r="F102" s="98"/>
      <c r="G102" s="99" t="n">
        <f aca="false">IF(F102="",G101,G101+IF(D102="Income",F102,IF(D102="Expense",-F102,F102)))</f>
        <v>3408.09</v>
      </c>
      <c r="H102" s="100" t="str">
        <f aca="false">IF(C102="","",IFERROR(INDEX(Mapping!$A$5:$A$200,SUMPRODUCT(MAX((ISNUMBER(SEARCH(Mapping!$A$5:$A$200,UPPER(C102&amp;""))))*ROW(Mapping!$A$5:$A$200)))-4)&amp;" → "&amp;INDEX(Mapping!$B$5:$B$200,SUMPRODUCT(MAX((ISNUMBER(SEARCH(Mapping!$A$5:$A$200,UPPER(C102&amp;""))))*ROW(Mapping!$A$5:$A$200)))-4),"❓ no rule (add to Mapping)"))</f>
        <v/>
      </c>
      <c r="I102" s="79" t="str">
        <f aca="false">IF(B102="","",TEXT(B102,"mmm"))</f>
        <v/>
      </c>
      <c r="J102" s="80" t="str">
        <f aca="false">IF(B102="","",YEAR(B102))</f>
        <v/>
      </c>
    </row>
    <row r="103" customFormat="false" ht="18" hidden="false" customHeight="true" outlineLevel="0" collapsed="false">
      <c r="A103" s="81" t="n">
        <v>98</v>
      </c>
      <c r="B103" s="95"/>
      <c r="C103" s="96"/>
      <c r="D103" s="96" t="str">
        <f aca="false">IF(C103="","",IF(OR(ISNUMBER(SEARCH("PAYROLL",UPPER(C103))),ISNUMBER(SEARCH("PAYCHECK",UPPER(C103))),ISNUMBER(SEARCH("DEPOSIT",UPPER(C103)))),"Income",IF(ISNUMBER(SEARCH("TRANSFER",UPPER(C103))),"Transfer","Expense")))</f>
        <v/>
      </c>
      <c r="E103" s="97" t="str">
        <f aca="false">IF(C103="","",IFERROR(INDEX(Mapping!$B$5:$B$200,SUMPRODUCT(MAX((ISNUMBER(SEARCH(Mapping!$A$5:$A$200,UPPER(C103&amp;""))))*ROW(Mapping!$A$5:$A$200)))-4),""))</f>
        <v/>
      </c>
      <c r="F103" s="98"/>
      <c r="G103" s="99" t="n">
        <f aca="false">IF(F103="",G102,G102+IF(D103="Income",F103,IF(D103="Expense",-F103,F103)))</f>
        <v>3408.09</v>
      </c>
      <c r="H103" s="100" t="str">
        <f aca="false">IF(C103="","",IFERROR(INDEX(Mapping!$A$5:$A$200,SUMPRODUCT(MAX((ISNUMBER(SEARCH(Mapping!$A$5:$A$200,UPPER(C103&amp;""))))*ROW(Mapping!$A$5:$A$200)))-4)&amp;" → "&amp;INDEX(Mapping!$B$5:$B$200,SUMPRODUCT(MAX((ISNUMBER(SEARCH(Mapping!$A$5:$A$200,UPPER(C103&amp;""))))*ROW(Mapping!$A$5:$A$200)))-4),"❓ no rule (add to Mapping)"))</f>
        <v/>
      </c>
      <c r="I103" s="79" t="str">
        <f aca="false">IF(B103="","",TEXT(B103,"mmm"))</f>
        <v/>
      </c>
      <c r="J103" s="80" t="str">
        <f aca="false">IF(B103="","",YEAR(B103))</f>
        <v/>
      </c>
    </row>
    <row r="104" customFormat="false" ht="18" hidden="false" customHeight="true" outlineLevel="0" collapsed="false">
      <c r="A104" s="81" t="n">
        <v>99</v>
      </c>
      <c r="B104" s="95"/>
      <c r="C104" s="96"/>
      <c r="D104" s="96" t="str">
        <f aca="false">IF(C104="","",IF(OR(ISNUMBER(SEARCH("PAYROLL",UPPER(C104))),ISNUMBER(SEARCH("PAYCHECK",UPPER(C104))),ISNUMBER(SEARCH("DEPOSIT",UPPER(C104)))),"Income",IF(ISNUMBER(SEARCH("TRANSFER",UPPER(C104))),"Transfer","Expense")))</f>
        <v/>
      </c>
      <c r="E104" s="97" t="str">
        <f aca="false">IF(C104="","",IFERROR(INDEX(Mapping!$B$5:$B$200,SUMPRODUCT(MAX((ISNUMBER(SEARCH(Mapping!$A$5:$A$200,UPPER(C104&amp;""))))*ROW(Mapping!$A$5:$A$200)))-4),""))</f>
        <v/>
      </c>
      <c r="F104" s="98"/>
      <c r="G104" s="99" t="n">
        <f aca="false">IF(F104="",G103,G103+IF(D104="Income",F104,IF(D104="Expense",-F104,F104)))</f>
        <v>3408.09</v>
      </c>
      <c r="H104" s="100" t="str">
        <f aca="false">IF(C104="","",IFERROR(INDEX(Mapping!$A$5:$A$200,SUMPRODUCT(MAX((ISNUMBER(SEARCH(Mapping!$A$5:$A$200,UPPER(C104&amp;""))))*ROW(Mapping!$A$5:$A$200)))-4)&amp;" → "&amp;INDEX(Mapping!$B$5:$B$200,SUMPRODUCT(MAX((ISNUMBER(SEARCH(Mapping!$A$5:$A$200,UPPER(C104&amp;""))))*ROW(Mapping!$A$5:$A$200)))-4),"❓ no rule (add to Mapping)"))</f>
        <v/>
      </c>
      <c r="I104" s="79" t="str">
        <f aca="false">IF(B104="","",TEXT(B104,"mmm"))</f>
        <v/>
      </c>
      <c r="J104" s="80" t="str">
        <f aca="false">IF(B104="","",YEAR(B104))</f>
        <v/>
      </c>
    </row>
    <row r="105" customFormat="false" ht="18" hidden="false" customHeight="true" outlineLevel="0" collapsed="false">
      <c r="A105" s="81" t="n">
        <v>100</v>
      </c>
      <c r="B105" s="95"/>
      <c r="C105" s="96"/>
      <c r="D105" s="96" t="str">
        <f aca="false">IF(C105="","",IF(OR(ISNUMBER(SEARCH("PAYROLL",UPPER(C105))),ISNUMBER(SEARCH("PAYCHECK",UPPER(C105))),ISNUMBER(SEARCH("DEPOSIT",UPPER(C105)))),"Income",IF(ISNUMBER(SEARCH("TRANSFER",UPPER(C105))),"Transfer","Expense")))</f>
        <v/>
      </c>
      <c r="E105" s="97" t="str">
        <f aca="false">IF(C105="","",IFERROR(INDEX(Mapping!$B$5:$B$200,SUMPRODUCT(MAX((ISNUMBER(SEARCH(Mapping!$A$5:$A$200,UPPER(C105&amp;""))))*ROW(Mapping!$A$5:$A$200)))-4),""))</f>
        <v/>
      </c>
      <c r="F105" s="98"/>
      <c r="G105" s="99" t="n">
        <f aca="false">IF(F105="",G104,G104+IF(D105="Income",F105,IF(D105="Expense",-F105,F105)))</f>
        <v>3408.09</v>
      </c>
      <c r="H105" s="100" t="str">
        <f aca="false">IF(C105="","",IFERROR(INDEX(Mapping!$A$5:$A$200,SUMPRODUCT(MAX((ISNUMBER(SEARCH(Mapping!$A$5:$A$200,UPPER(C105&amp;""))))*ROW(Mapping!$A$5:$A$200)))-4)&amp;" → "&amp;INDEX(Mapping!$B$5:$B$200,SUMPRODUCT(MAX((ISNUMBER(SEARCH(Mapping!$A$5:$A$200,UPPER(C105&amp;""))))*ROW(Mapping!$A$5:$A$200)))-4),"❓ no rule (add to Mapping)"))</f>
        <v/>
      </c>
      <c r="I105" s="79" t="str">
        <f aca="false">IF(B105="","",TEXT(B105,"mmm"))</f>
        <v/>
      </c>
      <c r="J105" s="80" t="str">
        <f aca="false">IF(B105="","",YEAR(B105))</f>
        <v/>
      </c>
    </row>
    <row r="106" customFormat="false" ht="18" hidden="false" customHeight="true" outlineLevel="0" collapsed="false">
      <c r="A106" s="81" t="n">
        <v>101</v>
      </c>
      <c r="B106" s="95"/>
      <c r="C106" s="96"/>
      <c r="D106" s="96" t="str">
        <f aca="false">IF(C106="","",IF(OR(ISNUMBER(SEARCH("PAYROLL",UPPER(C106))),ISNUMBER(SEARCH("PAYCHECK",UPPER(C106))),ISNUMBER(SEARCH("DEPOSIT",UPPER(C106)))),"Income",IF(ISNUMBER(SEARCH("TRANSFER",UPPER(C106))),"Transfer","Expense")))</f>
        <v/>
      </c>
      <c r="E106" s="97" t="str">
        <f aca="false">IF(C106="","",IFERROR(INDEX(Mapping!$B$5:$B$200,SUMPRODUCT(MAX((ISNUMBER(SEARCH(Mapping!$A$5:$A$200,UPPER(C106&amp;""))))*ROW(Mapping!$A$5:$A$200)))-4),""))</f>
        <v/>
      </c>
      <c r="F106" s="98"/>
      <c r="G106" s="99" t="n">
        <f aca="false">IF(F106="",G105,G105+IF(D106="Income",F106,IF(D106="Expense",-F106,F106)))</f>
        <v>3408.09</v>
      </c>
      <c r="H106" s="100" t="str">
        <f aca="false">IF(C106="","",IFERROR(INDEX(Mapping!$A$5:$A$200,SUMPRODUCT(MAX((ISNUMBER(SEARCH(Mapping!$A$5:$A$200,UPPER(C106&amp;""))))*ROW(Mapping!$A$5:$A$200)))-4)&amp;" → "&amp;INDEX(Mapping!$B$5:$B$200,SUMPRODUCT(MAX((ISNUMBER(SEARCH(Mapping!$A$5:$A$200,UPPER(C106&amp;""))))*ROW(Mapping!$A$5:$A$200)))-4),"❓ no rule (add to Mapping)"))</f>
        <v/>
      </c>
      <c r="I106" s="79" t="str">
        <f aca="false">IF(B106="","",TEXT(B106,"mmm"))</f>
        <v/>
      </c>
      <c r="J106" s="80" t="str">
        <f aca="false">IF(B106="","",YEAR(B106))</f>
        <v/>
      </c>
    </row>
    <row r="107" customFormat="false" ht="18" hidden="false" customHeight="true" outlineLevel="0" collapsed="false">
      <c r="A107" s="81" t="n">
        <v>102</v>
      </c>
      <c r="B107" s="95"/>
      <c r="C107" s="96"/>
      <c r="D107" s="96" t="str">
        <f aca="false">IF(C107="","",IF(OR(ISNUMBER(SEARCH("PAYROLL",UPPER(C107))),ISNUMBER(SEARCH("PAYCHECK",UPPER(C107))),ISNUMBER(SEARCH("DEPOSIT",UPPER(C107)))),"Income",IF(ISNUMBER(SEARCH("TRANSFER",UPPER(C107))),"Transfer","Expense")))</f>
        <v/>
      </c>
      <c r="E107" s="97" t="str">
        <f aca="false">IF(C107="","",IFERROR(INDEX(Mapping!$B$5:$B$200,SUMPRODUCT(MAX((ISNUMBER(SEARCH(Mapping!$A$5:$A$200,UPPER(C107&amp;""))))*ROW(Mapping!$A$5:$A$200)))-4),""))</f>
        <v/>
      </c>
      <c r="F107" s="98"/>
      <c r="G107" s="99" t="n">
        <f aca="false">IF(F107="",G106,G106+IF(D107="Income",F107,IF(D107="Expense",-F107,F107)))</f>
        <v>3408.09</v>
      </c>
      <c r="H107" s="100" t="str">
        <f aca="false">IF(C107="","",IFERROR(INDEX(Mapping!$A$5:$A$200,SUMPRODUCT(MAX((ISNUMBER(SEARCH(Mapping!$A$5:$A$200,UPPER(C107&amp;""))))*ROW(Mapping!$A$5:$A$200)))-4)&amp;" → "&amp;INDEX(Mapping!$B$5:$B$200,SUMPRODUCT(MAX((ISNUMBER(SEARCH(Mapping!$A$5:$A$200,UPPER(C107&amp;""))))*ROW(Mapping!$A$5:$A$200)))-4),"❓ no rule (add to Mapping)"))</f>
        <v/>
      </c>
      <c r="I107" s="79" t="str">
        <f aca="false">IF(B107="","",TEXT(B107,"mmm"))</f>
        <v/>
      </c>
      <c r="J107" s="80" t="str">
        <f aca="false">IF(B107="","",YEAR(B107))</f>
        <v/>
      </c>
    </row>
    <row r="108" customFormat="false" ht="18" hidden="false" customHeight="true" outlineLevel="0" collapsed="false">
      <c r="A108" s="81" t="n">
        <v>103</v>
      </c>
      <c r="B108" s="95"/>
      <c r="C108" s="96"/>
      <c r="D108" s="96" t="str">
        <f aca="false">IF(C108="","",IF(OR(ISNUMBER(SEARCH("PAYROLL",UPPER(C108))),ISNUMBER(SEARCH("PAYCHECK",UPPER(C108))),ISNUMBER(SEARCH("DEPOSIT",UPPER(C108)))),"Income",IF(ISNUMBER(SEARCH("TRANSFER",UPPER(C108))),"Transfer","Expense")))</f>
        <v/>
      </c>
      <c r="E108" s="97" t="str">
        <f aca="false">IF(C108="","",IFERROR(INDEX(Mapping!$B$5:$B$200,SUMPRODUCT(MAX((ISNUMBER(SEARCH(Mapping!$A$5:$A$200,UPPER(C108&amp;""))))*ROW(Mapping!$A$5:$A$200)))-4),""))</f>
        <v/>
      </c>
      <c r="F108" s="98"/>
      <c r="G108" s="99" t="n">
        <f aca="false">IF(F108="",G107,G107+IF(D108="Income",F108,IF(D108="Expense",-F108,F108)))</f>
        <v>3408.09</v>
      </c>
      <c r="H108" s="100" t="str">
        <f aca="false">IF(C108="","",IFERROR(INDEX(Mapping!$A$5:$A$200,SUMPRODUCT(MAX((ISNUMBER(SEARCH(Mapping!$A$5:$A$200,UPPER(C108&amp;""))))*ROW(Mapping!$A$5:$A$200)))-4)&amp;" → "&amp;INDEX(Mapping!$B$5:$B$200,SUMPRODUCT(MAX((ISNUMBER(SEARCH(Mapping!$A$5:$A$200,UPPER(C108&amp;""))))*ROW(Mapping!$A$5:$A$200)))-4),"❓ no rule (add to Mapping)"))</f>
        <v/>
      </c>
      <c r="I108" s="79" t="str">
        <f aca="false">IF(B108="","",TEXT(B108,"mmm"))</f>
        <v/>
      </c>
      <c r="J108" s="80" t="str">
        <f aca="false">IF(B108="","",YEAR(B108))</f>
        <v/>
      </c>
    </row>
    <row r="109" customFormat="false" ht="18" hidden="false" customHeight="true" outlineLevel="0" collapsed="false">
      <c r="A109" s="81" t="n">
        <v>104</v>
      </c>
      <c r="B109" s="95"/>
      <c r="C109" s="96"/>
      <c r="D109" s="96" t="str">
        <f aca="false">IF(C109="","",IF(OR(ISNUMBER(SEARCH("PAYROLL",UPPER(C109))),ISNUMBER(SEARCH("PAYCHECK",UPPER(C109))),ISNUMBER(SEARCH("DEPOSIT",UPPER(C109)))),"Income",IF(ISNUMBER(SEARCH("TRANSFER",UPPER(C109))),"Transfer","Expense")))</f>
        <v/>
      </c>
      <c r="E109" s="97" t="str">
        <f aca="false">IF(C109="","",IFERROR(INDEX(Mapping!$B$5:$B$200,SUMPRODUCT(MAX((ISNUMBER(SEARCH(Mapping!$A$5:$A$200,UPPER(C109&amp;""))))*ROW(Mapping!$A$5:$A$200)))-4),""))</f>
        <v/>
      </c>
      <c r="F109" s="98"/>
      <c r="G109" s="99" t="n">
        <f aca="false">IF(F109="",G108,G108+IF(D109="Income",F109,IF(D109="Expense",-F109,F109)))</f>
        <v>3408.09</v>
      </c>
      <c r="H109" s="100" t="str">
        <f aca="false">IF(C109="","",IFERROR(INDEX(Mapping!$A$5:$A$200,SUMPRODUCT(MAX((ISNUMBER(SEARCH(Mapping!$A$5:$A$200,UPPER(C109&amp;""))))*ROW(Mapping!$A$5:$A$200)))-4)&amp;" → "&amp;INDEX(Mapping!$B$5:$B$200,SUMPRODUCT(MAX((ISNUMBER(SEARCH(Mapping!$A$5:$A$200,UPPER(C109&amp;""))))*ROW(Mapping!$A$5:$A$200)))-4),"❓ no rule (add to Mapping)"))</f>
        <v/>
      </c>
      <c r="I109" s="79" t="str">
        <f aca="false">IF(B109="","",TEXT(B109,"mmm"))</f>
        <v/>
      </c>
      <c r="J109" s="80" t="str">
        <f aca="false">IF(B109="","",YEAR(B109))</f>
        <v/>
      </c>
    </row>
    <row r="110" customFormat="false" ht="18" hidden="false" customHeight="true" outlineLevel="0" collapsed="false">
      <c r="A110" s="81" t="n">
        <v>105</v>
      </c>
      <c r="B110" s="95"/>
      <c r="C110" s="96"/>
      <c r="D110" s="96" t="str">
        <f aca="false">IF(C110="","",IF(OR(ISNUMBER(SEARCH("PAYROLL",UPPER(C110))),ISNUMBER(SEARCH("PAYCHECK",UPPER(C110))),ISNUMBER(SEARCH("DEPOSIT",UPPER(C110)))),"Income",IF(ISNUMBER(SEARCH("TRANSFER",UPPER(C110))),"Transfer","Expense")))</f>
        <v/>
      </c>
      <c r="E110" s="97" t="str">
        <f aca="false">IF(C110="","",IFERROR(INDEX(Mapping!$B$5:$B$200,SUMPRODUCT(MAX((ISNUMBER(SEARCH(Mapping!$A$5:$A$200,UPPER(C110&amp;""))))*ROW(Mapping!$A$5:$A$200)))-4),""))</f>
        <v/>
      </c>
      <c r="F110" s="98"/>
      <c r="G110" s="99" t="n">
        <f aca="false">IF(F110="",G109,G109+IF(D110="Income",F110,IF(D110="Expense",-F110,F110)))</f>
        <v>3408.09</v>
      </c>
      <c r="H110" s="100" t="str">
        <f aca="false">IF(C110="","",IFERROR(INDEX(Mapping!$A$5:$A$200,SUMPRODUCT(MAX((ISNUMBER(SEARCH(Mapping!$A$5:$A$200,UPPER(C110&amp;""))))*ROW(Mapping!$A$5:$A$200)))-4)&amp;" → "&amp;INDEX(Mapping!$B$5:$B$200,SUMPRODUCT(MAX((ISNUMBER(SEARCH(Mapping!$A$5:$A$200,UPPER(C110&amp;""))))*ROW(Mapping!$A$5:$A$200)))-4),"❓ no rule (add to Mapping)"))</f>
        <v/>
      </c>
      <c r="I110" s="79" t="str">
        <f aca="false">IF(B110="","",TEXT(B110,"mmm"))</f>
        <v/>
      </c>
      <c r="J110" s="80" t="str">
        <f aca="false">IF(B110="","",YEAR(B110))</f>
        <v/>
      </c>
    </row>
    <row r="111" customFormat="false" ht="18" hidden="false" customHeight="true" outlineLevel="0" collapsed="false">
      <c r="A111" s="81" t="n">
        <v>106</v>
      </c>
      <c r="B111" s="95"/>
      <c r="C111" s="96"/>
      <c r="D111" s="96" t="str">
        <f aca="false">IF(C111="","",IF(OR(ISNUMBER(SEARCH("PAYROLL",UPPER(C111))),ISNUMBER(SEARCH("PAYCHECK",UPPER(C111))),ISNUMBER(SEARCH("DEPOSIT",UPPER(C111)))),"Income",IF(ISNUMBER(SEARCH("TRANSFER",UPPER(C111))),"Transfer","Expense")))</f>
        <v/>
      </c>
      <c r="E111" s="97" t="str">
        <f aca="false">IF(C111="","",IFERROR(INDEX(Mapping!$B$5:$B$200,SUMPRODUCT(MAX((ISNUMBER(SEARCH(Mapping!$A$5:$A$200,UPPER(C111&amp;""))))*ROW(Mapping!$A$5:$A$200)))-4),""))</f>
        <v/>
      </c>
      <c r="F111" s="98"/>
      <c r="G111" s="99" t="n">
        <f aca="false">IF(F111="",G110,G110+IF(D111="Income",F111,IF(D111="Expense",-F111,F111)))</f>
        <v>3408.09</v>
      </c>
      <c r="H111" s="100" t="str">
        <f aca="false">IF(C111="","",IFERROR(INDEX(Mapping!$A$5:$A$200,SUMPRODUCT(MAX((ISNUMBER(SEARCH(Mapping!$A$5:$A$200,UPPER(C111&amp;""))))*ROW(Mapping!$A$5:$A$200)))-4)&amp;" → "&amp;INDEX(Mapping!$B$5:$B$200,SUMPRODUCT(MAX((ISNUMBER(SEARCH(Mapping!$A$5:$A$200,UPPER(C111&amp;""))))*ROW(Mapping!$A$5:$A$200)))-4),"❓ no rule (add to Mapping)"))</f>
        <v/>
      </c>
      <c r="I111" s="79" t="str">
        <f aca="false">IF(B111="","",TEXT(B111,"mmm"))</f>
        <v/>
      </c>
      <c r="J111" s="80" t="str">
        <f aca="false">IF(B111="","",YEAR(B111))</f>
        <v/>
      </c>
    </row>
    <row r="112" customFormat="false" ht="18" hidden="false" customHeight="true" outlineLevel="0" collapsed="false">
      <c r="A112" s="81" t="n">
        <v>107</v>
      </c>
      <c r="B112" s="95"/>
      <c r="C112" s="96"/>
      <c r="D112" s="96" t="str">
        <f aca="false">IF(C112="","",IF(OR(ISNUMBER(SEARCH("PAYROLL",UPPER(C112))),ISNUMBER(SEARCH("PAYCHECK",UPPER(C112))),ISNUMBER(SEARCH("DEPOSIT",UPPER(C112)))),"Income",IF(ISNUMBER(SEARCH("TRANSFER",UPPER(C112))),"Transfer","Expense")))</f>
        <v/>
      </c>
      <c r="E112" s="97" t="str">
        <f aca="false">IF(C112="","",IFERROR(INDEX(Mapping!$B$5:$B$200,SUMPRODUCT(MAX((ISNUMBER(SEARCH(Mapping!$A$5:$A$200,UPPER(C112&amp;""))))*ROW(Mapping!$A$5:$A$200)))-4),""))</f>
        <v/>
      </c>
      <c r="F112" s="98"/>
      <c r="G112" s="99" t="n">
        <f aca="false">IF(F112="",G111,G111+IF(D112="Income",F112,IF(D112="Expense",-F112,F112)))</f>
        <v>3408.09</v>
      </c>
      <c r="H112" s="100" t="str">
        <f aca="false">IF(C112="","",IFERROR(INDEX(Mapping!$A$5:$A$200,SUMPRODUCT(MAX((ISNUMBER(SEARCH(Mapping!$A$5:$A$200,UPPER(C112&amp;""))))*ROW(Mapping!$A$5:$A$200)))-4)&amp;" → "&amp;INDEX(Mapping!$B$5:$B$200,SUMPRODUCT(MAX((ISNUMBER(SEARCH(Mapping!$A$5:$A$200,UPPER(C112&amp;""))))*ROW(Mapping!$A$5:$A$200)))-4),"❓ no rule (add to Mapping)"))</f>
        <v/>
      </c>
      <c r="I112" s="79" t="str">
        <f aca="false">IF(B112="","",TEXT(B112,"mmm"))</f>
        <v/>
      </c>
      <c r="J112" s="80" t="str">
        <f aca="false">IF(B112="","",YEAR(B112))</f>
        <v/>
      </c>
    </row>
    <row r="113" customFormat="false" ht="18" hidden="false" customHeight="true" outlineLevel="0" collapsed="false">
      <c r="A113" s="81" t="n">
        <v>108</v>
      </c>
      <c r="B113" s="95"/>
      <c r="C113" s="96"/>
      <c r="D113" s="96" t="str">
        <f aca="false">IF(C113="","",IF(OR(ISNUMBER(SEARCH("PAYROLL",UPPER(C113))),ISNUMBER(SEARCH("PAYCHECK",UPPER(C113))),ISNUMBER(SEARCH("DEPOSIT",UPPER(C113)))),"Income",IF(ISNUMBER(SEARCH("TRANSFER",UPPER(C113))),"Transfer","Expense")))</f>
        <v/>
      </c>
      <c r="E113" s="97" t="str">
        <f aca="false">IF(C113="","",IFERROR(INDEX(Mapping!$B$5:$B$200,SUMPRODUCT(MAX((ISNUMBER(SEARCH(Mapping!$A$5:$A$200,UPPER(C113&amp;""))))*ROW(Mapping!$A$5:$A$200)))-4),""))</f>
        <v/>
      </c>
      <c r="F113" s="98"/>
      <c r="G113" s="99" t="n">
        <f aca="false">IF(F113="",G112,G112+IF(D113="Income",F113,IF(D113="Expense",-F113,F113)))</f>
        <v>3408.09</v>
      </c>
      <c r="H113" s="100" t="str">
        <f aca="false">IF(C113="","",IFERROR(INDEX(Mapping!$A$5:$A$200,SUMPRODUCT(MAX((ISNUMBER(SEARCH(Mapping!$A$5:$A$200,UPPER(C113&amp;""))))*ROW(Mapping!$A$5:$A$200)))-4)&amp;" → "&amp;INDEX(Mapping!$B$5:$B$200,SUMPRODUCT(MAX((ISNUMBER(SEARCH(Mapping!$A$5:$A$200,UPPER(C113&amp;""))))*ROW(Mapping!$A$5:$A$200)))-4),"❓ no rule (add to Mapping)"))</f>
        <v/>
      </c>
      <c r="I113" s="79" t="str">
        <f aca="false">IF(B113="","",TEXT(B113,"mmm"))</f>
        <v/>
      </c>
      <c r="J113" s="80" t="str">
        <f aca="false">IF(B113="","",YEAR(B113))</f>
        <v/>
      </c>
    </row>
    <row r="114" customFormat="false" ht="18" hidden="false" customHeight="true" outlineLevel="0" collapsed="false">
      <c r="A114" s="81" t="n">
        <v>109</v>
      </c>
      <c r="B114" s="95"/>
      <c r="C114" s="96"/>
      <c r="D114" s="96" t="str">
        <f aca="false">IF(C114="","",IF(OR(ISNUMBER(SEARCH("PAYROLL",UPPER(C114))),ISNUMBER(SEARCH("PAYCHECK",UPPER(C114))),ISNUMBER(SEARCH("DEPOSIT",UPPER(C114)))),"Income",IF(ISNUMBER(SEARCH("TRANSFER",UPPER(C114))),"Transfer","Expense")))</f>
        <v/>
      </c>
      <c r="E114" s="97" t="str">
        <f aca="false">IF(C114="","",IFERROR(INDEX(Mapping!$B$5:$B$200,SUMPRODUCT(MAX((ISNUMBER(SEARCH(Mapping!$A$5:$A$200,UPPER(C114&amp;""))))*ROW(Mapping!$A$5:$A$200)))-4),""))</f>
        <v/>
      </c>
      <c r="F114" s="98"/>
      <c r="G114" s="99" t="n">
        <f aca="false">IF(F114="",G113,G113+IF(D114="Income",F114,IF(D114="Expense",-F114,F114)))</f>
        <v>3408.09</v>
      </c>
      <c r="H114" s="100" t="str">
        <f aca="false">IF(C114="","",IFERROR(INDEX(Mapping!$A$5:$A$200,SUMPRODUCT(MAX((ISNUMBER(SEARCH(Mapping!$A$5:$A$200,UPPER(C114&amp;""))))*ROW(Mapping!$A$5:$A$200)))-4)&amp;" → "&amp;INDEX(Mapping!$B$5:$B$200,SUMPRODUCT(MAX((ISNUMBER(SEARCH(Mapping!$A$5:$A$200,UPPER(C114&amp;""))))*ROW(Mapping!$A$5:$A$200)))-4),"❓ no rule (add to Mapping)"))</f>
        <v/>
      </c>
      <c r="I114" s="79" t="str">
        <f aca="false">IF(B114="","",TEXT(B114,"mmm"))</f>
        <v/>
      </c>
      <c r="J114" s="80" t="str">
        <f aca="false">IF(B114="","",YEAR(B114))</f>
        <v/>
      </c>
    </row>
    <row r="115" customFormat="false" ht="18" hidden="false" customHeight="true" outlineLevel="0" collapsed="false">
      <c r="A115" s="81" t="n">
        <v>110</v>
      </c>
      <c r="B115" s="95"/>
      <c r="C115" s="96"/>
      <c r="D115" s="96" t="str">
        <f aca="false">IF(C115="","",IF(OR(ISNUMBER(SEARCH("PAYROLL",UPPER(C115))),ISNUMBER(SEARCH("PAYCHECK",UPPER(C115))),ISNUMBER(SEARCH("DEPOSIT",UPPER(C115)))),"Income",IF(ISNUMBER(SEARCH("TRANSFER",UPPER(C115))),"Transfer","Expense")))</f>
        <v/>
      </c>
      <c r="E115" s="97" t="str">
        <f aca="false">IF(C115="","",IFERROR(INDEX(Mapping!$B$5:$B$200,SUMPRODUCT(MAX((ISNUMBER(SEARCH(Mapping!$A$5:$A$200,UPPER(C115&amp;""))))*ROW(Mapping!$A$5:$A$200)))-4),""))</f>
        <v/>
      </c>
      <c r="F115" s="98"/>
      <c r="G115" s="99" t="n">
        <f aca="false">IF(F115="",G114,G114+IF(D115="Income",F115,IF(D115="Expense",-F115,F115)))</f>
        <v>3408.09</v>
      </c>
      <c r="H115" s="100" t="str">
        <f aca="false">IF(C115="","",IFERROR(INDEX(Mapping!$A$5:$A$200,SUMPRODUCT(MAX((ISNUMBER(SEARCH(Mapping!$A$5:$A$200,UPPER(C115&amp;""))))*ROW(Mapping!$A$5:$A$200)))-4)&amp;" → "&amp;INDEX(Mapping!$B$5:$B$200,SUMPRODUCT(MAX((ISNUMBER(SEARCH(Mapping!$A$5:$A$200,UPPER(C115&amp;""))))*ROW(Mapping!$A$5:$A$200)))-4),"❓ no rule (add to Mapping)"))</f>
        <v/>
      </c>
      <c r="I115" s="79" t="str">
        <f aca="false">IF(B115="","",TEXT(B115,"mmm"))</f>
        <v/>
      </c>
      <c r="J115" s="80" t="str">
        <f aca="false">IF(B115="","",YEAR(B115))</f>
        <v/>
      </c>
    </row>
    <row r="116" customFormat="false" ht="18" hidden="false" customHeight="true" outlineLevel="0" collapsed="false">
      <c r="A116" s="81" t="n">
        <v>111</v>
      </c>
      <c r="B116" s="95"/>
      <c r="C116" s="96"/>
      <c r="D116" s="96" t="str">
        <f aca="false">IF(C116="","",IF(OR(ISNUMBER(SEARCH("PAYROLL",UPPER(C116))),ISNUMBER(SEARCH("PAYCHECK",UPPER(C116))),ISNUMBER(SEARCH("DEPOSIT",UPPER(C116)))),"Income",IF(ISNUMBER(SEARCH("TRANSFER",UPPER(C116))),"Transfer","Expense")))</f>
        <v/>
      </c>
      <c r="E116" s="97" t="str">
        <f aca="false">IF(C116="","",IFERROR(INDEX(Mapping!$B$5:$B$200,SUMPRODUCT(MAX((ISNUMBER(SEARCH(Mapping!$A$5:$A$200,UPPER(C116&amp;""))))*ROW(Mapping!$A$5:$A$200)))-4),""))</f>
        <v/>
      </c>
      <c r="F116" s="98"/>
      <c r="G116" s="99" t="n">
        <f aca="false">IF(F116="",G115,G115+IF(D116="Income",F116,IF(D116="Expense",-F116,F116)))</f>
        <v>3408.09</v>
      </c>
      <c r="H116" s="100" t="str">
        <f aca="false">IF(C116="","",IFERROR(INDEX(Mapping!$A$5:$A$200,SUMPRODUCT(MAX((ISNUMBER(SEARCH(Mapping!$A$5:$A$200,UPPER(C116&amp;""))))*ROW(Mapping!$A$5:$A$200)))-4)&amp;" → "&amp;INDEX(Mapping!$B$5:$B$200,SUMPRODUCT(MAX((ISNUMBER(SEARCH(Mapping!$A$5:$A$200,UPPER(C116&amp;""))))*ROW(Mapping!$A$5:$A$200)))-4),"❓ no rule (add to Mapping)"))</f>
        <v/>
      </c>
      <c r="I116" s="79" t="str">
        <f aca="false">IF(B116="","",TEXT(B116,"mmm"))</f>
        <v/>
      </c>
      <c r="J116" s="80" t="str">
        <f aca="false">IF(B116="","",YEAR(B116))</f>
        <v/>
      </c>
    </row>
    <row r="117" customFormat="false" ht="18" hidden="false" customHeight="true" outlineLevel="0" collapsed="false">
      <c r="A117" s="81" t="n">
        <v>112</v>
      </c>
      <c r="B117" s="95"/>
      <c r="C117" s="96"/>
      <c r="D117" s="96" t="str">
        <f aca="false">IF(C117="","",IF(OR(ISNUMBER(SEARCH("PAYROLL",UPPER(C117))),ISNUMBER(SEARCH("PAYCHECK",UPPER(C117))),ISNUMBER(SEARCH("DEPOSIT",UPPER(C117)))),"Income",IF(ISNUMBER(SEARCH("TRANSFER",UPPER(C117))),"Transfer","Expense")))</f>
        <v/>
      </c>
      <c r="E117" s="97" t="str">
        <f aca="false">IF(C117="","",IFERROR(INDEX(Mapping!$B$5:$B$200,SUMPRODUCT(MAX((ISNUMBER(SEARCH(Mapping!$A$5:$A$200,UPPER(C117&amp;""))))*ROW(Mapping!$A$5:$A$200)))-4),""))</f>
        <v/>
      </c>
      <c r="F117" s="98"/>
      <c r="G117" s="99" t="n">
        <f aca="false">IF(F117="",G116,G116+IF(D117="Income",F117,IF(D117="Expense",-F117,F117)))</f>
        <v>3408.09</v>
      </c>
      <c r="H117" s="100" t="str">
        <f aca="false">IF(C117="","",IFERROR(INDEX(Mapping!$A$5:$A$200,SUMPRODUCT(MAX((ISNUMBER(SEARCH(Mapping!$A$5:$A$200,UPPER(C117&amp;""))))*ROW(Mapping!$A$5:$A$200)))-4)&amp;" → "&amp;INDEX(Mapping!$B$5:$B$200,SUMPRODUCT(MAX((ISNUMBER(SEARCH(Mapping!$A$5:$A$200,UPPER(C117&amp;""))))*ROW(Mapping!$A$5:$A$200)))-4),"❓ no rule (add to Mapping)"))</f>
        <v/>
      </c>
      <c r="I117" s="79" t="str">
        <f aca="false">IF(B117="","",TEXT(B117,"mmm"))</f>
        <v/>
      </c>
      <c r="J117" s="80" t="str">
        <f aca="false">IF(B117="","",YEAR(B117))</f>
        <v/>
      </c>
    </row>
    <row r="118" customFormat="false" ht="18" hidden="false" customHeight="true" outlineLevel="0" collapsed="false">
      <c r="A118" s="81" t="n">
        <v>113</v>
      </c>
      <c r="B118" s="95"/>
      <c r="C118" s="96"/>
      <c r="D118" s="96" t="str">
        <f aca="false">IF(C118="","",IF(OR(ISNUMBER(SEARCH("PAYROLL",UPPER(C118))),ISNUMBER(SEARCH("PAYCHECK",UPPER(C118))),ISNUMBER(SEARCH("DEPOSIT",UPPER(C118)))),"Income",IF(ISNUMBER(SEARCH("TRANSFER",UPPER(C118))),"Transfer","Expense")))</f>
        <v/>
      </c>
      <c r="E118" s="97" t="str">
        <f aca="false">IF(C118="","",IFERROR(INDEX(Mapping!$B$5:$B$200,SUMPRODUCT(MAX((ISNUMBER(SEARCH(Mapping!$A$5:$A$200,UPPER(C118&amp;""))))*ROW(Mapping!$A$5:$A$200)))-4),""))</f>
        <v/>
      </c>
      <c r="F118" s="98"/>
      <c r="G118" s="99" t="n">
        <f aca="false">IF(F118="",G117,G117+IF(D118="Income",F118,IF(D118="Expense",-F118,F118)))</f>
        <v>3408.09</v>
      </c>
      <c r="H118" s="100" t="str">
        <f aca="false">IF(C118="","",IFERROR(INDEX(Mapping!$A$5:$A$200,SUMPRODUCT(MAX((ISNUMBER(SEARCH(Mapping!$A$5:$A$200,UPPER(C118&amp;""))))*ROW(Mapping!$A$5:$A$200)))-4)&amp;" → "&amp;INDEX(Mapping!$B$5:$B$200,SUMPRODUCT(MAX((ISNUMBER(SEARCH(Mapping!$A$5:$A$200,UPPER(C118&amp;""))))*ROW(Mapping!$A$5:$A$200)))-4),"❓ no rule (add to Mapping)"))</f>
        <v/>
      </c>
      <c r="I118" s="79" t="str">
        <f aca="false">IF(B118="","",TEXT(B118,"mmm"))</f>
        <v/>
      </c>
      <c r="J118" s="80" t="str">
        <f aca="false">IF(B118="","",YEAR(B118))</f>
        <v/>
      </c>
    </row>
    <row r="119" customFormat="false" ht="18" hidden="false" customHeight="true" outlineLevel="0" collapsed="false">
      <c r="A119" s="81" t="n">
        <v>114</v>
      </c>
      <c r="B119" s="95"/>
      <c r="C119" s="96"/>
      <c r="D119" s="96" t="str">
        <f aca="false">IF(C119="","",IF(OR(ISNUMBER(SEARCH("PAYROLL",UPPER(C119))),ISNUMBER(SEARCH("PAYCHECK",UPPER(C119))),ISNUMBER(SEARCH("DEPOSIT",UPPER(C119)))),"Income",IF(ISNUMBER(SEARCH("TRANSFER",UPPER(C119))),"Transfer","Expense")))</f>
        <v/>
      </c>
      <c r="E119" s="97" t="str">
        <f aca="false">IF(C119="","",IFERROR(INDEX(Mapping!$B$5:$B$200,SUMPRODUCT(MAX((ISNUMBER(SEARCH(Mapping!$A$5:$A$200,UPPER(C119&amp;""))))*ROW(Mapping!$A$5:$A$200)))-4),""))</f>
        <v/>
      </c>
      <c r="F119" s="98"/>
      <c r="G119" s="99" t="n">
        <f aca="false">IF(F119="",G118,G118+IF(D119="Income",F119,IF(D119="Expense",-F119,F119)))</f>
        <v>3408.09</v>
      </c>
      <c r="H119" s="100" t="str">
        <f aca="false">IF(C119="","",IFERROR(INDEX(Mapping!$A$5:$A$200,SUMPRODUCT(MAX((ISNUMBER(SEARCH(Mapping!$A$5:$A$200,UPPER(C119&amp;""))))*ROW(Mapping!$A$5:$A$200)))-4)&amp;" → "&amp;INDEX(Mapping!$B$5:$B$200,SUMPRODUCT(MAX((ISNUMBER(SEARCH(Mapping!$A$5:$A$200,UPPER(C119&amp;""))))*ROW(Mapping!$A$5:$A$200)))-4),"❓ no rule (add to Mapping)"))</f>
        <v/>
      </c>
      <c r="I119" s="79" t="str">
        <f aca="false">IF(B119="","",TEXT(B119,"mmm"))</f>
        <v/>
      </c>
      <c r="J119" s="80" t="str">
        <f aca="false">IF(B119="","",YEAR(B119))</f>
        <v/>
      </c>
    </row>
    <row r="120" customFormat="false" ht="18" hidden="false" customHeight="true" outlineLevel="0" collapsed="false">
      <c r="A120" s="81" t="n">
        <v>115</v>
      </c>
      <c r="B120" s="95"/>
      <c r="C120" s="96"/>
      <c r="D120" s="96" t="str">
        <f aca="false">IF(C120="","",IF(OR(ISNUMBER(SEARCH("PAYROLL",UPPER(C120))),ISNUMBER(SEARCH("PAYCHECK",UPPER(C120))),ISNUMBER(SEARCH("DEPOSIT",UPPER(C120)))),"Income",IF(ISNUMBER(SEARCH("TRANSFER",UPPER(C120))),"Transfer","Expense")))</f>
        <v/>
      </c>
      <c r="E120" s="97" t="str">
        <f aca="false">IF(C120="","",IFERROR(INDEX(Mapping!$B$5:$B$200,SUMPRODUCT(MAX((ISNUMBER(SEARCH(Mapping!$A$5:$A$200,UPPER(C120&amp;""))))*ROW(Mapping!$A$5:$A$200)))-4),""))</f>
        <v/>
      </c>
      <c r="F120" s="98"/>
      <c r="G120" s="99" t="n">
        <f aca="false">IF(F120="",G119,G119+IF(D120="Income",F120,IF(D120="Expense",-F120,F120)))</f>
        <v>3408.09</v>
      </c>
      <c r="H120" s="100" t="str">
        <f aca="false">IF(C120="","",IFERROR(INDEX(Mapping!$A$5:$A$200,SUMPRODUCT(MAX((ISNUMBER(SEARCH(Mapping!$A$5:$A$200,UPPER(C120&amp;""))))*ROW(Mapping!$A$5:$A$200)))-4)&amp;" → "&amp;INDEX(Mapping!$B$5:$B$200,SUMPRODUCT(MAX((ISNUMBER(SEARCH(Mapping!$A$5:$A$200,UPPER(C120&amp;""))))*ROW(Mapping!$A$5:$A$200)))-4),"❓ no rule (add to Mapping)"))</f>
        <v/>
      </c>
      <c r="I120" s="79" t="str">
        <f aca="false">IF(B120="","",TEXT(B120,"mmm"))</f>
        <v/>
      </c>
      <c r="J120" s="80" t="str">
        <f aca="false">IF(B120="","",YEAR(B120))</f>
        <v/>
      </c>
    </row>
    <row r="121" customFormat="false" ht="18" hidden="false" customHeight="true" outlineLevel="0" collapsed="false">
      <c r="A121" s="81" t="n">
        <v>116</v>
      </c>
      <c r="B121" s="95"/>
      <c r="C121" s="96"/>
      <c r="D121" s="96" t="str">
        <f aca="false">IF(C121="","",IF(OR(ISNUMBER(SEARCH("PAYROLL",UPPER(C121))),ISNUMBER(SEARCH("PAYCHECK",UPPER(C121))),ISNUMBER(SEARCH("DEPOSIT",UPPER(C121)))),"Income",IF(ISNUMBER(SEARCH("TRANSFER",UPPER(C121))),"Transfer","Expense")))</f>
        <v/>
      </c>
      <c r="E121" s="97" t="str">
        <f aca="false">IF(C121="","",IFERROR(INDEX(Mapping!$B$5:$B$200,SUMPRODUCT(MAX((ISNUMBER(SEARCH(Mapping!$A$5:$A$200,UPPER(C121&amp;""))))*ROW(Mapping!$A$5:$A$200)))-4),""))</f>
        <v/>
      </c>
      <c r="F121" s="98"/>
      <c r="G121" s="99" t="n">
        <f aca="false">IF(F121="",G120,G120+IF(D121="Income",F121,IF(D121="Expense",-F121,F121)))</f>
        <v>3408.09</v>
      </c>
      <c r="H121" s="100" t="str">
        <f aca="false">IF(C121="","",IFERROR(INDEX(Mapping!$A$5:$A$200,SUMPRODUCT(MAX((ISNUMBER(SEARCH(Mapping!$A$5:$A$200,UPPER(C121&amp;""))))*ROW(Mapping!$A$5:$A$200)))-4)&amp;" → "&amp;INDEX(Mapping!$B$5:$B$200,SUMPRODUCT(MAX((ISNUMBER(SEARCH(Mapping!$A$5:$A$200,UPPER(C121&amp;""))))*ROW(Mapping!$A$5:$A$200)))-4),"❓ no rule (add to Mapping)"))</f>
        <v/>
      </c>
      <c r="I121" s="79" t="str">
        <f aca="false">IF(B121="","",TEXT(B121,"mmm"))</f>
        <v/>
      </c>
      <c r="J121" s="80" t="str">
        <f aca="false">IF(B121="","",YEAR(B121))</f>
        <v/>
      </c>
    </row>
    <row r="122" customFormat="false" ht="18" hidden="false" customHeight="true" outlineLevel="0" collapsed="false">
      <c r="A122" s="81" t="n">
        <v>117</v>
      </c>
      <c r="B122" s="95"/>
      <c r="C122" s="96"/>
      <c r="D122" s="96" t="str">
        <f aca="false">IF(C122="","",IF(OR(ISNUMBER(SEARCH("PAYROLL",UPPER(C122))),ISNUMBER(SEARCH("PAYCHECK",UPPER(C122))),ISNUMBER(SEARCH("DEPOSIT",UPPER(C122)))),"Income",IF(ISNUMBER(SEARCH("TRANSFER",UPPER(C122))),"Transfer","Expense")))</f>
        <v/>
      </c>
      <c r="E122" s="97" t="str">
        <f aca="false">IF(C122="","",IFERROR(INDEX(Mapping!$B$5:$B$200,SUMPRODUCT(MAX((ISNUMBER(SEARCH(Mapping!$A$5:$A$200,UPPER(C122&amp;""))))*ROW(Mapping!$A$5:$A$200)))-4),""))</f>
        <v/>
      </c>
      <c r="F122" s="98"/>
      <c r="G122" s="99" t="n">
        <f aca="false">IF(F122="",G121,G121+IF(D122="Income",F122,IF(D122="Expense",-F122,F122)))</f>
        <v>3408.09</v>
      </c>
      <c r="H122" s="100" t="str">
        <f aca="false">IF(C122="","",IFERROR(INDEX(Mapping!$A$5:$A$200,SUMPRODUCT(MAX((ISNUMBER(SEARCH(Mapping!$A$5:$A$200,UPPER(C122&amp;""))))*ROW(Mapping!$A$5:$A$200)))-4)&amp;" → "&amp;INDEX(Mapping!$B$5:$B$200,SUMPRODUCT(MAX((ISNUMBER(SEARCH(Mapping!$A$5:$A$200,UPPER(C122&amp;""))))*ROW(Mapping!$A$5:$A$200)))-4),"❓ no rule (add to Mapping)"))</f>
        <v/>
      </c>
      <c r="I122" s="79" t="str">
        <f aca="false">IF(B122="","",TEXT(B122,"mmm"))</f>
        <v/>
      </c>
      <c r="J122" s="80" t="str">
        <f aca="false">IF(B122="","",YEAR(B122))</f>
        <v/>
      </c>
    </row>
    <row r="123" customFormat="false" ht="18" hidden="false" customHeight="true" outlineLevel="0" collapsed="false">
      <c r="A123" s="81" t="n">
        <v>118</v>
      </c>
      <c r="B123" s="95"/>
      <c r="C123" s="96"/>
      <c r="D123" s="96" t="str">
        <f aca="false">IF(C123="","",IF(OR(ISNUMBER(SEARCH("PAYROLL",UPPER(C123))),ISNUMBER(SEARCH("PAYCHECK",UPPER(C123))),ISNUMBER(SEARCH("DEPOSIT",UPPER(C123)))),"Income",IF(ISNUMBER(SEARCH("TRANSFER",UPPER(C123))),"Transfer","Expense")))</f>
        <v/>
      </c>
      <c r="E123" s="97" t="str">
        <f aca="false">IF(C123="","",IFERROR(INDEX(Mapping!$B$5:$B$200,SUMPRODUCT(MAX((ISNUMBER(SEARCH(Mapping!$A$5:$A$200,UPPER(C123&amp;""))))*ROW(Mapping!$A$5:$A$200)))-4),""))</f>
        <v/>
      </c>
      <c r="F123" s="98"/>
      <c r="G123" s="99" t="n">
        <f aca="false">IF(F123="",G122,G122+IF(D123="Income",F123,IF(D123="Expense",-F123,F123)))</f>
        <v>3408.09</v>
      </c>
      <c r="H123" s="100" t="str">
        <f aca="false">IF(C123="","",IFERROR(INDEX(Mapping!$A$5:$A$200,SUMPRODUCT(MAX((ISNUMBER(SEARCH(Mapping!$A$5:$A$200,UPPER(C123&amp;""))))*ROW(Mapping!$A$5:$A$200)))-4)&amp;" → "&amp;INDEX(Mapping!$B$5:$B$200,SUMPRODUCT(MAX((ISNUMBER(SEARCH(Mapping!$A$5:$A$200,UPPER(C123&amp;""))))*ROW(Mapping!$A$5:$A$200)))-4),"❓ no rule (add to Mapping)"))</f>
        <v/>
      </c>
      <c r="I123" s="79" t="str">
        <f aca="false">IF(B123="","",TEXT(B123,"mmm"))</f>
        <v/>
      </c>
      <c r="J123" s="80" t="str">
        <f aca="false">IF(B123="","",YEAR(B123))</f>
        <v/>
      </c>
    </row>
    <row r="124" customFormat="false" ht="18" hidden="false" customHeight="true" outlineLevel="0" collapsed="false">
      <c r="A124" s="81" t="n">
        <v>119</v>
      </c>
      <c r="B124" s="95"/>
      <c r="C124" s="96"/>
      <c r="D124" s="96" t="str">
        <f aca="false">IF(C124="","",IF(OR(ISNUMBER(SEARCH("PAYROLL",UPPER(C124))),ISNUMBER(SEARCH("PAYCHECK",UPPER(C124))),ISNUMBER(SEARCH("DEPOSIT",UPPER(C124)))),"Income",IF(ISNUMBER(SEARCH("TRANSFER",UPPER(C124))),"Transfer","Expense")))</f>
        <v/>
      </c>
      <c r="E124" s="97" t="str">
        <f aca="false">IF(C124="","",IFERROR(INDEX(Mapping!$B$5:$B$200,SUMPRODUCT(MAX((ISNUMBER(SEARCH(Mapping!$A$5:$A$200,UPPER(C124&amp;""))))*ROW(Mapping!$A$5:$A$200)))-4),""))</f>
        <v/>
      </c>
      <c r="F124" s="98"/>
      <c r="G124" s="99" t="n">
        <f aca="false">IF(F124="",G123,G123+IF(D124="Income",F124,IF(D124="Expense",-F124,F124)))</f>
        <v>3408.09</v>
      </c>
      <c r="H124" s="100" t="str">
        <f aca="false">IF(C124="","",IFERROR(INDEX(Mapping!$A$5:$A$200,SUMPRODUCT(MAX((ISNUMBER(SEARCH(Mapping!$A$5:$A$200,UPPER(C124&amp;""))))*ROW(Mapping!$A$5:$A$200)))-4)&amp;" → "&amp;INDEX(Mapping!$B$5:$B$200,SUMPRODUCT(MAX((ISNUMBER(SEARCH(Mapping!$A$5:$A$200,UPPER(C124&amp;""))))*ROW(Mapping!$A$5:$A$200)))-4),"❓ no rule (add to Mapping)"))</f>
        <v/>
      </c>
      <c r="I124" s="79" t="str">
        <f aca="false">IF(B124="","",TEXT(B124,"mmm"))</f>
        <v/>
      </c>
      <c r="J124" s="80" t="str">
        <f aca="false">IF(B124="","",YEAR(B124))</f>
        <v/>
      </c>
    </row>
    <row r="125" customFormat="false" ht="18" hidden="false" customHeight="true" outlineLevel="0" collapsed="false">
      <c r="A125" s="81" t="n">
        <v>120</v>
      </c>
      <c r="B125" s="95"/>
      <c r="C125" s="96"/>
      <c r="D125" s="96" t="str">
        <f aca="false">IF(C125="","",IF(OR(ISNUMBER(SEARCH("PAYROLL",UPPER(C125))),ISNUMBER(SEARCH("PAYCHECK",UPPER(C125))),ISNUMBER(SEARCH("DEPOSIT",UPPER(C125)))),"Income",IF(ISNUMBER(SEARCH("TRANSFER",UPPER(C125))),"Transfer","Expense")))</f>
        <v/>
      </c>
      <c r="E125" s="97" t="str">
        <f aca="false">IF(C125="","",IFERROR(INDEX(Mapping!$B$5:$B$200,SUMPRODUCT(MAX((ISNUMBER(SEARCH(Mapping!$A$5:$A$200,UPPER(C125&amp;""))))*ROW(Mapping!$A$5:$A$200)))-4),""))</f>
        <v/>
      </c>
      <c r="F125" s="98"/>
      <c r="G125" s="99" t="n">
        <f aca="false">IF(F125="",G124,G124+IF(D125="Income",F125,IF(D125="Expense",-F125,F125)))</f>
        <v>3408.09</v>
      </c>
      <c r="H125" s="100" t="str">
        <f aca="false">IF(C125="","",IFERROR(INDEX(Mapping!$A$5:$A$200,SUMPRODUCT(MAX((ISNUMBER(SEARCH(Mapping!$A$5:$A$200,UPPER(C125&amp;""))))*ROW(Mapping!$A$5:$A$200)))-4)&amp;" → "&amp;INDEX(Mapping!$B$5:$B$200,SUMPRODUCT(MAX((ISNUMBER(SEARCH(Mapping!$A$5:$A$200,UPPER(C125&amp;""))))*ROW(Mapping!$A$5:$A$200)))-4),"❓ no rule (add to Mapping)"))</f>
        <v/>
      </c>
      <c r="I125" s="79" t="str">
        <f aca="false">IF(B125="","",TEXT(B125,"mmm"))</f>
        <v/>
      </c>
      <c r="J125" s="80" t="str">
        <f aca="false">IF(B125="","",YEAR(B125))</f>
        <v/>
      </c>
    </row>
    <row r="126" customFormat="false" ht="18" hidden="false" customHeight="true" outlineLevel="0" collapsed="false">
      <c r="A126" s="81" t="n">
        <v>121</v>
      </c>
      <c r="B126" s="95"/>
      <c r="C126" s="96"/>
      <c r="D126" s="96" t="str">
        <f aca="false">IF(C126="","",IF(OR(ISNUMBER(SEARCH("PAYROLL",UPPER(C126))),ISNUMBER(SEARCH("PAYCHECK",UPPER(C126))),ISNUMBER(SEARCH("DEPOSIT",UPPER(C126)))),"Income",IF(ISNUMBER(SEARCH("TRANSFER",UPPER(C126))),"Transfer","Expense")))</f>
        <v/>
      </c>
      <c r="E126" s="97" t="str">
        <f aca="false">IF(C126="","",IFERROR(INDEX(Mapping!$B$5:$B$200,SUMPRODUCT(MAX((ISNUMBER(SEARCH(Mapping!$A$5:$A$200,UPPER(C126&amp;""))))*ROW(Mapping!$A$5:$A$200)))-4),""))</f>
        <v/>
      </c>
      <c r="F126" s="98"/>
      <c r="G126" s="99" t="n">
        <f aca="false">IF(F126="",G125,G125+IF(D126="Income",F126,IF(D126="Expense",-F126,F126)))</f>
        <v>3408.09</v>
      </c>
      <c r="H126" s="100" t="str">
        <f aca="false">IF(C126="","",IFERROR(INDEX(Mapping!$A$5:$A$200,SUMPRODUCT(MAX((ISNUMBER(SEARCH(Mapping!$A$5:$A$200,UPPER(C126&amp;""))))*ROW(Mapping!$A$5:$A$200)))-4)&amp;" → "&amp;INDEX(Mapping!$B$5:$B$200,SUMPRODUCT(MAX((ISNUMBER(SEARCH(Mapping!$A$5:$A$200,UPPER(C126&amp;""))))*ROW(Mapping!$A$5:$A$200)))-4),"❓ no rule (add to Mapping)"))</f>
        <v/>
      </c>
      <c r="I126" s="79" t="str">
        <f aca="false">IF(B126="","",TEXT(B126,"mmm"))</f>
        <v/>
      </c>
      <c r="J126" s="80" t="str">
        <f aca="false">IF(B126="","",YEAR(B126))</f>
        <v/>
      </c>
    </row>
    <row r="127" customFormat="false" ht="18" hidden="false" customHeight="true" outlineLevel="0" collapsed="false">
      <c r="A127" s="81" t="n">
        <v>122</v>
      </c>
      <c r="B127" s="95"/>
      <c r="C127" s="96"/>
      <c r="D127" s="96" t="str">
        <f aca="false">IF(C127="","",IF(OR(ISNUMBER(SEARCH("PAYROLL",UPPER(C127))),ISNUMBER(SEARCH("PAYCHECK",UPPER(C127))),ISNUMBER(SEARCH("DEPOSIT",UPPER(C127)))),"Income",IF(ISNUMBER(SEARCH("TRANSFER",UPPER(C127))),"Transfer","Expense")))</f>
        <v/>
      </c>
      <c r="E127" s="97" t="str">
        <f aca="false">IF(C127="","",IFERROR(INDEX(Mapping!$B$5:$B$200,SUMPRODUCT(MAX((ISNUMBER(SEARCH(Mapping!$A$5:$A$200,UPPER(C127&amp;""))))*ROW(Mapping!$A$5:$A$200)))-4),""))</f>
        <v/>
      </c>
      <c r="F127" s="98"/>
      <c r="G127" s="99" t="n">
        <f aca="false">IF(F127="",G126,G126+IF(D127="Income",F127,IF(D127="Expense",-F127,F127)))</f>
        <v>3408.09</v>
      </c>
      <c r="H127" s="100" t="str">
        <f aca="false">IF(C127="","",IFERROR(INDEX(Mapping!$A$5:$A$200,SUMPRODUCT(MAX((ISNUMBER(SEARCH(Mapping!$A$5:$A$200,UPPER(C127&amp;""))))*ROW(Mapping!$A$5:$A$200)))-4)&amp;" → "&amp;INDEX(Mapping!$B$5:$B$200,SUMPRODUCT(MAX((ISNUMBER(SEARCH(Mapping!$A$5:$A$200,UPPER(C127&amp;""))))*ROW(Mapping!$A$5:$A$200)))-4),"❓ no rule (add to Mapping)"))</f>
        <v/>
      </c>
      <c r="I127" s="79" t="str">
        <f aca="false">IF(B127="","",TEXT(B127,"mmm"))</f>
        <v/>
      </c>
      <c r="J127" s="80" t="str">
        <f aca="false">IF(B127="","",YEAR(B127))</f>
        <v/>
      </c>
    </row>
    <row r="128" customFormat="false" ht="18" hidden="false" customHeight="true" outlineLevel="0" collapsed="false">
      <c r="A128" s="81" t="n">
        <v>123</v>
      </c>
      <c r="B128" s="95"/>
      <c r="C128" s="96"/>
      <c r="D128" s="96" t="str">
        <f aca="false">IF(C128="","",IF(OR(ISNUMBER(SEARCH("PAYROLL",UPPER(C128))),ISNUMBER(SEARCH("PAYCHECK",UPPER(C128))),ISNUMBER(SEARCH("DEPOSIT",UPPER(C128)))),"Income",IF(ISNUMBER(SEARCH("TRANSFER",UPPER(C128))),"Transfer","Expense")))</f>
        <v/>
      </c>
      <c r="E128" s="97" t="str">
        <f aca="false">IF(C128="","",IFERROR(INDEX(Mapping!$B$5:$B$200,SUMPRODUCT(MAX((ISNUMBER(SEARCH(Mapping!$A$5:$A$200,UPPER(C128&amp;""))))*ROW(Mapping!$A$5:$A$200)))-4),""))</f>
        <v/>
      </c>
      <c r="F128" s="98"/>
      <c r="G128" s="99" t="n">
        <f aca="false">IF(F128="",G127,G127+IF(D128="Income",F128,IF(D128="Expense",-F128,F128)))</f>
        <v>3408.09</v>
      </c>
      <c r="H128" s="100" t="str">
        <f aca="false">IF(C128="","",IFERROR(INDEX(Mapping!$A$5:$A$200,SUMPRODUCT(MAX((ISNUMBER(SEARCH(Mapping!$A$5:$A$200,UPPER(C128&amp;""))))*ROW(Mapping!$A$5:$A$200)))-4)&amp;" → "&amp;INDEX(Mapping!$B$5:$B$200,SUMPRODUCT(MAX((ISNUMBER(SEARCH(Mapping!$A$5:$A$200,UPPER(C128&amp;""))))*ROW(Mapping!$A$5:$A$200)))-4),"❓ no rule (add to Mapping)"))</f>
        <v/>
      </c>
      <c r="I128" s="79" t="str">
        <f aca="false">IF(B128="","",TEXT(B128,"mmm"))</f>
        <v/>
      </c>
      <c r="J128" s="80" t="str">
        <f aca="false">IF(B128="","",YEAR(B128))</f>
        <v/>
      </c>
    </row>
    <row r="129" customFormat="false" ht="18" hidden="false" customHeight="true" outlineLevel="0" collapsed="false">
      <c r="A129" s="81" t="n">
        <v>124</v>
      </c>
      <c r="B129" s="95"/>
      <c r="C129" s="96"/>
      <c r="D129" s="96" t="str">
        <f aca="false">IF(C129="","",IF(OR(ISNUMBER(SEARCH("PAYROLL",UPPER(C129))),ISNUMBER(SEARCH("PAYCHECK",UPPER(C129))),ISNUMBER(SEARCH("DEPOSIT",UPPER(C129)))),"Income",IF(ISNUMBER(SEARCH("TRANSFER",UPPER(C129))),"Transfer","Expense")))</f>
        <v/>
      </c>
      <c r="E129" s="97" t="str">
        <f aca="false">IF(C129="","",IFERROR(INDEX(Mapping!$B$5:$B$200,SUMPRODUCT(MAX((ISNUMBER(SEARCH(Mapping!$A$5:$A$200,UPPER(C129&amp;""))))*ROW(Mapping!$A$5:$A$200)))-4),""))</f>
        <v/>
      </c>
      <c r="F129" s="98"/>
      <c r="G129" s="99" t="n">
        <f aca="false">IF(F129="",G128,G128+IF(D129="Income",F129,IF(D129="Expense",-F129,F129)))</f>
        <v>3408.09</v>
      </c>
      <c r="H129" s="100" t="str">
        <f aca="false">IF(C129="","",IFERROR(INDEX(Mapping!$A$5:$A$200,SUMPRODUCT(MAX((ISNUMBER(SEARCH(Mapping!$A$5:$A$200,UPPER(C129&amp;""))))*ROW(Mapping!$A$5:$A$200)))-4)&amp;" → "&amp;INDEX(Mapping!$B$5:$B$200,SUMPRODUCT(MAX((ISNUMBER(SEARCH(Mapping!$A$5:$A$200,UPPER(C129&amp;""))))*ROW(Mapping!$A$5:$A$200)))-4),"❓ no rule (add to Mapping)"))</f>
        <v/>
      </c>
      <c r="I129" s="79" t="str">
        <f aca="false">IF(B129="","",TEXT(B129,"mmm"))</f>
        <v/>
      </c>
      <c r="J129" s="80" t="str">
        <f aca="false">IF(B129="","",YEAR(B129))</f>
        <v/>
      </c>
    </row>
    <row r="130" customFormat="false" ht="18" hidden="false" customHeight="true" outlineLevel="0" collapsed="false">
      <c r="A130" s="81" t="n">
        <v>125</v>
      </c>
      <c r="B130" s="95"/>
      <c r="C130" s="96"/>
      <c r="D130" s="96" t="str">
        <f aca="false">IF(C130="","",IF(OR(ISNUMBER(SEARCH("PAYROLL",UPPER(C130))),ISNUMBER(SEARCH("PAYCHECK",UPPER(C130))),ISNUMBER(SEARCH("DEPOSIT",UPPER(C130)))),"Income",IF(ISNUMBER(SEARCH("TRANSFER",UPPER(C130))),"Transfer","Expense")))</f>
        <v/>
      </c>
      <c r="E130" s="97" t="str">
        <f aca="false">IF(C130="","",IFERROR(INDEX(Mapping!$B$5:$B$200,SUMPRODUCT(MAX((ISNUMBER(SEARCH(Mapping!$A$5:$A$200,UPPER(C130&amp;""))))*ROW(Mapping!$A$5:$A$200)))-4),""))</f>
        <v/>
      </c>
      <c r="F130" s="98"/>
      <c r="G130" s="99" t="n">
        <f aca="false">IF(F130="",G129,G129+IF(D130="Income",F130,IF(D130="Expense",-F130,F130)))</f>
        <v>3408.09</v>
      </c>
      <c r="H130" s="100" t="str">
        <f aca="false">IF(C130="","",IFERROR(INDEX(Mapping!$A$5:$A$200,SUMPRODUCT(MAX((ISNUMBER(SEARCH(Mapping!$A$5:$A$200,UPPER(C130&amp;""))))*ROW(Mapping!$A$5:$A$200)))-4)&amp;" → "&amp;INDEX(Mapping!$B$5:$B$200,SUMPRODUCT(MAX((ISNUMBER(SEARCH(Mapping!$A$5:$A$200,UPPER(C130&amp;""))))*ROW(Mapping!$A$5:$A$200)))-4),"❓ no rule (add to Mapping)"))</f>
        <v/>
      </c>
      <c r="I130" s="79" t="str">
        <f aca="false">IF(B130="","",TEXT(B130,"mmm"))</f>
        <v/>
      </c>
      <c r="J130" s="80" t="str">
        <f aca="false">IF(B130="","",YEAR(B130))</f>
        <v/>
      </c>
    </row>
    <row r="131" customFormat="false" ht="18" hidden="false" customHeight="true" outlineLevel="0" collapsed="false">
      <c r="A131" s="81" t="n">
        <v>126</v>
      </c>
      <c r="B131" s="95"/>
      <c r="C131" s="96"/>
      <c r="D131" s="96" t="str">
        <f aca="false">IF(C131="","",IF(OR(ISNUMBER(SEARCH("PAYROLL",UPPER(C131))),ISNUMBER(SEARCH("PAYCHECK",UPPER(C131))),ISNUMBER(SEARCH("DEPOSIT",UPPER(C131)))),"Income",IF(ISNUMBER(SEARCH("TRANSFER",UPPER(C131))),"Transfer","Expense")))</f>
        <v/>
      </c>
      <c r="E131" s="97" t="str">
        <f aca="false">IF(C131="","",IFERROR(INDEX(Mapping!$B$5:$B$200,SUMPRODUCT(MAX((ISNUMBER(SEARCH(Mapping!$A$5:$A$200,UPPER(C131&amp;""))))*ROW(Mapping!$A$5:$A$200)))-4),""))</f>
        <v/>
      </c>
      <c r="F131" s="98"/>
      <c r="G131" s="99" t="n">
        <f aca="false">IF(F131="",G130,G130+IF(D131="Income",F131,IF(D131="Expense",-F131,F131)))</f>
        <v>3408.09</v>
      </c>
      <c r="H131" s="100" t="str">
        <f aca="false">IF(C131="","",IFERROR(INDEX(Mapping!$A$5:$A$200,SUMPRODUCT(MAX((ISNUMBER(SEARCH(Mapping!$A$5:$A$200,UPPER(C131&amp;""))))*ROW(Mapping!$A$5:$A$200)))-4)&amp;" → "&amp;INDEX(Mapping!$B$5:$B$200,SUMPRODUCT(MAX((ISNUMBER(SEARCH(Mapping!$A$5:$A$200,UPPER(C131&amp;""))))*ROW(Mapping!$A$5:$A$200)))-4),"❓ no rule (add to Mapping)"))</f>
        <v/>
      </c>
      <c r="I131" s="79" t="str">
        <f aca="false">IF(B131="","",TEXT(B131,"mmm"))</f>
        <v/>
      </c>
      <c r="J131" s="80" t="str">
        <f aca="false">IF(B131="","",YEAR(B131))</f>
        <v/>
      </c>
    </row>
    <row r="132" customFormat="false" ht="18" hidden="false" customHeight="true" outlineLevel="0" collapsed="false">
      <c r="A132" s="81" t="n">
        <v>127</v>
      </c>
      <c r="B132" s="95"/>
      <c r="C132" s="96"/>
      <c r="D132" s="96" t="str">
        <f aca="false">IF(C132="","",IF(OR(ISNUMBER(SEARCH("PAYROLL",UPPER(C132))),ISNUMBER(SEARCH("PAYCHECK",UPPER(C132))),ISNUMBER(SEARCH("DEPOSIT",UPPER(C132)))),"Income",IF(ISNUMBER(SEARCH("TRANSFER",UPPER(C132))),"Transfer","Expense")))</f>
        <v/>
      </c>
      <c r="E132" s="97" t="str">
        <f aca="false">IF(C132="","",IFERROR(INDEX(Mapping!$B$5:$B$200,SUMPRODUCT(MAX((ISNUMBER(SEARCH(Mapping!$A$5:$A$200,UPPER(C132&amp;""))))*ROW(Mapping!$A$5:$A$200)))-4),""))</f>
        <v/>
      </c>
      <c r="F132" s="98"/>
      <c r="G132" s="99" t="n">
        <f aca="false">IF(F132="",G131,G131+IF(D132="Income",F132,IF(D132="Expense",-F132,F132)))</f>
        <v>3408.09</v>
      </c>
      <c r="H132" s="100" t="str">
        <f aca="false">IF(C132="","",IFERROR(INDEX(Mapping!$A$5:$A$200,SUMPRODUCT(MAX((ISNUMBER(SEARCH(Mapping!$A$5:$A$200,UPPER(C132&amp;""))))*ROW(Mapping!$A$5:$A$200)))-4)&amp;" → "&amp;INDEX(Mapping!$B$5:$B$200,SUMPRODUCT(MAX((ISNUMBER(SEARCH(Mapping!$A$5:$A$200,UPPER(C132&amp;""))))*ROW(Mapping!$A$5:$A$200)))-4),"❓ no rule (add to Mapping)"))</f>
        <v/>
      </c>
      <c r="I132" s="79" t="str">
        <f aca="false">IF(B132="","",TEXT(B132,"mmm"))</f>
        <v/>
      </c>
      <c r="J132" s="80" t="str">
        <f aca="false">IF(B132="","",YEAR(B132))</f>
        <v/>
      </c>
    </row>
    <row r="133" customFormat="false" ht="18" hidden="false" customHeight="true" outlineLevel="0" collapsed="false">
      <c r="A133" s="81" t="n">
        <v>128</v>
      </c>
      <c r="B133" s="95"/>
      <c r="C133" s="96"/>
      <c r="D133" s="96" t="str">
        <f aca="false">IF(C133="","",IF(OR(ISNUMBER(SEARCH("PAYROLL",UPPER(C133))),ISNUMBER(SEARCH("PAYCHECK",UPPER(C133))),ISNUMBER(SEARCH("DEPOSIT",UPPER(C133)))),"Income",IF(ISNUMBER(SEARCH("TRANSFER",UPPER(C133))),"Transfer","Expense")))</f>
        <v/>
      </c>
      <c r="E133" s="97" t="str">
        <f aca="false">IF(C133="","",IFERROR(INDEX(Mapping!$B$5:$B$200,SUMPRODUCT(MAX((ISNUMBER(SEARCH(Mapping!$A$5:$A$200,UPPER(C133&amp;""))))*ROW(Mapping!$A$5:$A$200)))-4),""))</f>
        <v/>
      </c>
      <c r="F133" s="98"/>
      <c r="G133" s="99" t="n">
        <f aca="false">IF(F133="",G132,G132+IF(D133="Income",F133,IF(D133="Expense",-F133,F133)))</f>
        <v>3408.09</v>
      </c>
      <c r="H133" s="100" t="str">
        <f aca="false">IF(C133="","",IFERROR(INDEX(Mapping!$A$5:$A$200,SUMPRODUCT(MAX((ISNUMBER(SEARCH(Mapping!$A$5:$A$200,UPPER(C133&amp;""))))*ROW(Mapping!$A$5:$A$200)))-4)&amp;" → "&amp;INDEX(Mapping!$B$5:$B$200,SUMPRODUCT(MAX((ISNUMBER(SEARCH(Mapping!$A$5:$A$200,UPPER(C133&amp;""))))*ROW(Mapping!$A$5:$A$200)))-4),"❓ no rule (add to Mapping)"))</f>
        <v/>
      </c>
      <c r="I133" s="79" t="str">
        <f aca="false">IF(B133="","",TEXT(B133,"mmm"))</f>
        <v/>
      </c>
      <c r="J133" s="80" t="str">
        <f aca="false">IF(B133="","",YEAR(B133))</f>
        <v/>
      </c>
    </row>
    <row r="134" customFormat="false" ht="18" hidden="false" customHeight="true" outlineLevel="0" collapsed="false">
      <c r="A134" s="81" t="n">
        <v>129</v>
      </c>
      <c r="B134" s="95"/>
      <c r="C134" s="96"/>
      <c r="D134" s="96" t="str">
        <f aca="false">IF(C134="","",IF(OR(ISNUMBER(SEARCH("PAYROLL",UPPER(C134))),ISNUMBER(SEARCH("PAYCHECK",UPPER(C134))),ISNUMBER(SEARCH("DEPOSIT",UPPER(C134)))),"Income",IF(ISNUMBER(SEARCH("TRANSFER",UPPER(C134))),"Transfer","Expense")))</f>
        <v/>
      </c>
      <c r="E134" s="97" t="str">
        <f aca="false">IF(C134="","",IFERROR(INDEX(Mapping!$B$5:$B$200,SUMPRODUCT(MAX((ISNUMBER(SEARCH(Mapping!$A$5:$A$200,UPPER(C134&amp;""))))*ROW(Mapping!$A$5:$A$200)))-4),""))</f>
        <v/>
      </c>
      <c r="F134" s="98"/>
      <c r="G134" s="99" t="n">
        <f aca="false">IF(F134="",G133,G133+IF(D134="Income",F134,IF(D134="Expense",-F134,F134)))</f>
        <v>3408.09</v>
      </c>
      <c r="H134" s="100" t="str">
        <f aca="false">IF(C134="","",IFERROR(INDEX(Mapping!$A$5:$A$200,SUMPRODUCT(MAX((ISNUMBER(SEARCH(Mapping!$A$5:$A$200,UPPER(C134&amp;""))))*ROW(Mapping!$A$5:$A$200)))-4)&amp;" → "&amp;INDEX(Mapping!$B$5:$B$200,SUMPRODUCT(MAX((ISNUMBER(SEARCH(Mapping!$A$5:$A$200,UPPER(C134&amp;""))))*ROW(Mapping!$A$5:$A$200)))-4),"❓ no rule (add to Mapping)"))</f>
        <v/>
      </c>
      <c r="I134" s="79" t="str">
        <f aca="false">IF(B134="","",TEXT(B134,"mmm"))</f>
        <v/>
      </c>
      <c r="J134" s="80" t="str">
        <f aca="false">IF(B134="","",YEAR(B134))</f>
        <v/>
      </c>
    </row>
    <row r="135" customFormat="false" ht="18" hidden="false" customHeight="true" outlineLevel="0" collapsed="false">
      <c r="A135" s="81" t="n">
        <v>130</v>
      </c>
      <c r="B135" s="95"/>
      <c r="C135" s="96"/>
      <c r="D135" s="96" t="str">
        <f aca="false">IF(C135="","",IF(OR(ISNUMBER(SEARCH("PAYROLL",UPPER(C135))),ISNUMBER(SEARCH("PAYCHECK",UPPER(C135))),ISNUMBER(SEARCH("DEPOSIT",UPPER(C135)))),"Income",IF(ISNUMBER(SEARCH("TRANSFER",UPPER(C135))),"Transfer","Expense")))</f>
        <v/>
      </c>
      <c r="E135" s="97" t="str">
        <f aca="false">IF(C135="","",IFERROR(INDEX(Mapping!$B$5:$B$200,SUMPRODUCT(MAX((ISNUMBER(SEARCH(Mapping!$A$5:$A$200,UPPER(C135&amp;""))))*ROW(Mapping!$A$5:$A$200)))-4),""))</f>
        <v/>
      </c>
      <c r="F135" s="98"/>
      <c r="G135" s="99" t="n">
        <f aca="false">IF(F135="",G134,G134+IF(D135="Income",F135,IF(D135="Expense",-F135,F135)))</f>
        <v>3408.09</v>
      </c>
      <c r="H135" s="100" t="str">
        <f aca="false">IF(C135="","",IFERROR(INDEX(Mapping!$A$5:$A$200,SUMPRODUCT(MAX((ISNUMBER(SEARCH(Mapping!$A$5:$A$200,UPPER(C135&amp;""))))*ROW(Mapping!$A$5:$A$200)))-4)&amp;" → "&amp;INDEX(Mapping!$B$5:$B$200,SUMPRODUCT(MAX((ISNUMBER(SEARCH(Mapping!$A$5:$A$200,UPPER(C135&amp;""))))*ROW(Mapping!$A$5:$A$200)))-4),"❓ no rule (add to Mapping)"))</f>
        <v/>
      </c>
      <c r="I135" s="79" t="str">
        <f aca="false">IF(B135="","",TEXT(B135,"mmm"))</f>
        <v/>
      </c>
      <c r="J135" s="80" t="str">
        <f aca="false">IF(B135="","",YEAR(B135))</f>
        <v/>
      </c>
    </row>
    <row r="136" customFormat="false" ht="18" hidden="false" customHeight="true" outlineLevel="0" collapsed="false">
      <c r="A136" s="81" t="n">
        <v>131</v>
      </c>
      <c r="B136" s="95"/>
      <c r="C136" s="96"/>
      <c r="D136" s="96" t="str">
        <f aca="false">IF(C136="","",IF(OR(ISNUMBER(SEARCH("PAYROLL",UPPER(C136))),ISNUMBER(SEARCH("PAYCHECK",UPPER(C136))),ISNUMBER(SEARCH("DEPOSIT",UPPER(C136)))),"Income",IF(ISNUMBER(SEARCH("TRANSFER",UPPER(C136))),"Transfer","Expense")))</f>
        <v/>
      </c>
      <c r="E136" s="97" t="str">
        <f aca="false">IF(C136="","",IFERROR(INDEX(Mapping!$B$5:$B$200,SUMPRODUCT(MAX((ISNUMBER(SEARCH(Mapping!$A$5:$A$200,UPPER(C136&amp;""))))*ROW(Mapping!$A$5:$A$200)))-4),""))</f>
        <v/>
      </c>
      <c r="F136" s="98"/>
      <c r="G136" s="99" t="n">
        <f aca="false">IF(F136="",G135,G135+IF(D136="Income",F136,IF(D136="Expense",-F136,F136)))</f>
        <v>3408.09</v>
      </c>
      <c r="H136" s="100" t="str">
        <f aca="false">IF(C136="","",IFERROR(INDEX(Mapping!$A$5:$A$200,SUMPRODUCT(MAX((ISNUMBER(SEARCH(Mapping!$A$5:$A$200,UPPER(C136&amp;""))))*ROW(Mapping!$A$5:$A$200)))-4)&amp;" → "&amp;INDEX(Mapping!$B$5:$B$200,SUMPRODUCT(MAX((ISNUMBER(SEARCH(Mapping!$A$5:$A$200,UPPER(C136&amp;""))))*ROW(Mapping!$A$5:$A$200)))-4),"❓ no rule (add to Mapping)"))</f>
        <v/>
      </c>
      <c r="I136" s="79" t="str">
        <f aca="false">IF(B136="","",TEXT(B136,"mmm"))</f>
        <v/>
      </c>
      <c r="J136" s="80" t="str">
        <f aca="false">IF(B136="","",YEAR(B136))</f>
        <v/>
      </c>
    </row>
    <row r="137" customFormat="false" ht="18" hidden="false" customHeight="true" outlineLevel="0" collapsed="false">
      <c r="A137" s="81" t="n">
        <v>132</v>
      </c>
      <c r="B137" s="95"/>
      <c r="C137" s="96"/>
      <c r="D137" s="96" t="str">
        <f aca="false">IF(C137="","",IF(OR(ISNUMBER(SEARCH("PAYROLL",UPPER(C137))),ISNUMBER(SEARCH("PAYCHECK",UPPER(C137))),ISNUMBER(SEARCH("DEPOSIT",UPPER(C137)))),"Income",IF(ISNUMBER(SEARCH("TRANSFER",UPPER(C137))),"Transfer","Expense")))</f>
        <v/>
      </c>
      <c r="E137" s="97" t="str">
        <f aca="false">IF(C137="","",IFERROR(INDEX(Mapping!$B$5:$B$200,SUMPRODUCT(MAX((ISNUMBER(SEARCH(Mapping!$A$5:$A$200,UPPER(C137&amp;""))))*ROW(Mapping!$A$5:$A$200)))-4),""))</f>
        <v/>
      </c>
      <c r="F137" s="98"/>
      <c r="G137" s="99" t="n">
        <f aca="false">IF(F137="",G136,G136+IF(D137="Income",F137,IF(D137="Expense",-F137,F137)))</f>
        <v>3408.09</v>
      </c>
      <c r="H137" s="100" t="str">
        <f aca="false">IF(C137="","",IFERROR(INDEX(Mapping!$A$5:$A$200,SUMPRODUCT(MAX((ISNUMBER(SEARCH(Mapping!$A$5:$A$200,UPPER(C137&amp;""))))*ROW(Mapping!$A$5:$A$200)))-4)&amp;" → "&amp;INDEX(Mapping!$B$5:$B$200,SUMPRODUCT(MAX((ISNUMBER(SEARCH(Mapping!$A$5:$A$200,UPPER(C137&amp;""))))*ROW(Mapping!$A$5:$A$200)))-4),"❓ no rule (add to Mapping)"))</f>
        <v/>
      </c>
      <c r="I137" s="79" t="str">
        <f aca="false">IF(B137="","",TEXT(B137,"mmm"))</f>
        <v/>
      </c>
      <c r="J137" s="80" t="str">
        <f aca="false">IF(B137="","",YEAR(B137))</f>
        <v/>
      </c>
    </row>
    <row r="138" customFormat="false" ht="18" hidden="false" customHeight="true" outlineLevel="0" collapsed="false">
      <c r="A138" s="81" t="n">
        <v>133</v>
      </c>
      <c r="B138" s="95"/>
      <c r="C138" s="96"/>
      <c r="D138" s="96" t="str">
        <f aca="false">IF(C138="","",IF(OR(ISNUMBER(SEARCH("PAYROLL",UPPER(C138))),ISNUMBER(SEARCH("PAYCHECK",UPPER(C138))),ISNUMBER(SEARCH("DEPOSIT",UPPER(C138)))),"Income",IF(ISNUMBER(SEARCH("TRANSFER",UPPER(C138))),"Transfer","Expense")))</f>
        <v/>
      </c>
      <c r="E138" s="97" t="str">
        <f aca="false">IF(C138="","",IFERROR(INDEX(Mapping!$B$5:$B$200,SUMPRODUCT(MAX((ISNUMBER(SEARCH(Mapping!$A$5:$A$200,UPPER(C138&amp;""))))*ROW(Mapping!$A$5:$A$200)))-4),""))</f>
        <v/>
      </c>
      <c r="F138" s="98"/>
      <c r="G138" s="99" t="n">
        <f aca="false">IF(F138="",G137,G137+IF(D138="Income",F138,IF(D138="Expense",-F138,F138)))</f>
        <v>3408.09</v>
      </c>
      <c r="H138" s="100" t="str">
        <f aca="false">IF(C138="","",IFERROR(INDEX(Mapping!$A$5:$A$200,SUMPRODUCT(MAX((ISNUMBER(SEARCH(Mapping!$A$5:$A$200,UPPER(C138&amp;""))))*ROW(Mapping!$A$5:$A$200)))-4)&amp;" → "&amp;INDEX(Mapping!$B$5:$B$200,SUMPRODUCT(MAX((ISNUMBER(SEARCH(Mapping!$A$5:$A$200,UPPER(C138&amp;""))))*ROW(Mapping!$A$5:$A$200)))-4),"❓ no rule (add to Mapping)"))</f>
        <v/>
      </c>
      <c r="I138" s="79" t="str">
        <f aca="false">IF(B138="","",TEXT(B138,"mmm"))</f>
        <v/>
      </c>
      <c r="J138" s="80" t="str">
        <f aca="false">IF(B138="","",YEAR(B138))</f>
        <v/>
      </c>
    </row>
    <row r="139" customFormat="false" ht="18" hidden="false" customHeight="true" outlineLevel="0" collapsed="false">
      <c r="A139" s="81" t="n">
        <v>134</v>
      </c>
      <c r="B139" s="95"/>
      <c r="C139" s="96"/>
      <c r="D139" s="96" t="str">
        <f aca="false">IF(C139="","",IF(OR(ISNUMBER(SEARCH("PAYROLL",UPPER(C139))),ISNUMBER(SEARCH("PAYCHECK",UPPER(C139))),ISNUMBER(SEARCH("DEPOSIT",UPPER(C139)))),"Income",IF(ISNUMBER(SEARCH("TRANSFER",UPPER(C139))),"Transfer","Expense")))</f>
        <v/>
      </c>
      <c r="E139" s="97" t="str">
        <f aca="false">IF(C139="","",IFERROR(INDEX(Mapping!$B$5:$B$200,SUMPRODUCT(MAX((ISNUMBER(SEARCH(Mapping!$A$5:$A$200,UPPER(C139&amp;""))))*ROW(Mapping!$A$5:$A$200)))-4),""))</f>
        <v/>
      </c>
      <c r="F139" s="98"/>
      <c r="G139" s="99" t="n">
        <f aca="false">IF(F139="",G138,G138+IF(D139="Income",F139,IF(D139="Expense",-F139,F139)))</f>
        <v>3408.09</v>
      </c>
      <c r="H139" s="100" t="str">
        <f aca="false">IF(C139="","",IFERROR(INDEX(Mapping!$A$5:$A$200,SUMPRODUCT(MAX((ISNUMBER(SEARCH(Mapping!$A$5:$A$200,UPPER(C139&amp;""))))*ROW(Mapping!$A$5:$A$200)))-4)&amp;" → "&amp;INDEX(Mapping!$B$5:$B$200,SUMPRODUCT(MAX((ISNUMBER(SEARCH(Mapping!$A$5:$A$200,UPPER(C139&amp;""))))*ROW(Mapping!$A$5:$A$200)))-4),"❓ no rule (add to Mapping)"))</f>
        <v/>
      </c>
      <c r="I139" s="79" t="str">
        <f aca="false">IF(B139="","",TEXT(B139,"mmm"))</f>
        <v/>
      </c>
      <c r="J139" s="80" t="str">
        <f aca="false">IF(B139="","",YEAR(B139))</f>
        <v/>
      </c>
    </row>
    <row r="140" customFormat="false" ht="18" hidden="false" customHeight="true" outlineLevel="0" collapsed="false">
      <c r="A140" s="81" t="n">
        <v>135</v>
      </c>
      <c r="B140" s="95"/>
      <c r="C140" s="96"/>
      <c r="D140" s="96" t="str">
        <f aca="false">IF(C140="","",IF(OR(ISNUMBER(SEARCH("PAYROLL",UPPER(C140))),ISNUMBER(SEARCH("PAYCHECK",UPPER(C140))),ISNUMBER(SEARCH("DEPOSIT",UPPER(C140)))),"Income",IF(ISNUMBER(SEARCH("TRANSFER",UPPER(C140))),"Transfer","Expense")))</f>
        <v/>
      </c>
      <c r="E140" s="97" t="str">
        <f aca="false">IF(C140="","",IFERROR(INDEX(Mapping!$B$5:$B$200,SUMPRODUCT(MAX((ISNUMBER(SEARCH(Mapping!$A$5:$A$200,UPPER(C140&amp;""))))*ROW(Mapping!$A$5:$A$200)))-4),""))</f>
        <v/>
      </c>
      <c r="F140" s="98"/>
      <c r="G140" s="99" t="n">
        <f aca="false">IF(F140="",G139,G139+IF(D140="Income",F140,IF(D140="Expense",-F140,F140)))</f>
        <v>3408.09</v>
      </c>
      <c r="H140" s="100" t="str">
        <f aca="false">IF(C140="","",IFERROR(INDEX(Mapping!$A$5:$A$200,SUMPRODUCT(MAX((ISNUMBER(SEARCH(Mapping!$A$5:$A$200,UPPER(C140&amp;""))))*ROW(Mapping!$A$5:$A$200)))-4)&amp;" → "&amp;INDEX(Mapping!$B$5:$B$200,SUMPRODUCT(MAX((ISNUMBER(SEARCH(Mapping!$A$5:$A$200,UPPER(C140&amp;""))))*ROW(Mapping!$A$5:$A$200)))-4),"❓ no rule (add to Mapping)"))</f>
        <v/>
      </c>
      <c r="I140" s="79" t="str">
        <f aca="false">IF(B140="","",TEXT(B140,"mmm"))</f>
        <v/>
      </c>
      <c r="J140" s="80" t="str">
        <f aca="false">IF(B140="","",YEAR(B140))</f>
        <v/>
      </c>
    </row>
    <row r="141" customFormat="false" ht="18" hidden="false" customHeight="true" outlineLevel="0" collapsed="false">
      <c r="A141" s="81" t="n">
        <v>136</v>
      </c>
      <c r="B141" s="95"/>
      <c r="C141" s="96"/>
      <c r="D141" s="96" t="str">
        <f aca="false">IF(C141="","",IF(OR(ISNUMBER(SEARCH("PAYROLL",UPPER(C141))),ISNUMBER(SEARCH("PAYCHECK",UPPER(C141))),ISNUMBER(SEARCH("DEPOSIT",UPPER(C141)))),"Income",IF(ISNUMBER(SEARCH("TRANSFER",UPPER(C141))),"Transfer","Expense")))</f>
        <v/>
      </c>
      <c r="E141" s="97" t="str">
        <f aca="false">IF(C141="","",IFERROR(INDEX(Mapping!$B$5:$B$200,SUMPRODUCT(MAX((ISNUMBER(SEARCH(Mapping!$A$5:$A$200,UPPER(C141&amp;""))))*ROW(Mapping!$A$5:$A$200)))-4),""))</f>
        <v/>
      </c>
      <c r="F141" s="98"/>
      <c r="G141" s="99" t="n">
        <f aca="false">IF(F141="",G140,G140+IF(D141="Income",F141,IF(D141="Expense",-F141,F141)))</f>
        <v>3408.09</v>
      </c>
      <c r="H141" s="100" t="str">
        <f aca="false">IF(C141="","",IFERROR(INDEX(Mapping!$A$5:$A$200,SUMPRODUCT(MAX((ISNUMBER(SEARCH(Mapping!$A$5:$A$200,UPPER(C141&amp;""))))*ROW(Mapping!$A$5:$A$200)))-4)&amp;" → "&amp;INDEX(Mapping!$B$5:$B$200,SUMPRODUCT(MAX((ISNUMBER(SEARCH(Mapping!$A$5:$A$200,UPPER(C141&amp;""))))*ROW(Mapping!$A$5:$A$200)))-4),"❓ no rule (add to Mapping)"))</f>
        <v/>
      </c>
      <c r="I141" s="79" t="str">
        <f aca="false">IF(B141="","",TEXT(B141,"mmm"))</f>
        <v/>
      </c>
      <c r="J141" s="80" t="str">
        <f aca="false">IF(B141="","",YEAR(B141))</f>
        <v/>
      </c>
    </row>
    <row r="142" customFormat="false" ht="18" hidden="false" customHeight="true" outlineLevel="0" collapsed="false">
      <c r="A142" s="81" t="n">
        <v>137</v>
      </c>
      <c r="B142" s="95"/>
      <c r="C142" s="96"/>
      <c r="D142" s="96" t="str">
        <f aca="false">IF(C142="","",IF(OR(ISNUMBER(SEARCH("PAYROLL",UPPER(C142))),ISNUMBER(SEARCH("PAYCHECK",UPPER(C142))),ISNUMBER(SEARCH("DEPOSIT",UPPER(C142)))),"Income",IF(ISNUMBER(SEARCH("TRANSFER",UPPER(C142))),"Transfer","Expense")))</f>
        <v/>
      </c>
      <c r="E142" s="97" t="str">
        <f aca="false">IF(C142="","",IFERROR(INDEX(Mapping!$B$5:$B$200,SUMPRODUCT(MAX((ISNUMBER(SEARCH(Mapping!$A$5:$A$200,UPPER(C142&amp;""))))*ROW(Mapping!$A$5:$A$200)))-4),""))</f>
        <v/>
      </c>
      <c r="F142" s="98"/>
      <c r="G142" s="99" t="n">
        <f aca="false">IF(F142="",G141,G141+IF(D142="Income",F142,IF(D142="Expense",-F142,F142)))</f>
        <v>3408.09</v>
      </c>
      <c r="H142" s="100" t="str">
        <f aca="false">IF(C142="","",IFERROR(INDEX(Mapping!$A$5:$A$200,SUMPRODUCT(MAX((ISNUMBER(SEARCH(Mapping!$A$5:$A$200,UPPER(C142&amp;""))))*ROW(Mapping!$A$5:$A$200)))-4)&amp;" → "&amp;INDEX(Mapping!$B$5:$B$200,SUMPRODUCT(MAX((ISNUMBER(SEARCH(Mapping!$A$5:$A$200,UPPER(C142&amp;""))))*ROW(Mapping!$A$5:$A$200)))-4),"❓ no rule (add to Mapping)"))</f>
        <v/>
      </c>
      <c r="I142" s="79" t="str">
        <f aca="false">IF(B142="","",TEXT(B142,"mmm"))</f>
        <v/>
      </c>
      <c r="J142" s="80" t="str">
        <f aca="false">IF(B142="","",YEAR(B142))</f>
        <v/>
      </c>
    </row>
    <row r="143" customFormat="false" ht="18" hidden="false" customHeight="true" outlineLevel="0" collapsed="false">
      <c r="A143" s="81" t="n">
        <v>138</v>
      </c>
      <c r="B143" s="95"/>
      <c r="C143" s="96"/>
      <c r="D143" s="96" t="str">
        <f aca="false">IF(C143="","",IF(OR(ISNUMBER(SEARCH("PAYROLL",UPPER(C143))),ISNUMBER(SEARCH("PAYCHECK",UPPER(C143))),ISNUMBER(SEARCH("DEPOSIT",UPPER(C143)))),"Income",IF(ISNUMBER(SEARCH("TRANSFER",UPPER(C143))),"Transfer","Expense")))</f>
        <v/>
      </c>
      <c r="E143" s="97" t="str">
        <f aca="false">IF(C143="","",IFERROR(INDEX(Mapping!$B$5:$B$200,SUMPRODUCT(MAX((ISNUMBER(SEARCH(Mapping!$A$5:$A$200,UPPER(C143&amp;""))))*ROW(Mapping!$A$5:$A$200)))-4),""))</f>
        <v/>
      </c>
      <c r="F143" s="98"/>
      <c r="G143" s="99" t="n">
        <f aca="false">IF(F143="",G142,G142+IF(D143="Income",F143,IF(D143="Expense",-F143,F143)))</f>
        <v>3408.09</v>
      </c>
      <c r="H143" s="100" t="str">
        <f aca="false">IF(C143="","",IFERROR(INDEX(Mapping!$A$5:$A$200,SUMPRODUCT(MAX((ISNUMBER(SEARCH(Mapping!$A$5:$A$200,UPPER(C143&amp;""))))*ROW(Mapping!$A$5:$A$200)))-4)&amp;" → "&amp;INDEX(Mapping!$B$5:$B$200,SUMPRODUCT(MAX((ISNUMBER(SEARCH(Mapping!$A$5:$A$200,UPPER(C143&amp;""))))*ROW(Mapping!$A$5:$A$200)))-4),"❓ no rule (add to Mapping)"))</f>
        <v/>
      </c>
      <c r="I143" s="79" t="str">
        <f aca="false">IF(B143="","",TEXT(B143,"mmm"))</f>
        <v/>
      </c>
      <c r="J143" s="80" t="str">
        <f aca="false">IF(B143="","",YEAR(B143))</f>
        <v/>
      </c>
    </row>
    <row r="144" customFormat="false" ht="18" hidden="false" customHeight="true" outlineLevel="0" collapsed="false">
      <c r="A144" s="81" t="n">
        <v>139</v>
      </c>
      <c r="B144" s="95"/>
      <c r="C144" s="96"/>
      <c r="D144" s="96" t="str">
        <f aca="false">IF(C144="","",IF(OR(ISNUMBER(SEARCH("PAYROLL",UPPER(C144))),ISNUMBER(SEARCH("PAYCHECK",UPPER(C144))),ISNUMBER(SEARCH("DEPOSIT",UPPER(C144)))),"Income",IF(ISNUMBER(SEARCH("TRANSFER",UPPER(C144))),"Transfer","Expense")))</f>
        <v/>
      </c>
      <c r="E144" s="97" t="str">
        <f aca="false">IF(C144="","",IFERROR(INDEX(Mapping!$B$5:$B$200,SUMPRODUCT(MAX((ISNUMBER(SEARCH(Mapping!$A$5:$A$200,UPPER(C144&amp;""))))*ROW(Mapping!$A$5:$A$200)))-4),""))</f>
        <v/>
      </c>
      <c r="F144" s="98"/>
      <c r="G144" s="99" t="n">
        <f aca="false">IF(F144="",G143,G143+IF(D144="Income",F144,IF(D144="Expense",-F144,F144)))</f>
        <v>3408.09</v>
      </c>
      <c r="H144" s="100" t="str">
        <f aca="false">IF(C144="","",IFERROR(INDEX(Mapping!$A$5:$A$200,SUMPRODUCT(MAX((ISNUMBER(SEARCH(Mapping!$A$5:$A$200,UPPER(C144&amp;""))))*ROW(Mapping!$A$5:$A$200)))-4)&amp;" → "&amp;INDEX(Mapping!$B$5:$B$200,SUMPRODUCT(MAX((ISNUMBER(SEARCH(Mapping!$A$5:$A$200,UPPER(C144&amp;""))))*ROW(Mapping!$A$5:$A$200)))-4),"❓ no rule (add to Mapping)"))</f>
        <v/>
      </c>
      <c r="I144" s="79" t="str">
        <f aca="false">IF(B144="","",TEXT(B144,"mmm"))</f>
        <v/>
      </c>
      <c r="J144" s="80" t="str">
        <f aca="false">IF(B144="","",YEAR(B144))</f>
        <v/>
      </c>
    </row>
    <row r="145" customFormat="false" ht="18" hidden="false" customHeight="true" outlineLevel="0" collapsed="false">
      <c r="A145" s="81" t="n">
        <v>140</v>
      </c>
      <c r="B145" s="95"/>
      <c r="C145" s="96"/>
      <c r="D145" s="96" t="str">
        <f aca="false">IF(C145="","",IF(OR(ISNUMBER(SEARCH("PAYROLL",UPPER(C145))),ISNUMBER(SEARCH("PAYCHECK",UPPER(C145))),ISNUMBER(SEARCH("DEPOSIT",UPPER(C145)))),"Income",IF(ISNUMBER(SEARCH("TRANSFER",UPPER(C145))),"Transfer","Expense")))</f>
        <v/>
      </c>
      <c r="E145" s="97" t="str">
        <f aca="false">IF(C145="","",IFERROR(INDEX(Mapping!$B$5:$B$200,SUMPRODUCT(MAX((ISNUMBER(SEARCH(Mapping!$A$5:$A$200,UPPER(C145&amp;""))))*ROW(Mapping!$A$5:$A$200)))-4),""))</f>
        <v/>
      </c>
      <c r="F145" s="98"/>
      <c r="G145" s="99" t="n">
        <f aca="false">IF(F145="",G144,G144+IF(D145="Income",F145,IF(D145="Expense",-F145,F145)))</f>
        <v>3408.09</v>
      </c>
      <c r="H145" s="100" t="str">
        <f aca="false">IF(C145="","",IFERROR(INDEX(Mapping!$A$5:$A$200,SUMPRODUCT(MAX((ISNUMBER(SEARCH(Mapping!$A$5:$A$200,UPPER(C145&amp;""))))*ROW(Mapping!$A$5:$A$200)))-4)&amp;" → "&amp;INDEX(Mapping!$B$5:$B$200,SUMPRODUCT(MAX((ISNUMBER(SEARCH(Mapping!$A$5:$A$200,UPPER(C145&amp;""))))*ROW(Mapping!$A$5:$A$200)))-4),"❓ no rule (add to Mapping)"))</f>
        <v/>
      </c>
      <c r="I145" s="79" t="str">
        <f aca="false">IF(B145="","",TEXT(B145,"mmm"))</f>
        <v/>
      </c>
      <c r="J145" s="80" t="str">
        <f aca="false">IF(B145="","",YEAR(B145))</f>
        <v/>
      </c>
    </row>
    <row r="146" customFormat="false" ht="18" hidden="false" customHeight="true" outlineLevel="0" collapsed="false">
      <c r="A146" s="81" t="n">
        <v>141</v>
      </c>
      <c r="B146" s="95"/>
      <c r="C146" s="96"/>
      <c r="D146" s="96" t="str">
        <f aca="false">IF(C146="","",IF(OR(ISNUMBER(SEARCH("PAYROLL",UPPER(C146))),ISNUMBER(SEARCH("PAYCHECK",UPPER(C146))),ISNUMBER(SEARCH("DEPOSIT",UPPER(C146)))),"Income",IF(ISNUMBER(SEARCH("TRANSFER",UPPER(C146))),"Transfer","Expense")))</f>
        <v/>
      </c>
      <c r="E146" s="97" t="str">
        <f aca="false">IF(C146="","",IFERROR(INDEX(Mapping!$B$5:$B$200,SUMPRODUCT(MAX((ISNUMBER(SEARCH(Mapping!$A$5:$A$200,UPPER(C146&amp;""))))*ROW(Mapping!$A$5:$A$200)))-4),""))</f>
        <v/>
      </c>
      <c r="F146" s="98"/>
      <c r="G146" s="99" t="n">
        <f aca="false">IF(F146="",G145,G145+IF(D146="Income",F146,IF(D146="Expense",-F146,F146)))</f>
        <v>3408.09</v>
      </c>
      <c r="H146" s="100" t="str">
        <f aca="false">IF(C146="","",IFERROR(INDEX(Mapping!$A$5:$A$200,SUMPRODUCT(MAX((ISNUMBER(SEARCH(Mapping!$A$5:$A$200,UPPER(C146&amp;""))))*ROW(Mapping!$A$5:$A$200)))-4)&amp;" → "&amp;INDEX(Mapping!$B$5:$B$200,SUMPRODUCT(MAX((ISNUMBER(SEARCH(Mapping!$A$5:$A$200,UPPER(C146&amp;""))))*ROW(Mapping!$A$5:$A$200)))-4),"❓ no rule (add to Mapping)"))</f>
        <v/>
      </c>
      <c r="I146" s="79" t="str">
        <f aca="false">IF(B146="","",TEXT(B146,"mmm"))</f>
        <v/>
      </c>
      <c r="J146" s="80" t="str">
        <f aca="false">IF(B146="","",YEAR(B146))</f>
        <v/>
      </c>
    </row>
    <row r="147" customFormat="false" ht="18" hidden="false" customHeight="true" outlineLevel="0" collapsed="false">
      <c r="A147" s="81" t="n">
        <v>142</v>
      </c>
      <c r="B147" s="95"/>
      <c r="C147" s="96"/>
      <c r="D147" s="96" t="str">
        <f aca="false">IF(C147="","",IF(OR(ISNUMBER(SEARCH("PAYROLL",UPPER(C147))),ISNUMBER(SEARCH("PAYCHECK",UPPER(C147))),ISNUMBER(SEARCH("DEPOSIT",UPPER(C147)))),"Income",IF(ISNUMBER(SEARCH("TRANSFER",UPPER(C147))),"Transfer","Expense")))</f>
        <v/>
      </c>
      <c r="E147" s="97" t="str">
        <f aca="false">IF(C147="","",IFERROR(INDEX(Mapping!$B$5:$B$200,SUMPRODUCT(MAX((ISNUMBER(SEARCH(Mapping!$A$5:$A$200,UPPER(C147&amp;""))))*ROW(Mapping!$A$5:$A$200)))-4),""))</f>
        <v/>
      </c>
      <c r="F147" s="98"/>
      <c r="G147" s="99" t="n">
        <f aca="false">IF(F147="",G146,G146+IF(D147="Income",F147,IF(D147="Expense",-F147,F147)))</f>
        <v>3408.09</v>
      </c>
      <c r="H147" s="100" t="str">
        <f aca="false">IF(C147="","",IFERROR(INDEX(Mapping!$A$5:$A$200,SUMPRODUCT(MAX((ISNUMBER(SEARCH(Mapping!$A$5:$A$200,UPPER(C147&amp;""))))*ROW(Mapping!$A$5:$A$200)))-4)&amp;" → "&amp;INDEX(Mapping!$B$5:$B$200,SUMPRODUCT(MAX((ISNUMBER(SEARCH(Mapping!$A$5:$A$200,UPPER(C147&amp;""))))*ROW(Mapping!$A$5:$A$200)))-4),"❓ no rule (add to Mapping)"))</f>
        <v/>
      </c>
      <c r="I147" s="79" t="str">
        <f aca="false">IF(B147="","",TEXT(B147,"mmm"))</f>
        <v/>
      </c>
      <c r="J147" s="80" t="str">
        <f aca="false">IF(B147="","",YEAR(B147))</f>
        <v/>
      </c>
    </row>
    <row r="148" customFormat="false" ht="18" hidden="false" customHeight="true" outlineLevel="0" collapsed="false">
      <c r="A148" s="81" t="n">
        <v>143</v>
      </c>
      <c r="B148" s="95"/>
      <c r="C148" s="96"/>
      <c r="D148" s="96" t="str">
        <f aca="false">IF(C148="","",IF(OR(ISNUMBER(SEARCH("PAYROLL",UPPER(C148))),ISNUMBER(SEARCH("PAYCHECK",UPPER(C148))),ISNUMBER(SEARCH("DEPOSIT",UPPER(C148)))),"Income",IF(ISNUMBER(SEARCH("TRANSFER",UPPER(C148))),"Transfer","Expense")))</f>
        <v/>
      </c>
      <c r="E148" s="97" t="str">
        <f aca="false">IF(C148="","",IFERROR(INDEX(Mapping!$B$5:$B$200,SUMPRODUCT(MAX((ISNUMBER(SEARCH(Mapping!$A$5:$A$200,UPPER(C148&amp;""))))*ROW(Mapping!$A$5:$A$200)))-4),""))</f>
        <v/>
      </c>
      <c r="F148" s="98"/>
      <c r="G148" s="99" t="n">
        <f aca="false">IF(F148="",G147,G147+IF(D148="Income",F148,IF(D148="Expense",-F148,F148)))</f>
        <v>3408.09</v>
      </c>
      <c r="H148" s="100" t="str">
        <f aca="false">IF(C148="","",IFERROR(INDEX(Mapping!$A$5:$A$200,SUMPRODUCT(MAX((ISNUMBER(SEARCH(Mapping!$A$5:$A$200,UPPER(C148&amp;""))))*ROW(Mapping!$A$5:$A$200)))-4)&amp;" → "&amp;INDEX(Mapping!$B$5:$B$200,SUMPRODUCT(MAX((ISNUMBER(SEARCH(Mapping!$A$5:$A$200,UPPER(C148&amp;""))))*ROW(Mapping!$A$5:$A$200)))-4),"❓ no rule (add to Mapping)"))</f>
        <v/>
      </c>
      <c r="I148" s="79" t="str">
        <f aca="false">IF(B148="","",TEXT(B148,"mmm"))</f>
        <v/>
      </c>
      <c r="J148" s="80" t="str">
        <f aca="false">IF(B148="","",YEAR(B148))</f>
        <v/>
      </c>
    </row>
    <row r="149" customFormat="false" ht="18" hidden="false" customHeight="true" outlineLevel="0" collapsed="false">
      <c r="A149" s="81" t="n">
        <v>144</v>
      </c>
      <c r="B149" s="95"/>
      <c r="C149" s="96"/>
      <c r="D149" s="96" t="str">
        <f aca="false">IF(C149="","",IF(OR(ISNUMBER(SEARCH("PAYROLL",UPPER(C149))),ISNUMBER(SEARCH("PAYCHECK",UPPER(C149))),ISNUMBER(SEARCH("DEPOSIT",UPPER(C149)))),"Income",IF(ISNUMBER(SEARCH("TRANSFER",UPPER(C149))),"Transfer","Expense")))</f>
        <v/>
      </c>
      <c r="E149" s="97" t="str">
        <f aca="false">IF(C149="","",IFERROR(INDEX(Mapping!$B$5:$B$200,SUMPRODUCT(MAX((ISNUMBER(SEARCH(Mapping!$A$5:$A$200,UPPER(C149&amp;""))))*ROW(Mapping!$A$5:$A$200)))-4),""))</f>
        <v/>
      </c>
      <c r="F149" s="98"/>
      <c r="G149" s="99" t="n">
        <f aca="false">IF(F149="",G148,G148+IF(D149="Income",F149,IF(D149="Expense",-F149,F149)))</f>
        <v>3408.09</v>
      </c>
      <c r="H149" s="100" t="str">
        <f aca="false">IF(C149="","",IFERROR(INDEX(Mapping!$A$5:$A$200,SUMPRODUCT(MAX((ISNUMBER(SEARCH(Mapping!$A$5:$A$200,UPPER(C149&amp;""))))*ROW(Mapping!$A$5:$A$200)))-4)&amp;" → "&amp;INDEX(Mapping!$B$5:$B$200,SUMPRODUCT(MAX((ISNUMBER(SEARCH(Mapping!$A$5:$A$200,UPPER(C149&amp;""))))*ROW(Mapping!$A$5:$A$200)))-4),"❓ no rule (add to Mapping)"))</f>
        <v/>
      </c>
      <c r="I149" s="79" t="str">
        <f aca="false">IF(B149="","",TEXT(B149,"mmm"))</f>
        <v/>
      </c>
      <c r="J149" s="80" t="str">
        <f aca="false">IF(B149="","",YEAR(B149))</f>
        <v/>
      </c>
    </row>
    <row r="150" customFormat="false" ht="18" hidden="false" customHeight="true" outlineLevel="0" collapsed="false">
      <c r="A150" s="81" t="n">
        <v>145</v>
      </c>
      <c r="B150" s="95"/>
      <c r="C150" s="96"/>
      <c r="D150" s="96" t="str">
        <f aca="false">IF(C150="","",IF(OR(ISNUMBER(SEARCH("PAYROLL",UPPER(C150))),ISNUMBER(SEARCH("PAYCHECK",UPPER(C150))),ISNUMBER(SEARCH("DEPOSIT",UPPER(C150)))),"Income",IF(ISNUMBER(SEARCH("TRANSFER",UPPER(C150))),"Transfer","Expense")))</f>
        <v/>
      </c>
      <c r="E150" s="97" t="str">
        <f aca="false">IF(C150="","",IFERROR(INDEX(Mapping!$B$5:$B$200,SUMPRODUCT(MAX((ISNUMBER(SEARCH(Mapping!$A$5:$A$200,UPPER(C150&amp;""))))*ROW(Mapping!$A$5:$A$200)))-4),""))</f>
        <v/>
      </c>
      <c r="F150" s="98"/>
      <c r="G150" s="99" t="n">
        <f aca="false">IF(F150="",G149,G149+IF(D150="Income",F150,IF(D150="Expense",-F150,F150)))</f>
        <v>3408.09</v>
      </c>
      <c r="H150" s="100" t="str">
        <f aca="false">IF(C150="","",IFERROR(INDEX(Mapping!$A$5:$A$200,SUMPRODUCT(MAX((ISNUMBER(SEARCH(Mapping!$A$5:$A$200,UPPER(C150&amp;""))))*ROW(Mapping!$A$5:$A$200)))-4)&amp;" → "&amp;INDEX(Mapping!$B$5:$B$200,SUMPRODUCT(MAX((ISNUMBER(SEARCH(Mapping!$A$5:$A$200,UPPER(C150&amp;""))))*ROW(Mapping!$A$5:$A$200)))-4),"❓ no rule (add to Mapping)"))</f>
        <v/>
      </c>
      <c r="I150" s="79" t="str">
        <f aca="false">IF(B150="","",TEXT(B150,"mmm"))</f>
        <v/>
      </c>
      <c r="J150" s="80" t="str">
        <f aca="false">IF(B150="","",YEAR(B150))</f>
        <v/>
      </c>
    </row>
    <row r="151" customFormat="false" ht="18" hidden="false" customHeight="true" outlineLevel="0" collapsed="false">
      <c r="A151" s="81" t="n">
        <v>146</v>
      </c>
      <c r="B151" s="95"/>
      <c r="C151" s="96"/>
      <c r="D151" s="96" t="str">
        <f aca="false">IF(C151="","",IF(OR(ISNUMBER(SEARCH("PAYROLL",UPPER(C151))),ISNUMBER(SEARCH("PAYCHECK",UPPER(C151))),ISNUMBER(SEARCH("DEPOSIT",UPPER(C151)))),"Income",IF(ISNUMBER(SEARCH("TRANSFER",UPPER(C151))),"Transfer","Expense")))</f>
        <v/>
      </c>
      <c r="E151" s="97" t="str">
        <f aca="false">IF(C151="","",IFERROR(INDEX(Mapping!$B$5:$B$200,SUMPRODUCT(MAX((ISNUMBER(SEARCH(Mapping!$A$5:$A$200,UPPER(C151&amp;""))))*ROW(Mapping!$A$5:$A$200)))-4),""))</f>
        <v/>
      </c>
      <c r="F151" s="98"/>
      <c r="G151" s="99" t="n">
        <f aca="false">IF(F151="",G150,G150+IF(D151="Income",F151,IF(D151="Expense",-F151,F151)))</f>
        <v>3408.09</v>
      </c>
      <c r="H151" s="100" t="str">
        <f aca="false">IF(C151="","",IFERROR(INDEX(Mapping!$A$5:$A$200,SUMPRODUCT(MAX((ISNUMBER(SEARCH(Mapping!$A$5:$A$200,UPPER(C151&amp;""))))*ROW(Mapping!$A$5:$A$200)))-4)&amp;" → "&amp;INDEX(Mapping!$B$5:$B$200,SUMPRODUCT(MAX((ISNUMBER(SEARCH(Mapping!$A$5:$A$200,UPPER(C151&amp;""))))*ROW(Mapping!$A$5:$A$200)))-4),"❓ no rule (add to Mapping)"))</f>
        <v/>
      </c>
      <c r="I151" s="79" t="str">
        <f aca="false">IF(B151="","",TEXT(B151,"mmm"))</f>
        <v/>
      </c>
      <c r="J151" s="80" t="str">
        <f aca="false">IF(B151="","",YEAR(B151))</f>
        <v/>
      </c>
    </row>
    <row r="152" customFormat="false" ht="18" hidden="false" customHeight="true" outlineLevel="0" collapsed="false">
      <c r="A152" s="81" t="n">
        <v>147</v>
      </c>
      <c r="B152" s="95"/>
      <c r="C152" s="96"/>
      <c r="D152" s="96" t="str">
        <f aca="false">IF(C152="","",IF(OR(ISNUMBER(SEARCH("PAYROLL",UPPER(C152))),ISNUMBER(SEARCH("PAYCHECK",UPPER(C152))),ISNUMBER(SEARCH("DEPOSIT",UPPER(C152)))),"Income",IF(ISNUMBER(SEARCH("TRANSFER",UPPER(C152))),"Transfer","Expense")))</f>
        <v/>
      </c>
      <c r="E152" s="97" t="str">
        <f aca="false">IF(C152="","",IFERROR(INDEX(Mapping!$B$5:$B$200,SUMPRODUCT(MAX((ISNUMBER(SEARCH(Mapping!$A$5:$A$200,UPPER(C152&amp;""))))*ROW(Mapping!$A$5:$A$200)))-4),""))</f>
        <v/>
      </c>
      <c r="F152" s="98"/>
      <c r="G152" s="99" t="n">
        <f aca="false">IF(F152="",G151,G151+IF(D152="Income",F152,IF(D152="Expense",-F152,F152)))</f>
        <v>3408.09</v>
      </c>
      <c r="H152" s="100" t="str">
        <f aca="false">IF(C152="","",IFERROR(INDEX(Mapping!$A$5:$A$200,SUMPRODUCT(MAX((ISNUMBER(SEARCH(Mapping!$A$5:$A$200,UPPER(C152&amp;""))))*ROW(Mapping!$A$5:$A$200)))-4)&amp;" → "&amp;INDEX(Mapping!$B$5:$B$200,SUMPRODUCT(MAX((ISNUMBER(SEARCH(Mapping!$A$5:$A$200,UPPER(C152&amp;""))))*ROW(Mapping!$A$5:$A$200)))-4),"❓ no rule (add to Mapping)"))</f>
        <v/>
      </c>
      <c r="I152" s="79" t="str">
        <f aca="false">IF(B152="","",TEXT(B152,"mmm"))</f>
        <v/>
      </c>
      <c r="J152" s="80" t="str">
        <f aca="false">IF(B152="","",YEAR(B152))</f>
        <v/>
      </c>
    </row>
    <row r="153" customFormat="false" ht="18" hidden="false" customHeight="true" outlineLevel="0" collapsed="false">
      <c r="A153" s="81" t="n">
        <v>148</v>
      </c>
      <c r="B153" s="95"/>
      <c r="C153" s="96"/>
      <c r="D153" s="96" t="str">
        <f aca="false">IF(C153="","",IF(OR(ISNUMBER(SEARCH("PAYROLL",UPPER(C153))),ISNUMBER(SEARCH("PAYCHECK",UPPER(C153))),ISNUMBER(SEARCH("DEPOSIT",UPPER(C153)))),"Income",IF(ISNUMBER(SEARCH("TRANSFER",UPPER(C153))),"Transfer","Expense")))</f>
        <v/>
      </c>
      <c r="E153" s="97" t="str">
        <f aca="false">IF(C153="","",IFERROR(INDEX(Mapping!$B$5:$B$200,SUMPRODUCT(MAX((ISNUMBER(SEARCH(Mapping!$A$5:$A$200,UPPER(C153&amp;""))))*ROW(Mapping!$A$5:$A$200)))-4),""))</f>
        <v/>
      </c>
      <c r="F153" s="98"/>
      <c r="G153" s="99" t="n">
        <f aca="false">IF(F153="",G152,G152+IF(D153="Income",F153,IF(D153="Expense",-F153,F153)))</f>
        <v>3408.09</v>
      </c>
      <c r="H153" s="100" t="str">
        <f aca="false">IF(C153="","",IFERROR(INDEX(Mapping!$A$5:$A$200,SUMPRODUCT(MAX((ISNUMBER(SEARCH(Mapping!$A$5:$A$200,UPPER(C153&amp;""))))*ROW(Mapping!$A$5:$A$200)))-4)&amp;" → "&amp;INDEX(Mapping!$B$5:$B$200,SUMPRODUCT(MAX((ISNUMBER(SEARCH(Mapping!$A$5:$A$200,UPPER(C153&amp;""))))*ROW(Mapping!$A$5:$A$200)))-4),"❓ no rule (add to Mapping)"))</f>
        <v/>
      </c>
      <c r="I153" s="79" t="str">
        <f aca="false">IF(B153="","",TEXT(B153,"mmm"))</f>
        <v/>
      </c>
      <c r="J153" s="80" t="str">
        <f aca="false">IF(B153="","",YEAR(B153))</f>
        <v/>
      </c>
    </row>
    <row r="154" customFormat="false" ht="18" hidden="false" customHeight="true" outlineLevel="0" collapsed="false">
      <c r="A154" s="81" t="n">
        <v>149</v>
      </c>
      <c r="B154" s="95"/>
      <c r="C154" s="96"/>
      <c r="D154" s="96" t="str">
        <f aca="false">IF(C154="","",IF(OR(ISNUMBER(SEARCH("PAYROLL",UPPER(C154))),ISNUMBER(SEARCH("PAYCHECK",UPPER(C154))),ISNUMBER(SEARCH("DEPOSIT",UPPER(C154)))),"Income",IF(ISNUMBER(SEARCH("TRANSFER",UPPER(C154))),"Transfer","Expense")))</f>
        <v/>
      </c>
      <c r="E154" s="97" t="str">
        <f aca="false">IF(C154="","",IFERROR(INDEX(Mapping!$B$5:$B$200,SUMPRODUCT(MAX((ISNUMBER(SEARCH(Mapping!$A$5:$A$200,UPPER(C154&amp;""))))*ROW(Mapping!$A$5:$A$200)))-4),""))</f>
        <v/>
      </c>
      <c r="F154" s="98"/>
      <c r="G154" s="99" t="n">
        <f aca="false">IF(F154="",G153,G153+IF(D154="Income",F154,IF(D154="Expense",-F154,F154)))</f>
        <v>3408.09</v>
      </c>
      <c r="H154" s="100" t="str">
        <f aca="false">IF(C154="","",IFERROR(INDEX(Mapping!$A$5:$A$200,SUMPRODUCT(MAX((ISNUMBER(SEARCH(Mapping!$A$5:$A$200,UPPER(C154&amp;""))))*ROW(Mapping!$A$5:$A$200)))-4)&amp;" → "&amp;INDEX(Mapping!$B$5:$B$200,SUMPRODUCT(MAX((ISNUMBER(SEARCH(Mapping!$A$5:$A$200,UPPER(C154&amp;""))))*ROW(Mapping!$A$5:$A$200)))-4),"❓ no rule (add to Mapping)"))</f>
        <v/>
      </c>
      <c r="I154" s="79" t="str">
        <f aca="false">IF(B154="","",TEXT(B154,"mmm"))</f>
        <v/>
      </c>
      <c r="J154" s="80" t="str">
        <f aca="false">IF(B154="","",YEAR(B154))</f>
        <v/>
      </c>
    </row>
    <row r="155" customFormat="false" ht="18" hidden="false" customHeight="true" outlineLevel="0" collapsed="false">
      <c r="A155" s="81" t="n">
        <v>150</v>
      </c>
      <c r="B155" s="95"/>
      <c r="C155" s="96"/>
      <c r="D155" s="96" t="str">
        <f aca="false">IF(C155="","",IF(OR(ISNUMBER(SEARCH("PAYROLL",UPPER(C155))),ISNUMBER(SEARCH("PAYCHECK",UPPER(C155))),ISNUMBER(SEARCH("DEPOSIT",UPPER(C155)))),"Income",IF(ISNUMBER(SEARCH("TRANSFER",UPPER(C155))),"Transfer","Expense")))</f>
        <v/>
      </c>
      <c r="E155" s="97" t="str">
        <f aca="false">IF(C155="","",IFERROR(INDEX(Mapping!$B$5:$B$200,SUMPRODUCT(MAX((ISNUMBER(SEARCH(Mapping!$A$5:$A$200,UPPER(C155&amp;""))))*ROW(Mapping!$A$5:$A$200)))-4),""))</f>
        <v/>
      </c>
      <c r="F155" s="98"/>
      <c r="G155" s="99" t="n">
        <f aca="false">IF(F155="",G154,G154+IF(D155="Income",F155,IF(D155="Expense",-F155,F155)))</f>
        <v>3408.09</v>
      </c>
      <c r="H155" s="100" t="str">
        <f aca="false">IF(C155="","",IFERROR(INDEX(Mapping!$A$5:$A$200,SUMPRODUCT(MAX((ISNUMBER(SEARCH(Mapping!$A$5:$A$200,UPPER(C155&amp;""))))*ROW(Mapping!$A$5:$A$200)))-4)&amp;" → "&amp;INDEX(Mapping!$B$5:$B$200,SUMPRODUCT(MAX((ISNUMBER(SEARCH(Mapping!$A$5:$A$200,UPPER(C155&amp;""))))*ROW(Mapping!$A$5:$A$200)))-4),"❓ no rule (add to Mapping)"))</f>
        <v/>
      </c>
      <c r="I155" s="79" t="str">
        <f aca="false">IF(B155="","",TEXT(B155,"mmm"))</f>
        <v/>
      </c>
      <c r="J155" s="80" t="str">
        <f aca="false">IF(B155="","",YEAR(B155))</f>
        <v/>
      </c>
    </row>
    <row r="156" customFormat="false" ht="18" hidden="false" customHeight="true" outlineLevel="0" collapsed="false">
      <c r="A156" s="81" t="n">
        <v>151</v>
      </c>
      <c r="B156" s="95"/>
      <c r="C156" s="96"/>
      <c r="D156" s="96" t="str">
        <f aca="false">IF(C156="","",IF(OR(ISNUMBER(SEARCH("PAYROLL",UPPER(C156))),ISNUMBER(SEARCH("PAYCHECK",UPPER(C156))),ISNUMBER(SEARCH("DEPOSIT",UPPER(C156)))),"Income",IF(ISNUMBER(SEARCH("TRANSFER",UPPER(C156))),"Transfer","Expense")))</f>
        <v/>
      </c>
      <c r="E156" s="97" t="str">
        <f aca="false">IF(C156="","",IFERROR(INDEX(Mapping!$B$5:$B$200,SUMPRODUCT(MAX((ISNUMBER(SEARCH(Mapping!$A$5:$A$200,UPPER(C156&amp;""))))*ROW(Mapping!$A$5:$A$200)))-4),""))</f>
        <v/>
      </c>
      <c r="F156" s="98"/>
      <c r="G156" s="99" t="n">
        <f aca="false">IF(F156="",G155,G155+IF(D156="Income",F156,IF(D156="Expense",-F156,F156)))</f>
        <v>3408.09</v>
      </c>
      <c r="H156" s="100" t="str">
        <f aca="false">IF(C156="","",IFERROR(INDEX(Mapping!$A$5:$A$200,SUMPRODUCT(MAX((ISNUMBER(SEARCH(Mapping!$A$5:$A$200,UPPER(C156&amp;""))))*ROW(Mapping!$A$5:$A$200)))-4)&amp;" → "&amp;INDEX(Mapping!$B$5:$B$200,SUMPRODUCT(MAX((ISNUMBER(SEARCH(Mapping!$A$5:$A$200,UPPER(C156&amp;""))))*ROW(Mapping!$A$5:$A$200)))-4),"❓ no rule (add to Mapping)"))</f>
        <v/>
      </c>
      <c r="I156" s="79" t="str">
        <f aca="false">IF(B156="","",TEXT(B156,"mmm"))</f>
        <v/>
      </c>
      <c r="J156" s="80" t="str">
        <f aca="false">IF(B156="","",YEAR(B156))</f>
        <v/>
      </c>
    </row>
    <row r="157" customFormat="false" ht="18" hidden="false" customHeight="true" outlineLevel="0" collapsed="false">
      <c r="A157" s="81" t="n">
        <v>152</v>
      </c>
      <c r="B157" s="95"/>
      <c r="C157" s="96"/>
      <c r="D157" s="96" t="str">
        <f aca="false">IF(C157="","",IF(OR(ISNUMBER(SEARCH("PAYROLL",UPPER(C157))),ISNUMBER(SEARCH("PAYCHECK",UPPER(C157))),ISNUMBER(SEARCH("DEPOSIT",UPPER(C157)))),"Income",IF(ISNUMBER(SEARCH("TRANSFER",UPPER(C157))),"Transfer","Expense")))</f>
        <v/>
      </c>
      <c r="E157" s="97" t="str">
        <f aca="false">IF(C157="","",IFERROR(INDEX(Mapping!$B$5:$B$200,SUMPRODUCT(MAX((ISNUMBER(SEARCH(Mapping!$A$5:$A$200,UPPER(C157&amp;""))))*ROW(Mapping!$A$5:$A$200)))-4),""))</f>
        <v/>
      </c>
      <c r="F157" s="98"/>
      <c r="G157" s="99" t="n">
        <f aca="false">IF(F157="",G156,G156+IF(D157="Income",F157,IF(D157="Expense",-F157,F157)))</f>
        <v>3408.09</v>
      </c>
      <c r="H157" s="100" t="str">
        <f aca="false">IF(C157="","",IFERROR(INDEX(Mapping!$A$5:$A$200,SUMPRODUCT(MAX((ISNUMBER(SEARCH(Mapping!$A$5:$A$200,UPPER(C157&amp;""))))*ROW(Mapping!$A$5:$A$200)))-4)&amp;" → "&amp;INDEX(Mapping!$B$5:$B$200,SUMPRODUCT(MAX((ISNUMBER(SEARCH(Mapping!$A$5:$A$200,UPPER(C157&amp;""))))*ROW(Mapping!$A$5:$A$200)))-4),"❓ no rule (add to Mapping)"))</f>
        <v/>
      </c>
      <c r="I157" s="79" t="str">
        <f aca="false">IF(B157="","",TEXT(B157,"mmm"))</f>
        <v/>
      </c>
      <c r="J157" s="80" t="str">
        <f aca="false">IF(B157="","",YEAR(B157))</f>
        <v/>
      </c>
    </row>
    <row r="158" customFormat="false" ht="18" hidden="false" customHeight="true" outlineLevel="0" collapsed="false">
      <c r="A158" s="81" t="n">
        <v>153</v>
      </c>
      <c r="B158" s="95"/>
      <c r="C158" s="96"/>
      <c r="D158" s="96" t="str">
        <f aca="false">IF(C158="","",IF(OR(ISNUMBER(SEARCH("PAYROLL",UPPER(C158))),ISNUMBER(SEARCH("PAYCHECK",UPPER(C158))),ISNUMBER(SEARCH("DEPOSIT",UPPER(C158)))),"Income",IF(ISNUMBER(SEARCH("TRANSFER",UPPER(C158))),"Transfer","Expense")))</f>
        <v/>
      </c>
      <c r="E158" s="97" t="str">
        <f aca="false">IF(C158="","",IFERROR(INDEX(Mapping!$B$5:$B$200,SUMPRODUCT(MAX((ISNUMBER(SEARCH(Mapping!$A$5:$A$200,UPPER(C158&amp;""))))*ROW(Mapping!$A$5:$A$200)))-4),""))</f>
        <v/>
      </c>
      <c r="F158" s="98"/>
      <c r="G158" s="99" t="n">
        <f aca="false">IF(F158="",G157,G157+IF(D158="Income",F158,IF(D158="Expense",-F158,F158)))</f>
        <v>3408.09</v>
      </c>
      <c r="H158" s="100" t="str">
        <f aca="false">IF(C158="","",IFERROR(INDEX(Mapping!$A$5:$A$200,SUMPRODUCT(MAX((ISNUMBER(SEARCH(Mapping!$A$5:$A$200,UPPER(C158&amp;""))))*ROW(Mapping!$A$5:$A$200)))-4)&amp;" → "&amp;INDEX(Mapping!$B$5:$B$200,SUMPRODUCT(MAX((ISNUMBER(SEARCH(Mapping!$A$5:$A$200,UPPER(C158&amp;""))))*ROW(Mapping!$A$5:$A$200)))-4),"❓ no rule (add to Mapping)"))</f>
        <v/>
      </c>
      <c r="I158" s="79" t="str">
        <f aca="false">IF(B158="","",TEXT(B158,"mmm"))</f>
        <v/>
      </c>
      <c r="J158" s="80" t="str">
        <f aca="false">IF(B158="","",YEAR(B158))</f>
        <v/>
      </c>
    </row>
    <row r="159" customFormat="false" ht="18" hidden="false" customHeight="true" outlineLevel="0" collapsed="false">
      <c r="A159" s="81" t="n">
        <v>154</v>
      </c>
      <c r="B159" s="95"/>
      <c r="C159" s="96"/>
      <c r="D159" s="96" t="str">
        <f aca="false">IF(C159="","",IF(OR(ISNUMBER(SEARCH("PAYROLL",UPPER(C159))),ISNUMBER(SEARCH("PAYCHECK",UPPER(C159))),ISNUMBER(SEARCH("DEPOSIT",UPPER(C159)))),"Income",IF(ISNUMBER(SEARCH("TRANSFER",UPPER(C159))),"Transfer","Expense")))</f>
        <v/>
      </c>
      <c r="E159" s="97" t="str">
        <f aca="false">IF(C159="","",IFERROR(INDEX(Mapping!$B$5:$B$200,SUMPRODUCT(MAX((ISNUMBER(SEARCH(Mapping!$A$5:$A$200,UPPER(C159&amp;""))))*ROW(Mapping!$A$5:$A$200)))-4),""))</f>
        <v/>
      </c>
      <c r="F159" s="98"/>
      <c r="G159" s="99" t="n">
        <f aca="false">IF(F159="",G158,G158+IF(D159="Income",F159,IF(D159="Expense",-F159,F159)))</f>
        <v>3408.09</v>
      </c>
      <c r="H159" s="100" t="str">
        <f aca="false">IF(C159="","",IFERROR(INDEX(Mapping!$A$5:$A$200,SUMPRODUCT(MAX((ISNUMBER(SEARCH(Mapping!$A$5:$A$200,UPPER(C159&amp;""))))*ROW(Mapping!$A$5:$A$200)))-4)&amp;" → "&amp;INDEX(Mapping!$B$5:$B$200,SUMPRODUCT(MAX((ISNUMBER(SEARCH(Mapping!$A$5:$A$200,UPPER(C159&amp;""))))*ROW(Mapping!$A$5:$A$200)))-4),"❓ no rule (add to Mapping)"))</f>
        <v/>
      </c>
      <c r="I159" s="79" t="str">
        <f aca="false">IF(B159="","",TEXT(B159,"mmm"))</f>
        <v/>
      </c>
      <c r="J159" s="80" t="str">
        <f aca="false">IF(B159="","",YEAR(B159))</f>
        <v/>
      </c>
    </row>
    <row r="160" customFormat="false" ht="18" hidden="false" customHeight="true" outlineLevel="0" collapsed="false">
      <c r="A160" s="81" t="n">
        <v>155</v>
      </c>
      <c r="B160" s="95"/>
      <c r="C160" s="96"/>
      <c r="D160" s="96" t="str">
        <f aca="false">IF(C160="","",IF(OR(ISNUMBER(SEARCH("PAYROLL",UPPER(C160))),ISNUMBER(SEARCH("PAYCHECK",UPPER(C160))),ISNUMBER(SEARCH("DEPOSIT",UPPER(C160)))),"Income",IF(ISNUMBER(SEARCH("TRANSFER",UPPER(C160))),"Transfer","Expense")))</f>
        <v/>
      </c>
      <c r="E160" s="97" t="str">
        <f aca="false">IF(C160="","",IFERROR(INDEX(Mapping!$B$5:$B$200,SUMPRODUCT(MAX((ISNUMBER(SEARCH(Mapping!$A$5:$A$200,UPPER(C160&amp;""))))*ROW(Mapping!$A$5:$A$200)))-4),""))</f>
        <v/>
      </c>
      <c r="F160" s="98"/>
      <c r="G160" s="99" t="n">
        <f aca="false">IF(F160="",G159,G159+IF(D160="Income",F160,IF(D160="Expense",-F160,F160)))</f>
        <v>3408.09</v>
      </c>
      <c r="H160" s="100" t="str">
        <f aca="false">IF(C160="","",IFERROR(INDEX(Mapping!$A$5:$A$200,SUMPRODUCT(MAX((ISNUMBER(SEARCH(Mapping!$A$5:$A$200,UPPER(C160&amp;""))))*ROW(Mapping!$A$5:$A$200)))-4)&amp;" → "&amp;INDEX(Mapping!$B$5:$B$200,SUMPRODUCT(MAX((ISNUMBER(SEARCH(Mapping!$A$5:$A$200,UPPER(C160&amp;""))))*ROW(Mapping!$A$5:$A$200)))-4),"❓ no rule (add to Mapping)"))</f>
        <v/>
      </c>
      <c r="I160" s="79" t="str">
        <f aca="false">IF(B160="","",TEXT(B160,"mmm"))</f>
        <v/>
      </c>
      <c r="J160" s="80" t="str">
        <f aca="false">IF(B160="","",YEAR(B160))</f>
        <v/>
      </c>
    </row>
    <row r="161" customFormat="false" ht="18" hidden="false" customHeight="true" outlineLevel="0" collapsed="false">
      <c r="A161" s="81" t="n">
        <v>156</v>
      </c>
      <c r="B161" s="95"/>
      <c r="C161" s="96"/>
      <c r="D161" s="96" t="str">
        <f aca="false">IF(C161="","",IF(OR(ISNUMBER(SEARCH("PAYROLL",UPPER(C161))),ISNUMBER(SEARCH("PAYCHECK",UPPER(C161))),ISNUMBER(SEARCH("DEPOSIT",UPPER(C161)))),"Income",IF(ISNUMBER(SEARCH("TRANSFER",UPPER(C161))),"Transfer","Expense")))</f>
        <v/>
      </c>
      <c r="E161" s="97" t="str">
        <f aca="false">IF(C161="","",IFERROR(INDEX(Mapping!$B$5:$B$200,SUMPRODUCT(MAX((ISNUMBER(SEARCH(Mapping!$A$5:$A$200,UPPER(C161&amp;""))))*ROW(Mapping!$A$5:$A$200)))-4),""))</f>
        <v/>
      </c>
      <c r="F161" s="98"/>
      <c r="G161" s="99" t="n">
        <f aca="false">IF(F161="",G160,G160+IF(D161="Income",F161,IF(D161="Expense",-F161,F161)))</f>
        <v>3408.09</v>
      </c>
      <c r="H161" s="100" t="str">
        <f aca="false">IF(C161="","",IFERROR(INDEX(Mapping!$A$5:$A$200,SUMPRODUCT(MAX((ISNUMBER(SEARCH(Mapping!$A$5:$A$200,UPPER(C161&amp;""))))*ROW(Mapping!$A$5:$A$200)))-4)&amp;" → "&amp;INDEX(Mapping!$B$5:$B$200,SUMPRODUCT(MAX((ISNUMBER(SEARCH(Mapping!$A$5:$A$200,UPPER(C161&amp;""))))*ROW(Mapping!$A$5:$A$200)))-4),"❓ no rule (add to Mapping)"))</f>
        <v/>
      </c>
      <c r="I161" s="79" t="str">
        <f aca="false">IF(B161="","",TEXT(B161,"mmm"))</f>
        <v/>
      </c>
      <c r="J161" s="80" t="str">
        <f aca="false">IF(B161="","",YEAR(B161))</f>
        <v/>
      </c>
    </row>
    <row r="162" customFormat="false" ht="18" hidden="false" customHeight="true" outlineLevel="0" collapsed="false">
      <c r="A162" s="81" t="n">
        <v>157</v>
      </c>
      <c r="B162" s="95"/>
      <c r="C162" s="96"/>
      <c r="D162" s="96" t="str">
        <f aca="false">IF(C162="","",IF(OR(ISNUMBER(SEARCH("PAYROLL",UPPER(C162))),ISNUMBER(SEARCH("PAYCHECK",UPPER(C162))),ISNUMBER(SEARCH("DEPOSIT",UPPER(C162)))),"Income",IF(ISNUMBER(SEARCH("TRANSFER",UPPER(C162))),"Transfer","Expense")))</f>
        <v/>
      </c>
      <c r="E162" s="97" t="str">
        <f aca="false">IF(C162="","",IFERROR(INDEX(Mapping!$B$5:$B$200,SUMPRODUCT(MAX((ISNUMBER(SEARCH(Mapping!$A$5:$A$200,UPPER(C162&amp;""))))*ROW(Mapping!$A$5:$A$200)))-4),""))</f>
        <v/>
      </c>
      <c r="F162" s="98"/>
      <c r="G162" s="99" t="n">
        <f aca="false">IF(F162="",G161,G161+IF(D162="Income",F162,IF(D162="Expense",-F162,F162)))</f>
        <v>3408.09</v>
      </c>
      <c r="H162" s="100" t="str">
        <f aca="false">IF(C162="","",IFERROR(INDEX(Mapping!$A$5:$A$200,SUMPRODUCT(MAX((ISNUMBER(SEARCH(Mapping!$A$5:$A$200,UPPER(C162&amp;""))))*ROW(Mapping!$A$5:$A$200)))-4)&amp;" → "&amp;INDEX(Mapping!$B$5:$B$200,SUMPRODUCT(MAX((ISNUMBER(SEARCH(Mapping!$A$5:$A$200,UPPER(C162&amp;""))))*ROW(Mapping!$A$5:$A$200)))-4),"❓ no rule (add to Mapping)"))</f>
        <v/>
      </c>
      <c r="I162" s="79" t="str">
        <f aca="false">IF(B162="","",TEXT(B162,"mmm"))</f>
        <v/>
      </c>
      <c r="J162" s="80" t="str">
        <f aca="false">IF(B162="","",YEAR(B162))</f>
        <v/>
      </c>
    </row>
    <row r="163" customFormat="false" ht="18" hidden="false" customHeight="true" outlineLevel="0" collapsed="false">
      <c r="A163" s="81" t="n">
        <v>158</v>
      </c>
      <c r="B163" s="95"/>
      <c r="C163" s="96"/>
      <c r="D163" s="96" t="str">
        <f aca="false">IF(C163="","",IF(OR(ISNUMBER(SEARCH("PAYROLL",UPPER(C163))),ISNUMBER(SEARCH("PAYCHECK",UPPER(C163))),ISNUMBER(SEARCH("DEPOSIT",UPPER(C163)))),"Income",IF(ISNUMBER(SEARCH("TRANSFER",UPPER(C163))),"Transfer","Expense")))</f>
        <v/>
      </c>
      <c r="E163" s="97" t="str">
        <f aca="false">IF(C163="","",IFERROR(INDEX(Mapping!$B$5:$B$200,SUMPRODUCT(MAX((ISNUMBER(SEARCH(Mapping!$A$5:$A$200,UPPER(C163&amp;""))))*ROW(Mapping!$A$5:$A$200)))-4),""))</f>
        <v/>
      </c>
      <c r="F163" s="98"/>
      <c r="G163" s="99" t="n">
        <f aca="false">IF(F163="",G162,G162+IF(D163="Income",F163,IF(D163="Expense",-F163,F163)))</f>
        <v>3408.09</v>
      </c>
      <c r="H163" s="100" t="str">
        <f aca="false">IF(C163="","",IFERROR(INDEX(Mapping!$A$5:$A$200,SUMPRODUCT(MAX((ISNUMBER(SEARCH(Mapping!$A$5:$A$200,UPPER(C163&amp;""))))*ROW(Mapping!$A$5:$A$200)))-4)&amp;" → "&amp;INDEX(Mapping!$B$5:$B$200,SUMPRODUCT(MAX((ISNUMBER(SEARCH(Mapping!$A$5:$A$200,UPPER(C163&amp;""))))*ROW(Mapping!$A$5:$A$200)))-4),"❓ no rule (add to Mapping)"))</f>
        <v/>
      </c>
      <c r="I163" s="79" t="str">
        <f aca="false">IF(B163="","",TEXT(B163,"mmm"))</f>
        <v/>
      </c>
      <c r="J163" s="80" t="str">
        <f aca="false">IF(B163="","",YEAR(B163))</f>
        <v/>
      </c>
    </row>
    <row r="164" customFormat="false" ht="18" hidden="false" customHeight="true" outlineLevel="0" collapsed="false">
      <c r="A164" s="81" t="n">
        <v>159</v>
      </c>
      <c r="B164" s="95"/>
      <c r="C164" s="96"/>
      <c r="D164" s="96" t="str">
        <f aca="false">IF(C164="","",IF(OR(ISNUMBER(SEARCH("PAYROLL",UPPER(C164))),ISNUMBER(SEARCH("PAYCHECK",UPPER(C164))),ISNUMBER(SEARCH("DEPOSIT",UPPER(C164)))),"Income",IF(ISNUMBER(SEARCH("TRANSFER",UPPER(C164))),"Transfer","Expense")))</f>
        <v/>
      </c>
      <c r="E164" s="97" t="str">
        <f aca="false">IF(C164="","",IFERROR(INDEX(Mapping!$B$5:$B$200,SUMPRODUCT(MAX((ISNUMBER(SEARCH(Mapping!$A$5:$A$200,UPPER(C164&amp;""))))*ROW(Mapping!$A$5:$A$200)))-4),""))</f>
        <v/>
      </c>
      <c r="F164" s="98"/>
      <c r="G164" s="99" t="n">
        <f aca="false">IF(F164="",G163,G163+IF(D164="Income",F164,IF(D164="Expense",-F164,F164)))</f>
        <v>3408.09</v>
      </c>
      <c r="H164" s="100" t="str">
        <f aca="false">IF(C164="","",IFERROR(INDEX(Mapping!$A$5:$A$200,SUMPRODUCT(MAX((ISNUMBER(SEARCH(Mapping!$A$5:$A$200,UPPER(C164&amp;""))))*ROW(Mapping!$A$5:$A$200)))-4)&amp;" → "&amp;INDEX(Mapping!$B$5:$B$200,SUMPRODUCT(MAX((ISNUMBER(SEARCH(Mapping!$A$5:$A$200,UPPER(C164&amp;""))))*ROW(Mapping!$A$5:$A$200)))-4),"❓ no rule (add to Mapping)"))</f>
        <v/>
      </c>
      <c r="I164" s="79" t="str">
        <f aca="false">IF(B164="","",TEXT(B164,"mmm"))</f>
        <v/>
      </c>
      <c r="J164" s="80" t="str">
        <f aca="false">IF(B164="","",YEAR(B164))</f>
        <v/>
      </c>
    </row>
    <row r="165" customFormat="false" ht="18" hidden="false" customHeight="true" outlineLevel="0" collapsed="false">
      <c r="A165" s="81" t="n">
        <v>160</v>
      </c>
      <c r="B165" s="95"/>
      <c r="C165" s="96"/>
      <c r="D165" s="96" t="str">
        <f aca="false">IF(C165="","",IF(OR(ISNUMBER(SEARCH("PAYROLL",UPPER(C165))),ISNUMBER(SEARCH("PAYCHECK",UPPER(C165))),ISNUMBER(SEARCH("DEPOSIT",UPPER(C165)))),"Income",IF(ISNUMBER(SEARCH("TRANSFER",UPPER(C165))),"Transfer","Expense")))</f>
        <v/>
      </c>
      <c r="E165" s="97" t="str">
        <f aca="false">IF(C165="","",IFERROR(INDEX(Mapping!$B$5:$B$200,SUMPRODUCT(MAX((ISNUMBER(SEARCH(Mapping!$A$5:$A$200,UPPER(C165&amp;""))))*ROW(Mapping!$A$5:$A$200)))-4),""))</f>
        <v/>
      </c>
      <c r="F165" s="98"/>
      <c r="G165" s="99" t="n">
        <f aca="false">IF(F165="",G164,G164+IF(D165="Income",F165,IF(D165="Expense",-F165,F165)))</f>
        <v>3408.09</v>
      </c>
      <c r="H165" s="100" t="str">
        <f aca="false">IF(C165="","",IFERROR(INDEX(Mapping!$A$5:$A$200,SUMPRODUCT(MAX((ISNUMBER(SEARCH(Mapping!$A$5:$A$200,UPPER(C165&amp;""))))*ROW(Mapping!$A$5:$A$200)))-4)&amp;" → "&amp;INDEX(Mapping!$B$5:$B$200,SUMPRODUCT(MAX((ISNUMBER(SEARCH(Mapping!$A$5:$A$200,UPPER(C165&amp;""))))*ROW(Mapping!$A$5:$A$200)))-4),"❓ no rule (add to Mapping)"))</f>
        <v/>
      </c>
      <c r="I165" s="79" t="str">
        <f aca="false">IF(B165="","",TEXT(B165,"mmm"))</f>
        <v/>
      </c>
      <c r="J165" s="80" t="str">
        <f aca="false">IF(B165="","",YEAR(B165))</f>
        <v/>
      </c>
    </row>
    <row r="166" customFormat="false" ht="18" hidden="false" customHeight="true" outlineLevel="0" collapsed="false">
      <c r="A166" s="81" t="n">
        <v>161</v>
      </c>
      <c r="B166" s="95"/>
      <c r="C166" s="96"/>
      <c r="D166" s="96" t="str">
        <f aca="false">IF(C166="","",IF(OR(ISNUMBER(SEARCH("PAYROLL",UPPER(C166))),ISNUMBER(SEARCH("PAYCHECK",UPPER(C166))),ISNUMBER(SEARCH("DEPOSIT",UPPER(C166)))),"Income",IF(ISNUMBER(SEARCH("TRANSFER",UPPER(C166))),"Transfer","Expense")))</f>
        <v/>
      </c>
      <c r="E166" s="97" t="str">
        <f aca="false">IF(C166="","",IFERROR(INDEX(Mapping!$B$5:$B$200,SUMPRODUCT(MAX((ISNUMBER(SEARCH(Mapping!$A$5:$A$200,UPPER(C166&amp;""))))*ROW(Mapping!$A$5:$A$200)))-4),""))</f>
        <v/>
      </c>
      <c r="F166" s="98"/>
      <c r="G166" s="99" t="n">
        <f aca="false">IF(F166="",G165,G165+IF(D166="Income",F166,IF(D166="Expense",-F166,F166)))</f>
        <v>3408.09</v>
      </c>
      <c r="H166" s="100" t="str">
        <f aca="false">IF(C166="","",IFERROR(INDEX(Mapping!$A$5:$A$200,SUMPRODUCT(MAX((ISNUMBER(SEARCH(Mapping!$A$5:$A$200,UPPER(C166&amp;""))))*ROW(Mapping!$A$5:$A$200)))-4)&amp;" → "&amp;INDEX(Mapping!$B$5:$B$200,SUMPRODUCT(MAX((ISNUMBER(SEARCH(Mapping!$A$5:$A$200,UPPER(C166&amp;""))))*ROW(Mapping!$A$5:$A$200)))-4),"❓ no rule (add to Mapping)"))</f>
        <v/>
      </c>
      <c r="I166" s="79" t="str">
        <f aca="false">IF(B166="","",TEXT(B166,"mmm"))</f>
        <v/>
      </c>
      <c r="J166" s="80" t="str">
        <f aca="false">IF(B166="","",YEAR(B166))</f>
        <v/>
      </c>
    </row>
    <row r="167" customFormat="false" ht="18" hidden="false" customHeight="true" outlineLevel="0" collapsed="false">
      <c r="A167" s="81" t="n">
        <v>162</v>
      </c>
      <c r="B167" s="95"/>
      <c r="C167" s="96"/>
      <c r="D167" s="96" t="str">
        <f aca="false">IF(C167="","",IF(OR(ISNUMBER(SEARCH("PAYROLL",UPPER(C167))),ISNUMBER(SEARCH("PAYCHECK",UPPER(C167))),ISNUMBER(SEARCH("DEPOSIT",UPPER(C167)))),"Income",IF(ISNUMBER(SEARCH("TRANSFER",UPPER(C167))),"Transfer","Expense")))</f>
        <v/>
      </c>
      <c r="E167" s="97" t="str">
        <f aca="false">IF(C167="","",IFERROR(INDEX(Mapping!$B$5:$B$200,SUMPRODUCT(MAX((ISNUMBER(SEARCH(Mapping!$A$5:$A$200,UPPER(C167&amp;""))))*ROW(Mapping!$A$5:$A$200)))-4),""))</f>
        <v/>
      </c>
      <c r="F167" s="98"/>
      <c r="G167" s="99" t="n">
        <f aca="false">IF(F167="",G166,G166+IF(D167="Income",F167,IF(D167="Expense",-F167,F167)))</f>
        <v>3408.09</v>
      </c>
      <c r="H167" s="100" t="str">
        <f aca="false">IF(C167="","",IFERROR(INDEX(Mapping!$A$5:$A$200,SUMPRODUCT(MAX((ISNUMBER(SEARCH(Mapping!$A$5:$A$200,UPPER(C167&amp;""))))*ROW(Mapping!$A$5:$A$200)))-4)&amp;" → "&amp;INDEX(Mapping!$B$5:$B$200,SUMPRODUCT(MAX((ISNUMBER(SEARCH(Mapping!$A$5:$A$200,UPPER(C167&amp;""))))*ROW(Mapping!$A$5:$A$200)))-4),"❓ no rule (add to Mapping)"))</f>
        <v/>
      </c>
      <c r="I167" s="79" t="str">
        <f aca="false">IF(B167="","",TEXT(B167,"mmm"))</f>
        <v/>
      </c>
      <c r="J167" s="80" t="str">
        <f aca="false">IF(B167="","",YEAR(B167))</f>
        <v/>
      </c>
    </row>
    <row r="168" customFormat="false" ht="18" hidden="false" customHeight="true" outlineLevel="0" collapsed="false">
      <c r="A168" s="81" t="n">
        <v>163</v>
      </c>
      <c r="B168" s="95"/>
      <c r="C168" s="96"/>
      <c r="D168" s="96" t="str">
        <f aca="false">IF(C168="","",IF(OR(ISNUMBER(SEARCH("PAYROLL",UPPER(C168))),ISNUMBER(SEARCH("PAYCHECK",UPPER(C168))),ISNUMBER(SEARCH("DEPOSIT",UPPER(C168)))),"Income",IF(ISNUMBER(SEARCH("TRANSFER",UPPER(C168))),"Transfer","Expense")))</f>
        <v/>
      </c>
      <c r="E168" s="97" t="str">
        <f aca="false">IF(C168="","",IFERROR(INDEX(Mapping!$B$5:$B$200,SUMPRODUCT(MAX((ISNUMBER(SEARCH(Mapping!$A$5:$A$200,UPPER(C168&amp;""))))*ROW(Mapping!$A$5:$A$200)))-4),""))</f>
        <v/>
      </c>
      <c r="F168" s="98"/>
      <c r="G168" s="99" t="n">
        <f aca="false">IF(F168="",G167,G167+IF(D168="Income",F168,IF(D168="Expense",-F168,F168)))</f>
        <v>3408.09</v>
      </c>
      <c r="H168" s="100" t="str">
        <f aca="false">IF(C168="","",IFERROR(INDEX(Mapping!$A$5:$A$200,SUMPRODUCT(MAX((ISNUMBER(SEARCH(Mapping!$A$5:$A$200,UPPER(C168&amp;""))))*ROW(Mapping!$A$5:$A$200)))-4)&amp;" → "&amp;INDEX(Mapping!$B$5:$B$200,SUMPRODUCT(MAX((ISNUMBER(SEARCH(Mapping!$A$5:$A$200,UPPER(C168&amp;""))))*ROW(Mapping!$A$5:$A$200)))-4),"❓ no rule (add to Mapping)"))</f>
        <v/>
      </c>
      <c r="I168" s="79" t="str">
        <f aca="false">IF(B168="","",TEXT(B168,"mmm"))</f>
        <v/>
      </c>
      <c r="J168" s="80" t="str">
        <f aca="false">IF(B168="","",YEAR(B168))</f>
        <v/>
      </c>
    </row>
    <row r="169" customFormat="false" ht="18" hidden="false" customHeight="true" outlineLevel="0" collapsed="false">
      <c r="A169" s="81" t="n">
        <v>164</v>
      </c>
      <c r="B169" s="95"/>
      <c r="C169" s="96"/>
      <c r="D169" s="96" t="str">
        <f aca="false">IF(C169="","",IF(OR(ISNUMBER(SEARCH("PAYROLL",UPPER(C169))),ISNUMBER(SEARCH("PAYCHECK",UPPER(C169))),ISNUMBER(SEARCH("DEPOSIT",UPPER(C169)))),"Income",IF(ISNUMBER(SEARCH("TRANSFER",UPPER(C169))),"Transfer","Expense")))</f>
        <v/>
      </c>
      <c r="E169" s="97" t="str">
        <f aca="false">IF(C169="","",IFERROR(INDEX(Mapping!$B$5:$B$200,SUMPRODUCT(MAX((ISNUMBER(SEARCH(Mapping!$A$5:$A$200,UPPER(C169&amp;""))))*ROW(Mapping!$A$5:$A$200)))-4),""))</f>
        <v/>
      </c>
      <c r="F169" s="98"/>
      <c r="G169" s="99" t="n">
        <f aca="false">IF(F169="",G168,G168+IF(D169="Income",F169,IF(D169="Expense",-F169,F169)))</f>
        <v>3408.09</v>
      </c>
      <c r="H169" s="100" t="str">
        <f aca="false">IF(C169="","",IFERROR(INDEX(Mapping!$A$5:$A$200,SUMPRODUCT(MAX((ISNUMBER(SEARCH(Mapping!$A$5:$A$200,UPPER(C169&amp;""))))*ROW(Mapping!$A$5:$A$200)))-4)&amp;" → "&amp;INDEX(Mapping!$B$5:$B$200,SUMPRODUCT(MAX((ISNUMBER(SEARCH(Mapping!$A$5:$A$200,UPPER(C169&amp;""))))*ROW(Mapping!$A$5:$A$200)))-4),"❓ no rule (add to Mapping)"))</f>
        <v/>
      </c>
      <c r="I169" s="79" t="str">
        <f aca="false">IF(B169="","",TEXT(B169,"mmm"))</f>
        <v/>
      </c>
      <c r="J169" s="80" t="str">
        <f aca="false">IF(B169="","",YEAR(B169))</f>
        <v/>
      </c>
    </row>
    <row r="170" customFormat="false" ht="18" hidden="false" customHeight="true" outlineLevel="0" collapsed="false">
      <c r="A170" s="81" t="n">
        <v>165</v>
      </c>
      <c r="B170" s="95"/>
      <c r="C170" s="96"/>
      <c r="D170" s="96" t="str">
        <f aca="false">IF(C170="","",IF(OR(ISNUMBER(SEARCH("PAYROLL",UPPER(C170))),ISNUMBER(SEARCH("PAYCHECK",UPPER(C170))),ISNUMBER(SEARCH("DEPOSIT",UPPER(C170)))),"Income",IF(ISNUMBER(SEARCH("TRANSFER",UPPER(C170))),"Transfer","Expense")))</f>
        <v/>
      </c>
      <c r="E170" s="97" t="str">
        <f aca="false">IF(C170="","",IFERROR(INDEX(Mapping!$B$5:$B$200,SUMPRODUCT(MAX((ISNUMBER(SEARCH(Mapping!$A$5:$A$200,UPPER(C170&amp;""))))*ROW(Mapping!$A$5:$A$200)))-4),""))</f>
        <v/>
      </c>
      <c r="F170" s="98"/>
      <c r="G170" s="99" t="n">
        <f aca="false">IF(F170="",G169,G169+IF(D170="Income",F170,IF(D170="Expense",-F170,F170)))</f>
        <v>3408.09</v>
      </c>
      <c r="H170" s="100" t="str">
        <f aca="false">IF(C170="","",IFERROR(INDEX(Mapping!$A$5:$A$200,SUMPRODUCT(MAX((ISNUMBER(SEARCH(Mapping!$A$5:$A$200,UPPER(C170&amp;""))))*ROW(Mapping!$A$5:$A$200)))-4)&amp;" → "&amp;INDEX(Mapping!$B$5:$B$200,SUMPRODUCT(MAX((ISNUMBER(SEARCH(Mapping!$A$5:$A$200,UPPER(C170&amp;""))))*ROW(Mapping!$A$5:$A$200)))-4),"❓ no rule (add to Mapping)"))</f>
        <v/>
      </c>
      <c r="I170" s="79" t="str">
        <f aca="false">IF(B170="","",TEXT(B170,"mmm"))</f>
        <v/>
      </c>
      <c r="J170" s="80" t="str">
        <f aca="false">IF(B170="","",YEAR(B170))</f>
        <v/>
      </c>
    </row>
    <row r="171" customFormat="false" ht="18" hidden="false" customHeight="true" outlineLevel="0" collapsed="false">
      <c r="A171" s="81" t="n">
        <v>166</v>
      </c>
      <c r="B171" s="95"/>
      <c r="C171" s="96"/>
      <c r="D171" s="96" t="str">
        <f aca="false">IF(C171="","",IF(OR(ISNUMBER(SEARCH("PAYROLL",UPPER(C171))),ISNUMBER(SEARCH("PAYCHECK",UPPER(C171))),ISNUMBER(SEARCH("DEPOSIT",UPPER(C171)))),"Income",IF(ISNUMBER(SEARCH("TRANSFER",UPPER(C171))),"Transfer","Expense")))</f>
        <v/>
      </c>
      <c r="E171" s="97" t="str">
        <f aca="false">IF(C171="","",IFERROR(INDEX(Mapping!$B$5:$B$200,SUMPRODUCT(MAX((ISNUMBER(SEARCH(Mapping!$A$5:$A$200,UPPER(C171&amp;""))))*ROW(Mapping!$A$5:$A$200)))-4),""))</f>
        <v/>
      </c>
      <c r="F171" s="98"/>
      <c r="G171" s="99" t="n">
        <f aca="false">IF(F171="",G170,G170+IF(D171="Income",F171,IF(D171="Expense",-F171,F171)))</f>
        <v>3408.09</v>
      </c>
      <c r="H171" s="100" t="str">
        <f aca="false">IF(C171="","",IFERROR(INDEX(Mapping!$A$5:$A$200,SUMPRODUCT(MAX((ISNUMBER(SEARCH(Mapping!$A$5:$A$200,UPPER(C171&amp;""))))*ROW(Mapping!$A$5:$A$200)))-4)&amp;" → "&amp;INDEX(Mapping!$B$5:$B$200,SUMPRODUCT(MAX((ISNUMBER(SEARCH(Mapping!$A$5:$A$200,UPPER(C171&amp;""))))*ROW(Mapping!$A$5:$A$200)))-4),"❓ no rule (add to Mapping)"))</f>
        <v/>
      </c>
      <c r="I171" s="79" t="str">
        <f aca="false">IF(B171="","",TEXT(B171,"mmm"))</f>
        <v/>
      </c>
      <c r="J171" s="80" t="str">
        <f aca="false">IF(B171="","",YEAR(B171))</f>
        <v/>
      </c>
    </row>
    <row r="172" customFormat="false" ht="18" hidden="false" customHeight="true" outlineLevel="0" collapsed="false">
      <c r="A172" s="81" t="n">
        <v>167</v>
      </c>
      <c r="B172" s="95"/>
      <c r="C172" s="96"/>
      <c r="D172" s="96" t="str">
        <f aca="false">IF(C172="","",IF(OR(ISNUMBER(SEARCH("PAYROLL",UPPER(C172))),ISNUMBER(SEARCH("PAYCHECK",UPPER(C172))),ISNUMBER(SEARCH("DEPOSIT",UPPER(C172)))),"Income",IF(ISNUMBER(SEARCH("TRANSFER",UPPER(C172))),"Transfer","Expense")))</f>
        <v/>
      </c>
      <c r="E172" s="97" t="str">
        <f aca="false">IF(C172="","",IFERROR(INDEX(Mapping!$B$5:$B$200,SUMPRODUCT(MAX((ISNUMBER(SEARCH(Mapping!$A$5:$A$200,UPPER(C172&amp;""))))*ROW(Mapping!$A$5:$A$200)))-4),""))</f>
        <v/>
      </c>
      <c r="F172" s="98"/>
      <c r="G172" s="99" t="n">
        <f aca="false">IF(F172="",G171,G171+IF(D172="Income",F172,IF(D172="Expense",-F172,F172)))</f>
        <v>3408.09</v>
      </c>
      <c r="H172" s="100" t="str">
        <f aca="false">IF(C172="","",IFERROR(INDEX(Mapping!$A$5:$A$200,SUMPRODUCT(MAX((ISNUMBER(SEARCH(Mapping!$A$5:$A$200,UPPER(C172&amp;""))))*ROW(Mapping!$A$5:$A$200)))-4)&amp;" → "&amp;INDEX(Mapping!$B$5:$B$200,SUMPRODUCT(MAX((ISNUMBER(SEARCH(Mapping!$A$5:$A$200,UPPER(C172&amp;""))))*ROW(Mapping!$A$5:$A$200)))-4),"❓ no rule (add to Mapping)"))</f>
        <v/>
      </c>
      <c r="I172" s="79" t="str">
        <f aca="false">IF(B172="","",TEXT(B172,"mmm"))</f>
        <v/>
      </c>
      <c r="J172" s="80" t="str">
        <f aca="false">IF(B172="","",YEAR(B172))</f>
        <v/>
      </c>
    </row>
    <row r="173" customFormat="false" ht="18" hidden="false" customHeight="true" outlineLevel="0" collapsed="false">
      <c r="A173" s="81" t="n">
        <v>168</v>
      </c>
      <c r="B173" s="95"/>
      <c r="C173" s="96"/>
      <c r="D173" s="96" t="str">
        <f aca="false">IF(C173="","",IF(OR(ISNUMBER(SEARCH("PAYROLL",UPPER(C173))),ISNUMBER(SEARCH("PAYCHECK",UPPER(C173))),ISNUMBER(SEARCH("DEPOSIT",UPPER(C173)))),"Income",IF(ISNUMBER(SEARCH("TRANSFER",UPPER(C173))),"Transfer","Expense")))</f>
        <v/>
      </c>
      <c r="E173" s="97" t="str">
        <f aca="false">IF(C173="","",IFERROR(INDEX(Mapping!$B$5:$B$200,SUMPRODUCT(MAX((ISNUMBER(SEARCH(Mapping!$A$5:$A$200,UPPER(C173&amp;""))))*ROW(Mapping!$A$5:$A$200)))-4),""))</f>
        <v/>
      </c>
      <c r="F173" s="98"/>
      <c r="G173" s="99" t="n">
        <f aca="false">IF(F173="",G172,G172+IF(D173="Income",F173,IF(D173="Expense",-F173,F173)))</f>
        <v>3408.09</v>
      </c>
      <c r="H173" s="100" t="str">
        <f aca="false">IF(C173="","",IFERROR(INDEX(Mapping!$A$5:$A$200,SUMPRODUCT(MAX((ISNUMBER(SEARCH(Mapping!$A$5:$A$200,UPPER(C173&amp;""))))*ROW(Mapping!$A$5:$A$200)))-4)&amp;" → "&amp;INDEX(Mapping!$B$5:$B$200,SUMPRODUCT(MAX((ISNUMBER(SEARCH(Mapping!$A$5:$A$200,UPPER(C173&amp;""))))*ROW(Mapping!$A$5:$A$200)))-4),"❓ no rule (add to Mapping)"))</f>
        <v/>
      </c>
      <c r="I173" s="79" t="str">
        <f aca="false">IF(B173="","",TEXT(B173,"mmm"))</f>
        <v/>
      </c>
      <c r="J173" s="80" t="str">
        <f aca="false">IF(B173="","",YEAR(B173))</f>
        <v/>
      </c>
    </row>
    <row r="174" customFormat="false" ht="18" hidden="false" customHeight="true" outlineLevel="0" collapsed="false">
      <c r="A174" s="81" t="n">
        <v>169</v>
      </c>
      <c r="B174" s="95"/>
      <c r="C174" s="96"/>
      <c r="D174" s="96" t="str">
        <f aca="false">IF(C174="","",IF(OR(ISNUMBER(SEARCH("PAYROLL",UPPER(C174))),ISNUMBER(SEARCH("PAYCHECK",UPPER(C174))),ISNUMBER(SEARCH("DEPOSIT",UPPER(C174)))),"Income",IF(ISNUMBER(SEARCH("TRANSFER",UPPER(C174))),"Transfer","Expense")))</f>
        <v/>
      </c>
      <c r="E174" s="97" t="str">
        <f aca="false">IF(C174="","",IFERROR(INDEX(Mapping!$B$5:$B$200,SUMPRODUCT(MAX((ISNUMBER(SEARCH(Mapping!$A$5:$A$200,UPPER(C174&amp;""))))*ROW(Mapping!$A$5:$A$200)))-4),""))</f>
        <v/>
      </c>
      <c r="F174" s="98"/>
      <c r="G174" s="99" t="n">
        <f aca="false">IF(F174="",G173,G173+IF(D174="Income",F174,IF(D174="Expense",-F174,F174)))</f>
        <v>3408.09</v>
      </c>
      <c r="H174" s="100" t="str">
        <f aca="false">IF(C174="","",IFERROR(INDEX(Mapping!$A$5:$A$200,SUMPRODUCT(MAX((ISNUMBER(SEARCH(Mapping!$A$5:$A$200,UPPER(C174&amp;""))))*ROW(Mapping!$A$5:$A$200)))-4)&amp;" → "&amp;INDEX(Mapping!$B$5:$B$200,SUMPRODUCT(MAX((ISNUMBER(SEARCH(Mapping!$A$5:$A$200,UPPER(C174&amp;""))))*ROW(Mapping!$A$5:$A$200)))-4),"❓ no rule (add to Mapping)"))</f>
        <v/>
      </c>
      <c r="I174" s="79" t="str">
        <f aca="false">IF(B174="","",TEXT(B174,"mmm"))</f>
        <v/>
      </c>
      <c r="J174" s="80" t="str">
        <f aca="false">IF(B174="","",YEAR(B174))</f>
        <v/>
      </c>
    </row>
    <row r="175" customFormat="false" ht="18" hidden="false" customHeight="true" outlineLevel="0" collapsed="false">
      <c r="A175" s="81" t="n">
        <v>170</v>
      </c>
      <c r="B175" s="95"/>
      <c r="C175" s="96"/>
      <c r="D175" s="96" t="str">
        <f aca="false">IF(C175="","",IF(OR(ISNUMBER(SEARCH("PAYROLL",UPPER(C175))),ISNUMBER(SEARCH("PAYCHECK",UPPER(C175))),ISNUMBER(SEARCH("DEPOSIT",UPPER(C175)))),"Income",IF(ISNUMBER(SEARCH("TRANSFER",UPPER(C175))),"Transfer","Expense")))</f>
        <v/>
      </c>
      <c r="E175" s="97" t="str">
        <f aca="false">IF(C175="","",IFERROR(INDEX(Mapping!$B$5:$B$200,SUMPRODUCT(MAX((ISNUMBER(SEARCH(Mapping!$A$5:$A$200,UPPER(C175&amp;""))))*ROW(Mapping!$A$5:$A$200)))-4),""))</f>
        <v/>
      </c>
      <c r="F175" s="98"/>
      <c r="G175" s="99" t="n">
        <f aca="false">IF(F175="",G174,G174+IF(D175="Income",F175,IF(D175="Expense",-F175,F175)))</f>
        <v>3408.09</v>
      </c>
      <c r="H175" s="100" t="str">
        <f aca="false">IF(C175="","",IFERROR(INDEX(Mapping!$A$5:$A$200,SUMPRODUCT(MAX((ISNUMBER(SEARCH(Mapping!$A$5:$A$200,UPPER(C175&amp;""))))*ROW(Mapping!$A$5:$A$200)))-4)&amp;" → "&amp;INDEX(Mapping!$B$5:$B$200,SUMPRODUCT(MAX((ISNUMBER(SEARCH(Mapping!$A$5:$A$200,UPPER(C175&amp;""))))*ROW(Mapping!$A$5:$A$200)))-4),"❓ no rule (add to Mapping)"))</f>
        <v/>
      </c>
      <c r="I175" s="79" t="str">
        <f aca="false">IF(B175="","",TEXT(B175,"mmm"))</f>
        <v/>
      </c>
      <c r="J175" s="80" t="str">
        <f aca="false">IF(B175="","",YEAR(B175))</f>
        <v/>
      </c>
    </row>
    <row r="176" customFormat="false" ht="18" hidden="false" customHeight="true" outlineLevel="0" collapsed="false">
      <c r="A176" s="81" t="n">
        <v>171</v>
      </c>
      <c r="B176" s="95"/>
      <c r="C176" s="96"/>
      <c r="D176" s="96" t="str">
        <f aca="false">IF(C176="","",IF(OR(ISNUMBER(SEARCH("PAYROLL",UPPER(C176))),ISNUMBER(SEARCH("PAYCHECK",UPPER(C176))),ISNUMBER(SEARCH("DEPOSIT",UPPER(C176)))),"Income",IF(ISNUMBER(SEARCH("TRANSFER",UPPER(C176))),"Transfer","Expense")))</f>
        <v/>
      </c>
      <c r="E176" s="97" t="str">
        <f aca="false">IF(C176="","",IFERROR(INDEX(Mapping!$B$5:$B$200,SUMPRODUCT(MAX((ISNUMBER(SEARCH(Mapping!$A$5:$A$200,UPPER(C176&amp;""))))*ROW(Mapping!$A$5:$A$200)))-4),""))</f>
        <v/>
      </c>
      <c r="F176" s="98"/>
      <c r="G176" s="99" t="n">
        <f aca="false">IF(F176="",G175,G175+IF(D176="Income",F176,IF(D176="Expense",-F176,F176)))</f>
        <v>3408.09</v>
      </c>
      <c r="H176" s="100" t="str">
        <f aca="false">IF(C176="","",IFERROR(INDEX(Mapping!$A$5:$A$200,SUMPRODUCT(MAX((ISNUMBER(SEARCH(Mapping!$A$5:$A$200,UPPER(C176&amp;""))))*ROW(Mapping!$A$5:$A$200)))-4)&amp;" → "&amp;INDEX(Mapping!$B$5:$B$200,SUMPRODUCT(MAX((ISNUMBER(SEARCH(Mapping!$A$5:$A$200,UPPER(C176&amp;""))))*ROW(Mapping!$A$5:$A$200)))-4),"❓ no rule (add to Mapping)"))</f>
        <v/>
      </c>
      <c r="I176" s="79" t="str">
        <f aca="false">IF(B176="","",TEXT(B176,"mmm"))</f>
        <v/>
      </c>
      <c r="J176" s="80" t="str">
        <f aca="false">IF(B176="","",YEAR(B176))</f>
        <v/>
      </c>
    </row>
    <row r="177" customFormat="false" ht="18" hidden="false" customHeight="true" outlineLevel="0" collapsed="false">
      <c r="A177" s="81" t="n">
        <v>172</v>
      </c>
      <c r="B177" s="95"/>
      <c r="C177" s="96"/>
      <c r="D177" s="96" t="str">
        <f aca="false">IF(C177="","",IF(OR(ISNUMBER(SEARCH("PAYROLL",UPPER(C177))),ISNUMBER(SEARCH("PAYCHECK",UPPER(C177))),ISNUMBER(SEARCH("DEPOSIT",UPPER(C177)))),"Income",IF(ISNUMBER(SEARCH("TRANSFER",UPPER(C177))),"Transfer","Expense")))</f>
        <v/>
      </c>
      <c r="E177" s="97" t="str">
        <f aca="false">IF(C177="","",IFERROR(INDEX(Mapping!$B$5:$B$200,SUMPRODUCT(MAX((ISNUMBER(SEARCH(Mapping!$A$5:$A$200,UPPER(C177&amp;""))))*ROW(Mapping!$A$5:$A$200)))-4),""))</f>
        <v/>
      </c>
      <c r="F177" s="98"/>
      <c r="G177" s="99" t="n">
        <f aca="false">IF(F177="",G176,G176+IF(D177="Income",F177,IF(D177="Expense",-F177,F177)))</f>
        <v>3408.09</v>
      </c>
      <c r="H177" s="100" t="str">
        <f aca="false">IF(C177="","",IFERROR(INDEX(Mapping!$A$5:$A$200,SUMPRODUCT(MAX((ISNUMBER(SEARCH(Mapping!$A$5:$A$200,UPPER(C177&amp;""))))*ROW(Mapping!$A$5:$A$200)))-4)&amp;" → "&amp;INDEX(Mapping!$B$5:$B$200,SUMPRODUCT(MAX((ISNUMBER(SEARCH(Mapping!$A$5:$A$200,UPPER(C177&amp;""))))*ROW(Mapping!$A$5:$A$200)))-4),"❓ no rule (add to Mapping)"))</f>
        <v/>
      </c>
      <c r="I177" s="79" t="str">
        <f aca="false">IF(B177="","",TEXT(B177,"mmm"))</f>
        <v/>
      </c>
      <c r="J177" s="80" t="str">
        <f aca="false">IF(B177="","",YEAR(B177))</f>
        <v/>
      </c>
    </row>
    <row r="178" customFormat="false" ht="18" hidden="false" customHeight="true" outlineLevel="0" collapsed="false">
      <c r="A178" s="81" t="n">
        <v>173</v>
      </c>
      <c r="B178" s="95"/>
      <c r="C178" s="96"/>
      <c r="D178" s="96" t="str">
        <f aca="false">IF(C178="","",IF(OR(ISNUMBER(SEARCH("PAYROLL",UPPER(C178))),ISNUMBER(SEARCH("PAYCHECK",UPPER(C178))),ISNUMBER(SEARCH("DEPOSIT",UPPER(C178)))),"Income",IF(ISNUMBER(SEARCH("TRANSFER",UPPER(C178))),"Transfer","Expense")))</f>
        <v/>
      </c>
      <c r="E178" s="97" t="str">
        <f aca="false">IF(C178="","",IFERROR(INDEX(Mapping!$B$5:$B$200,SUMPRODUCT(MAX((ISNUMBER(SEARCH(Mapping!$A$5:$A$200,UPPER(C178&amp;""))))*ROW(Mapping!$A$5:$A$200)))-4),""))</f>
        <v/>
      </c>
      <c r="F178" s="98"/>
      <c r="G178" s="99" t="n">
        <f aca="false">IF(F178="",G177,G177+IF(D178="Income",F178,IF(D178="Expense",-F178,F178)))</f>
        <v>3408.09</v>
      </c>
      <c r="H178" s="100" t="str">
        <f aca="false">IF(C178="","",IFERROR(INDEX(Mapping!$A$5:$A$200,SUMPRODUCT(MAX((ISNUMBER(SEARCH(Mapping!$A$5:$A$200,UPPER(C178&amp;""))))*ROW(Mapping!$A$5:$A$200)))-4)&amp;" → "&amp;INDEX(Mapping!$B$5:$B$200,SUMPRODUCT(MAX((ISNUMBER(SEARCH(Mapping!$A$5:$A$200,UPPER(C178&amp;""))))*ROW(Mapping!$A$5:$A$200)))-4),"❓ no rule (add to Mapping)"))</f>
        <v/>
      </c>
      <c r="I178" s="79" t="str">
        <f aca="false">IF(B178="","",TEXT(B178,"mmm"))</f>
        <v/>
      </c>
      <c r="J178" s="80" t="str">
        <f aca="false">IF(B178="","",YEAR(B178))</f>
        <v/>
      </c>
    </row>
    <row r="179" customFormat="false" ht="18" hidden="false" customHeight="true" outlineLevel="0" collapsed="false">
      <c r="A179" s="81" t="n">
        <v>174</v>
      </c>
      <c r="B179" s="95"/>
      <c r="C179" s="96"/>
      <c r="D179" s="96" t="str">
        <f aca="false">IF(C179="","",IF(OR(ISNUMBER(SEARCH("PAYROLL",UPPER(C179))),ISNUMBER(SEARCH("PAYCHECK",UPPER(C179))),ISNUMBER(SEARCH("DEPOSIT",UPPER(C179)))),"Income",IF(ISNUMBER(SEARCH("TRANSFER",UPPER(C179))),"Transfer","Expense")))</f>
        <v/>
      </c>
      <c r="E179" s="97" t="str">
        <f aca="false">IF(C179="","",IFERROR(INDEX(Mapping!$B$5:$B$200,SUMPRODUCT(MAX((ISNUMBER(SEARCH(Mapping!$A$5:$A$200,UPPER(C179&amp;""))))*ROW(Mapping!$A$5:$A$200)))-4),""))</f>
        <v/>
      </c>
      <c r="F179" s="98"/>
      <c r="G179" s="99" t="n">
        <f aca="false">IF(F179="",G178,G178+IF(D179="Income",F179,IF(D179="Expense",-F179,F179)))</f>
        <v>3408.09</v>
      </c>
      <c r="H179" s="100" t="str">
        <f aca="false">IF(C179="","",IFERROR(INDEX(Mapping!$A$5:$A$200,SUMPRODUCT(MAX((ISNUMBER(SEARCH(Mapping!$A$5:$A$200,UPPER(C179&amp;""))))*ROW(Mapping!$A$5:$A$200)))-4)&amp;" → "&amp;INDEX(Mapping!$B$5:$B$200,SUMPRODUCT(MAX((ISNUMBER(SEARCH(Mapping!$A$5:$A$200,UPPER(C179&amp;""))))*ROW(Mapping!$A$5:$A$200)))-4),"❓ no rule (add to Mapping)"))</f>
        <v/>
      </c>
      <c r="I179" s="79" t="str">
        <f aca="false">IF(B179="","",TEXT(B179,"mmm"))</f>
        <v/>
      </c>
      <c r="J179" s="80" t="str">
        <f aca="false">IF(B179="","",YEAR(B179))</f>
        <v/>
      </c>
    </row>
    <row r="180" customFormat="false" ht="18" hidden="false" customHeight="true" outlineLevel="0" collapsed="false">
      <c r="A180" s="81" t="n">
        <v>175</v>
      </c>
      <c r="B180" s="95"/>
      <c r="C180" s="96"/>
      <c r="D180" s="96" t="str">
        <f aca="false">IF(C180="","",IF(OR(ISNUMBER(SEARCH("PAYROLL",UPPER(C180))),ISNUMBER(SEARCH("PAYCHECK",UPPER(C180))),ISNUMBER(SEARCH("DEPOSIT",UPPER(C180)))),"Income",IF(ISNUMBER(SEARCH("TRANSFER",UPPER(C180))),"Transfer","Expense")))</f>
        <v/>
      </c>
      <c r="E180" s="97" t="str">
        <f aca="false">IF(C180="","",IFERROR(INDEX(Mapping!$B$5:$B$200,SUMPRODUCT(MAX((ISNUMBER(SEARCH(Mapping!$A$5:$A$200,UPPER(C180&amp;""))))*ROW(Mapping!$A$5:$A$200)))-4),""))</f>
        <v/>
      </c>
      <c r="F180" s="98"/>
      <c r="G180" s="99" t="n">
        <f aca="false">IF(F180="",G179,G179+IF(D180="Income",F180,IF(D180="Expense",-F180,F180)))</f>
        <v>3408.09</v>
      </c>
      <c r="H180" s="100" t="str">
        <f aca="false">IF(C180="","",IFERROR(INDEX(Mapping!$A$5:$A$200,SUMPRODUCT(MAX((ISNUMBER(SEARCH(Mapping!$A$5:$A$200,UPPER(C180&amp;""))))*ROW(Mapping!$A$5:$A$200)))-4)&amp;" → "&amp;INDEX(Mapping!$B$5:$B$200,SUMPRODUCT(MAX((ISNUMBER(SEARCH(Mapping!$A$5:$A$200,UPPER(C180&amp;""))))*ROW(Mapping!$A$5:$A$200)))-4),"❓ no rule (add to Mapping)"))</f>
        <v/>
      </c>
      <c r="I180" s="79" t="str">
        <f aca="false">IF(B180="","",TEXT(B180,"mmm"))</f>
        <v/>
      </c>
      <c r="J180" s="80" t="str">
        <f aca="false">IF(B180="","",YEAR(B180))</f>
        <v/>
      </c>
    </row>
    <row r="181" customFormat="false" ht="18" hidden="false" customHeight="true" outlineLevel="0" collapsed="false">
      <c r="A181" s="81" t="n">
        <v>176</v>
      </c>
      <c r="B181" s="95"/>
      <c r="C181" s="96"/>
      <c r="D181" s="96" t="str">
        <f aca="false">IF(C181="","",IF(OR(ISNUMBER(SEARCH("PAYROLL",UPPER(C181))),ISNUMBER(SEARCH("PAYCHECK",UPPER(C181))),ISNUMBER(SEARCH("DEPOSIT",UPPER(C181)))),"Income",IF(ISNUMBER(SEARCH("TRANSFER",UPPER(C181))),"Transfer","Expense")))</f>
        <v/>
      </c>
      <c r="E181" s="97" t="str">
        <f aca="false">IF(C181="","",IFERROR(INDEX(Mapping!$B$5:$B$200,SUMPRODUCT(MAX((ISNUMBER(SEARCH(Mapping!$A$5:$A$200,UPPER(C181&amp;""))))*ROW(Mapping!$A$5:$A$200)))-4),""))</f>
        <v/>
      </c>
      <c r="F181" s="98"/>
      <c r="G181" s="99" t="n">
        <f aca="false">IF(F181="",G180,G180+IF(D181="Income",F181,IF(D181="Expense",-F181,F181)))</f>
        <v>3408.09</v>
      </c>
      <c r="H181" s="100" t="str">
        <f aca="false">IF(C181="","",IFERROR(INDEX(Mapping!$A$5:$A$200,SUMPRODUCT(MAX((ISNUMBER(SEARCH(Mapping!$A$5:$A$200,UPPER(C181&amp;""))))*ROW(Mapping!$A$5:$A$200)))-4)&amp;" → "&amp;INDEX(Mapping!$B$5:$B$200,SUMPRODUCT(MAX((ISNUMBER(SEARCH(Mapping!$A$5:$A$200,UPPER(C181&amp;""))))*ROW(Mapping!$A$5:$A$200)))-4),"❓ no rule (add to Mapping)"))</f>
        <v/>
      </c>
      <c r="I181" s="79" t="str">
        <f aca="false">IF(B181="","",TEXT(B181,"mmm"))</f>
        <v/>
      </c>
      <c r="J181" s="80" t="str">
        <f aca="false">IF(B181="","",YEAR(B181))</f>
        <v/>
      </c>
    </row>
    <row r="182" customFormat="false" ht="18" hidden="false" customHeight="true" outlineLevel="0" collapsed="false">
      <c r="A182" s="81" t="n">
        <v>177</v>
      </c>
      <c r="B182" s="95"/>
      <c r="C182" s="96"/>
      <c r="D182" s="96" t="str">
        <f aca="false">IF(C182="","",IF(OR(ISNUMBER(SEARCH("PAYROLL",UPPER(C182))),ISNUMBER(SEARCH("PAYCHECK",UPPER(C182))),ISNUMBER(SEARCH("DEPOSIT",UPPER(C182)))),"Income",IF(ISNUMBER(SEARCH("TRANSFER",UPPER(C182))),"Transfer","Expense")))</f>
        <v/>
      </c>
      <c r="E182" s="97" t="str">
        <f aca="false">IF(C182="","",IFERROR(INDEX(Mapping!$B$5:$B$200,SUMPRODUCT(MAX((ISNUMBER(SEARCH(Mapping!$A$5:$A$200,UPPER(C182&amp;""))))*ROW(Mapping!$A$5:$A$200)))-4),""))</f>
        <v/>
      </c>
      <c r="F182" s="98"/>
      <c r="G182" s="99" t="n">
        <f aca="false">IF(F182="",G181,G181+IF(D182="Income",F182,IF(D182="Expense",-F182,F182)))</f>
        <v>3408.09</v>
      </c>
      <c r="H182" s="100" t="str">
        <f aca="false">IF(C182="","",IFERROR(INDEX(Mapping!$A$5:$A$200,SUMPRODUCT(MAX((ISNUMBER(SEARCH(Mapping!$A$5:$A$200,UPPER(C182&amp;""))))*ROW(Mapping!$A$5:$A$200)))-4)&amp;" → "&amp;INDEX(Mapping!$B$5:$B$200,SUMPRODUCT(MAX((ISNUMBER(SEARCH(Mapping!$A$5:$A$200,UPPER(C182&amp;""))))*ROW(Mapping!$A$5:$A$200)))-4),"❓ no rule (add to Mapping)"))</f>
        <v/>
      </c>
      <c r="I182" s="79" t="str">
        <f aca="false">IF(B182="","",TEXT(B182,"mmm"))</f>
        <v/>
      </c>
      <c r="J182" s="80" t="str">
        <f aca="false">IF(B182="","",YEAR(B182))</f>
        <v/>
      </c>
    </row>
    <row r="183" customFormat="false" ht="18" hidden="false" customHeight="true" outlineLevel="0" collapsed="false">
      <c r="A183" s="81" t="n">
        <v>178</v>
      </c>
      <c r="B183" s="95"/>
      <c r="C183" s="96"/>
      <c r="D183" s="96" t="str">
        <f aca="false">IF(C183="","",IF(OR(ISNUMBER(SEARCH("PAYROLL",UPPER(C183))),ISNUMBER(SEARCH("PAYCHECK",UPPER(C183))),ISNUMBER(SEARCH("DEPOSIT",UPPER(C183)))),"Income",IF(ISNUMBER(SEARCH("TRANSFER",UPPER(C183))),"Transfer","Expense")))</f>
        <v/>
      </c>
      <c r="E183" s="97" t="str">
        <f aca="false">IF(C183="","",IFERROR(INDEX(Mapping!$B$5:$B$200,SUMPRODUCT(MAX((ISNUMBER(SEARCH(Mapping!$A$5:$A$200,UPPER(C183&amp;""))))*ROW(Mapping!$A$5:$A$200)))-4),""))</f>
        <v/>
      </c>
      <c r="F183" s="98"/>
      <c r="G183" s="99" t="n">
        <f aca="false">IF(F183="",G182,G182+IF(D183="Income",F183,IF(D183="Expense",-F183,F183)))</f>
        <v>3408.09</v>
      </c>
      <c r="H183" s="100" t="str">
        <f aca="false">IF(C183="","",IFERROR(INDEX(Mapping!$A$5:$A$200,SUMPRODUCT(MAX((ISNUMBER(SEARCH(Mapping!$A$5:$A$200,UPPER(C183&amp;""))))*ROW(Mapping!$A$5:$A$200)))-4)&amp;" → "&amp;INDEX(Mapping!$B$5:$B$200,SUMPRODUCT(MAX((ISNUMBER(SEARCH(Mapping!$A$5:$A$200,UPPER(C183&amp;""))))*ROW(Mapping!$A$5:$A$200)))-4),"❓ no rule (add to Mapping)"))</f>
        <v/>
      </c>
      <c r="I183" s="79" t="str">
        <f aca="false">IF(B183="","",TEXT(B183,"mmm"))</f>
        <v/>
      </c>
      <c r="J183" s="80" t="str">
        <f aca="false">IF(B183="","",YEAR(B183))</f>
        <v/>
      </c>
    </row>
    <row r="184" customFormat="false" ht="18" hidden="false" customHeight="true" outlineLevel="0" collapsed="false">
      <c r="A184" s="81" t="n">
        <v>179</v>
      </c>
      <c r="B184" s="95"/>
      <c r="C184" s="96"/>
      <c r="D184" s="96" t="str">
        <f aca="false">IF(C184="","",IF(OR(ISNUMBER(SEARCH("PAYROLL",UPPER(C184))),ISNUMBER(SEARCH("PAYCHECK",UPPER(C184))),ISNUMBER(SEARCH("DEPOSIT",UPPER(C184)))),"Income",IF(ISNUMBER(SEARCH("TRANSFER",UPPER(C184))),"Transfer","Expense")))</f>
        <v/>
      </c>
      <c r="E184" s="97" t="str">
        <f aca="false">IF(C184="","",IFERROR(INDEX(Mapping!$B$5:$B$200,SUMPRODUCT(MAX((ISNUMBER(SEARCH(Mapping!$A$5:$A$200,UPPER(C184&amp;""))))*ROW(Mapping!$A$5:$A$200)))-4),""))</f>
        <v/>
      </c>
      <c r="F184" s="98"/>
      <c r="G184" s="99" t="n">
        <f aca="false">IF(F184="",G183,G183+IF(D184="Income",F184,IF(D184="Expense",-F184,F184)))</f>
        <v>3408.09</v>
      </c>
      <c r="H184" s="100" t="str">
        <f aca="false">IF(C184="","",IFERROR(INDEX(Mapping!$A$5:$A$200,SUMPRODUCT(MAX((ISNUMBER(SEARCH(Mapping!$A$5:$A$200,UPPER(C184&amp;""))))*ROW(Mapping!$A$5:$A$200)))-4)&amp;" → "&amp;INDEX(Mapping!$B$5:$B$200,SUMPRODUCT(MAX((ISNUMBER(SEARCH(Mapping!$A$5:$A$200,UPPER(C184&amp;""))))*ROW(Mapping!$A$5:$A$200)))-4),"❓ no rule (add to Mapping)"))</f>
        <v/>
      </c>
      <c r="I184" s="79" t="str">
        <f aca="false">IF(B184="","",TEXT(B184,"mmm"))</f>
        <v/>
      </c>
      <c r="J184" s="80" t="str">
        <f aca="false">IF(B184="","",YEAR(B184))</f>
        <v/>
      </c>
    </row>
    <row r="185" customFormat="false" ht="18" hidden="false" customHeight="true" outlineLevel="0" collapsed="false">
      <c r="A185" s="81" t="n">
        <v>180</v>
      </c>
      <c r="B185" s="95"/>
      <c r="C185" s="96"/>
      <c r="D185" s="96" t="str">
        <f aca="false">IF(C185="","",IF(OR(ISNUMBER(SEARCH("PAYROLL",UPPER(C185))),ISNUMBER(SEARCH("PAYCHECK",UPPER(C185))),ISNUMBER(SEARCH("DEPOSIT",UPPER(C185)))),"Income",IF(ISNUMBER(SEARCH("TRANSFER",UPPER(C185))),"Transfer","Expense")))</f>
        <v/>
      </c>
      <c r="E185" s="97" t="str">
        <f aca="false">IF(C185="","",IFERROR(INDEX(Mapping!$B$5:$B$200,SUMPRODUCT(MAX((ISNUMBER(SEARCH(Mapping!$A$5:$A$200,UPPER(C185&amp;""))))*ROW(Mapping!$A$5:$A$200)))-4),""))</f>
        <v/>
      </c>
      <c r="F185" s="98"/>
      <c r="G185" s="99" t="n">
        <f aca="false">IF(F185="",G184,G184+IF(D185="Income",F185,IF(D185="Expense",-F185,F185)))</f>
        <v>3408.09</v>
      </c>
      <c r="H185" s="100" t="str">
        <f aca="false">IF(C185="","",IFERROR(INDEX(Mapping!$A$5:$A$200,SUMPRODUCT(MAX((ISNUMBER(SEARCH(Mapping!$A$5:$A$200,UPPER(C185&amp;""))))*ROW(Mapping!$A$5:$A$200)))-4)&amp;" → "&amp;INDEX(Mapping!$B$5:$B$200,SUMPRODUCT(MAX((ISNUMBER(SEARCH(Mapping!$A$5:$A$200,UPPER(C185&amp;""))))*ROW(Mapping!$A$5:$A$200)))-4),"❓ no rule (add to Mapping)"))</f>
        <v/>
      </c>
      <c r="I185" s="79" t="str">
        <f aca="false">IF(B185="","",TEXT(B185,"mmm"))</f>
        <v/>
      </c>
      <c r="J185" s="80" t="str">
        <f aca="false">IF(B185="","",YEAR(B185))</f>
        <v/>
      </c>
    </row>
    <row r="186" customFormat="false" ht="18" hidden="false" customHeight="true" outlineLevel="0" collapsed="false">
      <c r="A186" s="81" t="n">
        <v>181</v>
      </c>
      <c r="B186" s="95"/>
      <c r="C186" s="96"/>
      <c r="D186" s="96" t="str">
        <f aca="false">IF(C186="","",IF(OR(ISNUMBER(SEARCH("PAYROLL",UPPER(C186))),ISNUMBER(SEARCH("PAYCHECK",UPPER(C186))),ISNUMBER(SEARCH("DEPOSIT",UPPER(C186)))),"Income",IF(ISNUMBER(SEARCH("TRANSFER",UPPER(C186))),"Transfer","Expense")))</f>
        <v/>
      </c>
      <c r="E186" s="97" t="str">
        <f aca="false">IF(C186="","",IFERROR(INDEX(Mapping!$B$5:$B$200,SUMPRODUCT(MAX((ISNUMBER(SEARCH(Mapping!$A$5:$A$200,UPPER(C186&amp;""))))*ROW(Mapping!$A$5:$A$200)))-4),""))</f>
        <v/>
      </c>
      <c r="F186" s="98"/>
      <c r="G186" s="99" t="n">
        <f aca="false">IF(F186="",G185,G185+IF(D186="Income",F186,IF(D186="Expense",-F186,F186)))</f>
        <v>3408.09</v>
      </c>
      <c r="H186" s="100" t="str">
        <f aca="false">IF(C186="","",IFERROR(INDEX(Mapping!$A$5:$A$200,SUMPRODUCT(MAX((ISNUMBER(SEARCH(Mapping!$A$5:$A$200,UPPER(C186&amp;""))))*ROW(Mapping!$A$5:$A$200)))-4)&amp;" → "&amp;INDEX(Mapping!$B$5:$B$200,SUMPRODUCT(MAX((ISNUMBER(SEARCH(Mapping!$A$5:$A$200,UPPER(C186&amp;""))))*ROW(Mapping!$A$5:$A$200)))-4),"❓ no rule (add to Mapping)"))</f>
        <v/>
      </c>
      <c r="I186" s="79" t="str">
        <f aca="false">IF(B186="","",TEXT(B186,"mmm"))</f>
        <v/>
      </c>
      <c r="J186" s="80" t="str">
        <f aca="false">IF(B186="","",YEAR(B186))</f>
        <v/>
      </c>
    </row>
    <row r="187" customFormat="false" ht="18" hidden="false" customHeight="true" outlineLevel="0" collapsed="false">
      <c r="A187" s="81" t="n">
        <v>182</v>
      </c>
      <c r="B187" s="95"/>
      <c r="C187" s="96"/>
      <c r="D187" s="96" t="str">
        <f aca="false">IF(C187="","",IF(OR(ISNUMBER(SEARCH("PAYROLL",UPPER(C187))),ISNUMBER(SEARCH("PAYCHECK",UPPER(C187))),ISNUMBER(SEARCH("DEPOSIT",UPPER(C187)))),"Income",IF(ISNUMBER(SEARCH("TRANSFER",UPPER(C187))),"Transfer","Expense")))</f>
        <v/>
      </c>
      <c r="E187" s="97" t="str">
        <f aca="false">IF(C187="","",IFERROR(INDEX(Mapping!$B$5:$B$200,SUMPRODUCT(MAX((ISNUMBER(SEARCH(Mapping!$A$5:$A$200,UPPER(C187&amp;""))))*ROW(Mapping!$A$5:$A$200)))-4),""))</f>
        <v/>
      </c>
      <c r="F187" s="98"/>
      <c r="G187" s="99" t="n">
        <f aca="false">IF(F187="",G186,G186+IF(D187="Income",F187,IF(D187="Expense",-F187,F187)))</f>
        <v>3408.09</v>
      </c>
      <c r="H187" s="100" t="str">
        <f aca="false">IF(C187="","",IFERROR(INDEX(Mapping!$A$5:$A$200,SUMPRODUCT(MAX((ISNUMBER(SEARCH(Mapping!$A$5:$A$200,UPPER(C187&amp;""))))*ROW(Mapping!$A$5:$A$200)))-4)&amp;" → "&amp;INDEX(Mapping!$B$5:$B$200,SUMPRODUCT(MAX((ISNUMBER(SEARCH(Mapping!$A$5:$A$200,UPPER(C187&amp;""))))*ROW(Mapping!$A$5:$A$200)))-4),"❓ no rule (add to Mapping)"))</f>
        <v/>
      </c>
      <c r="I187" s="79" t="str">
        <f aca="false">IF(B187="","",TEXT(B187,"mmm"))</f>
        <v/>
      </c>
      <c r="J187" s="80" t="str">
        <f aca="false">IF(B187="","",YEAR(B187))</f>
        <v/>
      </c>
    </row>
    <row r="188" customFormat="false" ht="18" hidden="false" customHeight="true" outlineLevel="0" collapsed="false">
      <c r="A188" s="81" t="n">
        <v>183</v>
      </c>
      <c r="B188" s="95"/>
      <c r="C188" s="96"/>
      <c r="D188" s="96" t="str">
        <f aca="false">IF(C188="","",IF(OR(ISNUMBER(SEARCH("PAYROLL",UPPER(C188))),ISNUMBER(SEARCH("PAYCHECK",UPPER(C188))),ISNUMBER(SEARCH("DEPOSIT",UPPER(C188)))),"Income",IF(ISNUMBER(SEARCH("TRANSFER",UPPER(C188))),"Transfer","Expense")))</f>
        <v/>
      </c>
      <c r="E188" s="97" t="str">
        <f aca="false">IF(C188="","",IFERROR(INDEX(Mapping!$B$5:$B$200,SUMPRODUCT(MAX((ISNUMBER(SEARCH(Mapping!$A$5:$A$200,UPPER(C188&amp;""))))*ROW(Mapping!$A$5:$A$200)))-4),""))</f>
        <v/>
      </c>
      <c r="F188" s="98"/>
      <c r="G188" s="99" t="n">
        <f aca="false">IF(F188="",G187,G187+IF(D188="Income",F188,IF(D188="Expense",-F188,F188)))</f>
        <v>3408.09</v>
      </c>
      <c r="H188" s="100" t="str">
        <f aca="false">IF(C188="","",IFERROR(INDEX(Mapping!$A$5:$A$200,SUMPRODUCT(MAX((ISNUMBER(SEARCH(Mapping!$A$5:$A$200,UPPER(C188&amp;""))))*ROW(Mapping!$A$5:$A$200)))-4)&amp;" → "&amp;INDEX(Mapping!$B$5:$B$200,SUMPRODUCT(MAX((ISNUMBER(SEARCH(Mapping!$A$5:$A$200,UPPER(C188&amp;""))))*ROW(Mapping!$A$5:$A$200)))-4),"❓ no rule (add to Mapping)"))</f>
        <v/>
      </c>
      <c r="I188" s="79" t="str">
        <f aca="false">IF(B188="","",TEXT(B188,"mmm"))</f>
        <v/>
      </c>
      <c r="J188" s="80" t="str">
        <f aca="false">IF(B188="","",YEAR(B188))</f>
        <v/>
      </c>
    </row>
    <row r="189" customFormat="false" ht="18" hidden="false" customHeight="true" outlineLevel="0" collapsed="false">
      <c r="A189" s="81" t="n">
        <v>184</v>
      </c>
      <c r="B189" s="95"/>
      <c r="C189" s="96"/>
      <c r="D189" s="96" t="str">
        <f aca="false">IF(C189="","",IF(OR(ISNUMBER(SEARCH("PAYROLL",UPPER(C189))),ISNUMBER(SEARCH("PAYCHECK",UPPER(C189))),ISNUMBER(SEARCH("DEPOSIT",UPPER(C189)))),"Income",IF(ISNUMBER(SEARCH("TRANSFER",UPPER(C189))),"Transfer","Expense")))</f>
        <v/>
      </c>
      <c r="E189" s="97" t="str">
        <f aca="false">IF(C189="","",IFERROR(INDEX(Mapping!$B$5:$B$200,SUMPRODUCT(MAX((ISNUMBER(SEARCH(Mapping!$A$5:$A$200,UPPER(C189&amp;""))))*ROW(Mapping!$A$5:$A$200)))-4),""))</f>
        <v/>
      </c>
      <c r="F189" s="98"/>
      <c r="G189" s="99" t="n">
        <f aca="false">IF(F189="",G188,G188+IF(D189="Income",F189,IF(D189="Expense",-F189,F189)))</f>
        <v>3408.09</v>
      </c>
      <c r="H189" s="100" t="str">
        <f aca="false">IF(C189="","",IFERROR(INDEX(Mapping!$A$5:$A$200,SUMPRODUCT(MAX((ISNUMBER(SEARCH(Mapping!$A$5:$A$200,UPPER(C189&amp;""))))*ROW(Mapping!$A$5:$A$200)))-4)&amp;" → "&amp;INDEX(Mapping!$B$5:$B$200,SUMPRODUCT(MAX((ISNUMBER(SEARCH(Mapping!$A$5:$A$200,UPPER(C189&amp;""))))*ROW(Mapping!$A$5:$A$200)))-4),"❓ no rule (add to Mapping)"))</f>
        <v/>
      </c>
      <c r="I189" s="79" t="str">
        <f aca="false">IF(B189="","",TEXT(B189,"mmm"))</f>
        <v/>
      </c>
      <c r="J189" s="80" t="str">
        <f aca="false">IF(B189="","",YEAR(B189))</f>
        <v/>
      </c>
    </row>
    <row r="190" customFormat="false" ht="18" hidden="false" customHeight="true" outlineLevel="0" collapsed="false">
      <c r="A190" s="81" t="n">
        <v>185</v>
      </c>
      <c r="B190" s="95"/>
      <c r="C190" s="96"/>
      <c r="D190" s="96" t="str">
        <f aca="false">IF(C190="","",IF(OR(ISNUMBER(SEARCH("PAYROLL",UPPER(C190))),ISNUMBER(SEARCH("PAYCHECK",UPPER(C190))),ISNUMBER(SEARCH("DEPOSIT",UPPER(C190)))),"Income",IF(ISNUMBER(SEARCH("TRANSFER",UPPER(C190))),"Transfer","Expense")))</f>
        <v/>
      </c>
      <c r="E190" s="97" t="str">
        <f aca="false">IF(C190="","",IFERROR(INDEX(Mapping!$B$5:$B$200,SUMPRODUCT(MAX((ISNUMBER(SEARCH(Mapping!$A$5:$A$200,UPPER(C190&amp;""))))*ROW(Mapping!$A$5:$A$200)))-4),""))</f>
        <v/>
      </c>
      <c r="F190" s="98"/>
      <c r="G190" s="99" t="n">
        <f aca="false">IF(F190="",G189,G189+IF(D190="Income",F190,IF(D190="Expense",-F190,F190)))</f>
        <v>3408.09</v>
      </c>
      <c r="H190" s="100" t="str">
        <f aca="false">IF(C190="","",IFERROR(INDEX(Mapping!$A$5:$A$200,SUMPRODUCT(MAX((ISNUMBER(SEARCH(Mapping!$A$5:$A$200,UPPER(C190&amp;""))))*ROW(Mapping!$A$5:$A$200)))-4)&amp;" → "&amp;INDEX(Mapping!$B$5:$B$200,SUMPRODUCT(MAX((ISNUMBER(SEARCH(Mapping!$A$5:$A$200,UPPER(C190&amp;""))))*ROW(Mapping!$A$5:$A$200)))-4),"❓ no rule (add to Mapping)"))</f>
        <v/>
      </c>
      <c r="I190" s="79" t="str">
        <f aca="false">IF(B190="","",TEXT(B190,"mmm"))</f>
        <v/>
      </c>
      <c r="J190" s="80" t="str">
        <f aca="false">IF(B190="","",YEAR(B190))</f>
        <v/>
      </c>
    </row>
    <row r="191" customFormat="false" ht="18" hidden="false" customHeight="true" outlineLevel="0" collapsed="false">
      <c r="A191" s="81" t="n">
        <v>186</v>
      </c>
      <c r="B191" s="95"/>
      <c r="C191" s="96"/>
      <c r="D191" s="96" t="str">
        <f aca="false">IF(C191="","",IF(OR(ISNUMBER(SEARCH("PAYROLL",UPPER(C191))),ISNUMBER(SEARCH("PAYCHECK",UPPER(C191))),ISNUMBER(SEARCH("DEPOSIT",UPPER(C191)))),"Income",IF(ISNUMBER(SEARCH("TRANSFER",UPPER(C191))),"Transfer","Expense")))</f>
        <v/>
      </c>
      <c r="E191" s="97" t="str">
        <f aca="false">IF(C191="","",IFERROR(INDEX(Mapping!$B$5:$B$200,SUMPRODUCT(MAX((ISNUMBER(SEARCH(Mapping!$A$5:$A$200,UPPER(C191&amp;""))))*ROW(Mapping!$A$5:$A$200)))-4),""))</f>
        <v/>
      </c>
      <c r="F191" s="98"/>
      <c r="G191" s="99" t="n">
        <f aca="false">IF(F191="",G190,G190+IF(D191="Income",F191,IF(D191="Expense",-F191,F191)))</f>
        <v>3408.09</v>
      </c>
      <c r="H191" s="100" t="str">
        <f aca="false">IF(C191="","",IFERROR(INDEX(Mapping!$A$5:$A$200,SUMPRODUCT(MAX((ISNUMBER(SEARCH(Mapping!$A$5:$A$200,UPPER(C191&amp;""))))*ROW(Mapping!$A$5:$A$200)))-4)&amp;" → "&amp;INDEX(Mapping!$B$5:$B$200,SUMPRODUCT(MAX((ISNUMBER(SEARCH(Mapping!$A$5:$A$200,UPPER(C191&amp;""))))*ROW(Mapping!$A$5:$A$200)))-4),"❓ no rule (add to Mapping)"))</f>
        <v/>
      </c>
      <c r="I191" s="79" t="str">
        <f aca="false">IF(B191="","",TEXT(B191,"mmm"))</f>
        <v/>
      </c>
      <c r="J191" s="80" t="str">
        <f aca="false">IF(B191="","",YEAR(B191))</f>
        <v/>
      </c>
    </row>
    <row r="192" customFormat="false" ht="18" hidden="false" customHeight="true" outlineLevel="0" collapsed="false">
      <c r="A192" s="81" t="n">
        <v>187</v>
      </c>
      <c r="B192" s="95"/>
      <c r="C192" s="96"/>
      <c r="D192" s="96" t="str">
        <f aca="false">IF(C192="","",IF(OR(ISNUMBER(SEARCH("PAYROLL",UPPER(C192))),ISNUMBER(SEARCH("PAYCHECK",UPPER(C192))),ISNUMBER(SEARCH("DEPOSIT",UPPER(C192)))),"Income",IF(ISNUMBER(SEARCH("TRANSFER",UPPER(C192))),"Transfer","Expense")))</f>
        <v/>
      </c>
      <c r="E192" s="97" t="str">
        <f aca="false">IF(C192="","",IFERROR(INDEX(Mapping!$B$5:$B$200,SUMPRODUCT(MAX((ISNUMBER(SEARCH(Mapping!$A$5:$A$200,UPPER(C192&amp;""))))*ROW(Mapping!$A$5:$A$200)))-4),""))</f>
        <v/>
      </c>
      <c r="F192" s="98"/>
      <c r="G192" s="99" t="n">
        <f aca="false">IF(F192="",G191,G191+IF(D192="Income",F192,IF(D192="Expense",-F192,F192)))</f>
        <v>3408.09</v>
      </c>
      <c r="H192" s="100" t="str">
        <f aca="false">IF(C192="","",IFERROR(INDEX(Mapping!$A$5:$A$200,SUMPRODUCT(MAX((ISNUMBER(SEARCH(Mapping!$A$5:$A$200,UPPER(C192&amp;""))))*ROW(Mapping!$A$5:$A$200)))-4)&amp;" → "&amp;INDEX(Mapping!$B$5:$B$200,SUMPRODUCT(MAX((ISNUMBER(SEARCH(Mapping!$A$5:$A$200,UPPER(C192&amp;""))))*ROW(Mapping!$A$5:$A$200)))-4),"❓ no rule (add to Mapping)"))</f>
        <v/>
      </c>
      <c r="I192" s="79" t="str">
        <f aca="false">IF(B192="","",TEXT(B192,"mmm"))</f>
        <v/>
      </c>
      <c r="J192" s="80" t="str">
        <f aca="false">IF(B192="","",YEAR(B192))</f>
        <v/>
      </c>
    </row>
    <row r="193" customFormat="false" ht="18" hidden="false" customHeight="true" outlineLevel="0" collapsed="false">
      <c r="A193" s="81" t="n">
        <v>188</v>
      </c>
      <c r="B193" s="95"/>
      <c r="C193" s="96"/>
      <c r="D193" s="96" t="str">
        <f aca="false">IF(C193="","",IF(OR(ISNUMBER(SEARCH("PAYROLL",UPPER(C193))),ISNUMBER(SEARCH("PAYCHECK",UPPER(C193))),ISNUMBER(SEARCH("DEPOSIT",UPPER(C193)))),"Income",IF(ISNUMBER(SEARCH("TRANSFER",UPPER(C193))),"Transfer","Expense")))</f>
        <v/>
      </c>
      <c r="E193" s="97" t="str">
        <f aca="false">IF(C193="","",IFERROR(INDEX(Mapping!$B$5:$B$200,SUMPRODUCT(MAX((ISNUMBER(SEARCH(Mapping!$A$5:$A$200,UPPER(C193&amp;""))))*ROW(Mapping!$A$5:$A$200)))-4),""))</f>
        <v/>
      </c>
      <c r="F193" s="98"/>
      <c r="G193" s="99" t="n">
        <f aca="false">IF(F193="",G192,G192+IF(D193="Income",F193,IF(D193="Expense",-F193,F193)))</f>
        <v>3408.09</v>
      </c>
      <c r="H193" s="100" t="str">
        <f aca="false">IF(C193="","",IFERROR(INDEX(Mapping!$A$5:$A$200,SUMPRODUCT(MAX((ISNUMBER(SEARCH(Mapping!$A$5:$A$200,UPPER(C193&amp;""))))*ROW(Mapping!$A$5:$A$200)))-4)&amp;" → "&amp;INDEX(Mapping!$B$5:$B$200,SUMPRODUCT(MAX((ISNUMBER(SEARCH(Mapping!$A$5:$A$200,UPPER(C193&amp;""))))*ROW(Mapping!$A$5:$A$200)))-4),"❓ no rule (add to Mapping)"))</f>
        <v/>
      </c>
      <c r="I193" s="79" t="str">
        <f aca="false">IF(B193="","",TEXT(B193,"mmm"))</f>
        <v/>
      </c>
      <c r="J193" s="80" t="str">
        <f aca="false">IF(B193="","",YEAR(B193))</f>
        <v/>
      </c>
    </row>
    <row r="194" customFormat="false" ht="18" hidden="false" customHeight="true" outlineLevel="0" collapsed="false">
      <c r="A194" s="81" t="n">
        <v>189</v>
      </c>
      <c r="B194" s="95"/>
      <c r="C194" s="96"/>
      <c r="D194" s="96" t="str">
        <f aca="false">IF(C194="","",IF(OR(ISNUMBER(SEARCH("PAYROLL",UPPER(C194))),ISNUMBER(SEARCH("PAYCHECK",UPPER(C194))),ISNUMBER(SEARCH("DEPOSIT",UPPER(C194)))),"Income",IF(ISNUMBER(SEARCH("TRANSFER",UPPER(C194))),"Transfer","Expense")))</f>
        <v/>
      </c>
      <c r="E194" s="97" t="str">
        <f aca="false">IF(C194="","",IFERROR(INDEX(Mapping!$B$5:$B$200,SUMPRODUCT(MAX((ISNUMBER(SEARCH(Mapping!$A$5:$A$200,UPPER(C194&amp;""))))*ROW(Mapping!$A$5:$A$200)))-4),""))</f>
        <v/>
      </c>
      <c r="F194" s="98"/>
      <c r="G194" s="99" t="n">
        <f aca="false">IF(F194="",G193,G193+IF(D194="Income",F194,IF(D194="Expense",-F194,F194)))</f>
        <v>3408.09</v>
      </c>
      <c r="H194" s="100" t="str">
        <f aca="false">IF(C194="","",IFERROR(INDEX(Mapping!$A$5:$A$200,SUMPRODUCT(MAX((ISNUMBER(SEARCH(Mapping!$A$5:$A$200,UPPER(C194&amp;""))))*ROW(Mapping!$A$5:$A$200)))-4)&amp;" → "&amp;INDEX(Mapping!$B$5:$B$200,SUMPRODUCT(MAX((ISNUMBER(SEARCH(Mapping!$A$5:$A$200,UPPER(C194&amp;""))))*ROW(Mapping!$A$5:$A$200)))-4),"❓ no rule (add to Mapping)"))</f>
        <v/>
      </c>
      <c r="I194" s="79" t="str">
        <f aca="false">IF(B194="","",TEXT(B194,"mmm"))</f>
        <v/>
      </c>
      <c r="J194" s="80" t="str">
        <f aca="false">IF(B194="","",YEAR(B194))</f>
        <v/>
      </c>
    </row>
    <row r="195" customFormat="false" ht="18" hidden="false" customHeight="true" outlineLevel="0" collapsed="false">
      <c r="A195" s="81" t="n">
        <v>190</v>
      </c>
      <c r="B195" s="95"/>
      <c r="C195" s="96"/>
      <c r="D195" s="96" t="str">
        <f aca="false">IF(C195="","",IF(OR(ISNUMBER(SEARCH("PAYROLL",UPPER(C195))),ISNUMBER(SEARCH("PAYCHECK",UPPER(C195))),ISNUMBER(SEARCH("DEPOSIT",UPPER(C195)))),"Income",IF(ISNUMBER(SEARCH("TRANSFER",UPPER(C195))),"Transfer","Expense")))</f>
        <v/>
      </c>
      <c r="E195" s="97" t="str">
        <f aca="false">IF(C195="","",IFERROR(INDEX(Mapping!$B$5:$B$200,SUMPRODUCT(MAX((ISNUMBER(SEARCH(Mapping!$A$5:$A$200,UPPER(C195&amp;""))))*ROW(Mapping!$A$5:$A$200)))-4),""))</f>
        <v/>
      </c>
      <c r="F195" s="98"/>
      <c r="G195" s="99" t="n">
        <f aca="false">IF(F195="",G194,G194+IF(D195="Income",F195,IF(D195="Expense",-F195,F195)))</f>
        <v>3408.09</v>
      </c>
      <c r="H195" s="100" t="str">
        <f aca="false">IF(C195="","",IFERROR(INDEX(Mapping!$A$5:$A$200,SUMPRODUCT(MAX((ISNUMBER(SEARCH(Mapping!$A$5:$A$200,UPPER(C195&amp;""))))*ROW(Mapping!$A$5:$A$200)))-4)&amp;" → "&amp;INDEX(Mapping!$B$5:$B$200,SUMPRODUCT(MAX((ISNUMBER(SEARCH(Mapping!$A$5:$A$200,UPPER(C195&amp;""))))*ROW(Mapping!$A$5:$A$200)))-4),"❓ no rule (add to Mapping)"))</f>
        <v/>
      </c>
      <c r="I195" s="79" t="str">
        <f aca="false">IF(B195="","",TEXT(B195,"mmm"))</f>
        <v/>
      </c>
      <c r="J195" s="80" t="str">
        <f aca="false">IF(B195="","",YEAR(B195))</f>
        <v/>
      </c>
    </row>
    <row r="196" customFormat="false" ht="18" hidden="false" customHeight="true" outlineLevel="0" collapsed="false">
      <c r="A196" s="81" t="n">
        <v>191</v>
      </c>
      <c r="B196" s="95"/>
      <c r="C196" s="96"/>
      <c r="D196" s="96" t="str">
        <f aca="false">IF(C196="","",IF(OR(ISNUMBER(SEARCH("PAYROLL",UPPER(C196))),ISNUMBER(SEARCH("PAYCHECK",UPPER(C196))),ISNUMBER(SEARCH("DEPOSIT",UPPER(C196)))),"Income",IF(ISNUMBER(SEARCH("TRANSFER",UPPER(C196))),"Transfer","Expense")))</f>
        <v/>
      </c>
      <c r="E196" s="97" t="str">
        <f aca="false">IF(C196="","",IFERROR(INDEX(Mapping!$B$5:$B$200,SUMPRODUCT(MAX((ISNUMBER(SEARCH(Mapping!$A$5:$A$200,UPPER(C196&amp;""))))*ROW(Mapping!$A$5:$A$200)))-4),""))</f>
        <v/>
      </c>
      <c r="F196" s="98"/>
      <c r="G196" s="99" t="n">
        <f aca="false">IF(F196="",G195,G195+IF(D196="Income",F196,IF(D196="Expense",-F196,F196)))</f>
        <v>3408.09</v>
      </c>
      <c r="H196" s="100" t="str">
        <f aca="false">IF(C196="","",IFERROR(INDEX(Mapping!$A$5:$A$200,SUMPRODUCT(MAX((ISNUMBER(SEARCH(Mapping!$A$5:$A$200,UPPER(C196&amp;""))))*ROW(Mapping!$A$5:$A$200)))-4)&amp;" → "&amp;INDEX(Mapping!$B$5:$B$200,SUMPRODUCT(MAX((ISNUMBER(SEARCH(Mapping!$A$5:$A$200,UPPER(C196&amp;""))))*ROW(Mapping!$A$5:$A$200)))-4),"❓ no rule (add to Mapping)"))</f>
        <v/>
      </c>
      <c r="I196" s="79" t="str">
        <f aca="false">IF(B196="","",TEXT(B196,"mmm"))</f>
        <v/>
      </c>
      <c r="J196" s="80" t="str">
        <f aca="false">IF(B196="","",YEAR(B196))</f>
        <v/>
      </c>
    </row>
    <row r="197" customFormat="false" ht="18" hidden="false" customHeight="true" outlineLevel="0" collapsed="false">
      <c r="A197" s="81" t="n">
        <v>192</v>
      </c>
      <c r="B197" s="95"/>
      <c r="C197" s="96"/>
      <c r="D197" s="96" t="str">
        <f aca="false">IF(C197="","",IF(OR(ISNUMBER(SEARCH("PAYROLL",UPPER(C197))),ISNUMBER(SEARCH("PAYCHECK",UPPER(C197))),ISNUMBER(SEARCH("DEPOSIT",UPPER(C197)))),"Income",IF(ISNUMBER(SEARCH("TRANSFER",UPPER(C197))),"Transfer","Expense")))</f>
        <v/>
      </c>
      <c r="E197" s="97" t="str">
        <f aca="false">IF(C197="","",IFERROR(INDEX(Mapping!$B$5:$B$200,SUMPRODUCT(MAX((ISNUMBER(SEARCH(Mapping!$A$5:$A$200,UPPER(C197&amp;""))))*ROW(Mapping!$A$5:$A$200)))-4),""))</f>
        <v/>
      </c>
      <c r="F197" s="98"/>
      <c r="G197" s="99" t="n">
        <f aca="false">IF(F197="",G196,G196+IF(D197="Income",F197,IF(D197="Expense",-F197,F197)))</f>
        <v>3408.09</v>
      </c>
      <c r="H197" s="100" t="str">
        <f aca="false">IF(C197="","",IFERROR(INDEX(Mapping!$A$5:$A$200,SUMPRODUCT(MAX((ISNUMBER(SEARCH(Mapping!$A$5:$A$200,UPPER(C197&amp;""))))*ROW(Mapping!$A$5:$A$200)))-4)&amp;" → "&amp;INDEX(Mapping!$B$5:$B$200,SUMPRODUCT(MAX((ISNUMBER(SEARCH(Mapping!$A$5:$A$200,UPPER(C197&amp;""))))*ROW(Mapping!$A$5:$A$200)))-4),"❓ no rule (add to Mapping)"))</f>
        <v/>
      </c>
      <c r="I197" s="79" t="str">
        <f aca="false">IF(B197="","",TEXT(B197,"mmm"))</f>
        <v/>
      </c>
      <c r="J197" s="80" t="str">
        <f aca="false">IF(B197="","",YEAR(B197))</f>
        <v/>
      </c>
    </row>
    <row r="198" customFormat="false" ht="18" hidden="false" customHeight="true" outlineLevel="0" collapsed="false">
      <c r="A198" s="81" t="n">
        <v>193</v>
      </c>
      <c r="B198" s="95"/>
      <c r="C198" s="96"/>
      <c r="D198" s="96" t="str">
        <f aca="false">IF(C198="","",IF(OR(ISNUMBER(SEARCH("PAYROLL",UPPER(C198))),ISNUMBER(SEARCH("PAYCHECK",UPPER(C198))),ISNUMBER(SEARCH("DEPOSIT",UPPER(C198)))),"Income",IF(ISNUMBER(SEARCH("TRANSFER",UPPER(C198))),"Transfer","Expense")))</f>
        <v/>
      </c>
      <c r="E198" s="97" t="str">
        <f aca="false">IF(C198="","",IFERROR(INDEX(Mapping!$B$5:$B$200,SUMPRODUCT(MAX((ISNUMBER(SEARCH(Mapping!$A$5:$A$200,UPPER(C198&amp;""))))*ROW(Mapping!$A$5:$A$200)))-4),""))</f>
        <v/>
      </c>
      <c r="F198" s="98"/>
      <c r="G198" s="99" t="n">
        <f aca="false">IF(F198="",G197,G197+IF(D198="Income",F198,IF(D198="Expense",-F198,F198)))</f>
        <v>3408.09</v>
      </c>
      <c r="H198" s="100" t="str">
        <f aca="false">IF(C198="","",IFERROR(INDEX(Mapping!$A$5:$A$200,SUMPRODUCT(MAX((ISNUMBER(SEARCH(Mapping!$A$5:$A$200,UPPER(C198&amp;""))))*ROW(Mapping!$A$5:$A$200)))-4)&amp;" → "&amp;INDEX(Mapping!$B$5:$B$200,SUMPRODUCT(MAX((ISNUMBER(SEARCH(Mapping!$A$5:$A$200,UPPER(C198&amp;""))))*ROW(Mapping!$A$5:$A$200)))-4),"❓ no rule (add to Mapping)"))</f>
        <v/>
      </c>
      <c r="I198" s="79" t="str">
        <f aca="false">IF(B198="","",TEXT(B198,"mmm"))</f>
        <v/>
      </c>
      <c r="J198" s="80" t="str">
        <f aca="false">IF(B198="","",YEAR(B198))</f>
        <v/>
      </c>
    </row>
    <row r="199" customFormat="false" ht="18" hidden="false" customHeight="true" outlineLevel="0" collapsed="false">
      <c r="A199" s="81" t="n">
        <v>194</v>
      </c>
      <c r="B199" s="95"/>
      <c r="C199" s="96"/>
      <c r="D199" s="96" t="str">
        <f aca="false">IF(C199="","",IF(OR(ISNUMBER(SEARCH("PAYROLL",UPPER(C199))),ISNUMBER(SEARCH("PAYCHECK",UPPER(C199))),ISNUMBER(SEARCH("DEPOSIT",UPPER(C199)))),"Income",IF(ISNUMBER(SEARCH("TRANSFER",UPPER(C199))),"Transfer","Expense")))</f>
        <v/>
      </c>
      <c r="E199" s="97" t="str">
        <f aca="false">IF(C199="","",IFERROR(INDEX(Mapping!$B$5:$B$200,SUMPRODUCT(MAX((ISNUMBER(SEARCH(Mapping!$A$5:$A$200,UPPER(C199&amp;""))))*ROW(Mapping!$A$5:$A$200)))-4),""))</f>
        <v/>
      </c>
      <c r="F199" s="98"/>
      <c r="G199" s="99" t="n">
        <f aca="false">IF(F199="",G198,G198+IF(D199="Income",F199,IF(D199="Expense",-F199,F199)))</f>
        <v>3408.09</v>
      </c>
      <c r="H199" s="100" t="str">
        <f aca="false">IF(C199="","",IFERROR(INDEX(Mapping!$A$5:$A$200,SUMPRODUCT(MAX((ISNUMBER(SEARCH(Mapping!$A$5:$A$200,UPPER(C199&amp;""))))*ROW(Mapping!$A$5:$A$200)))-4)&amp;" → "&amp;INDEX(Mapping!$B$5:$B$200,SUMPRODUCT(MAX((ISNUMBER(SEARCH(Mapping!$A$5:$A$200,UPPER(C199&amp;""))))*ROW(Mapping!$A$5:$A$200)))-4),"❓ no rule (add to Mapping)"))</f>
        <v/>
      </c>
      <c r="I199" s="79" t="str">
        <f aca="false">IF(B199="","",TEXT(B199,"mmm"))</f>
        <v/>
      </c>
      <c r="J199" s="80" t="str">
        <f aca="false">IF(B199="","",YEAR(B199))</f>
        <v/>
      </c>
    </row>
    <row r="200" customFormat="false" ht="18" hidden="false" customHeight="true" outlineLevel="0" collapsed="false">
      <c r="A200" s="81" t="n">
        <v>195</v>
      </c>
      <c r="B200" s="95"/>
      <c r="C200" s="96"/>
      <c r="D200" s="96" t="str">
        <f aca="false">IF(C200="","",IF(OR(ISNUMBER(SEARCH("PAYROLL",UPPER(C200))),ISNUMBER(SEARCH("PAYCHECK",UPPER(C200))),ISNUMBER(SEARCH("DEPOSIT",UPPER(C200)))),"Income",IF(ISNUMBER(SEARCH("TRANSFER",UPPER(C200))),"Transfer","Expense")))</f>
        <v/>
      </c>
      <c r="E200" s="97" t="str">
        <f aca="false">IF(C200="","",IFERROR(INDEX(Mapping!$B$5:$B$200,SUMPRODUCT(MAX((ISNUMBER(SEARCH(Mapping!$A$5:$A$200,UPPER(C200&amp;""))))*ROW(Mapping!$A$5:$A$200)))-4),""))</f>
        <v/>
      </c>
      <c r="F200" s="98"/>
      <c r="G200" s="99" t="n">
        <f aca="false">IF(F200="",G199,G199+IF(D200="Income",F200,IF(D200="Expense",-F200,F200)))</f>
        <v>3408.09</v>
      </c>
      <c r="H200" s="100" t="str">
        <f aca="false">IF(C200="","",IFERROR(INDEX(Mapping!$A$5:$A$200,SUMPRODUCT(MAX((ISNUMBER(SEARCH(Mapping!$A$5:$A$200,UPPER(C200&amp;""))))*ROW(Mapping!$A$5:$A$200)))-4)&amp;" → "&amp;INDEX(Mapping!$B$5:$B$200,SUMPRODUCT(MAX((ISNUMBER(SEARCH(Mapping!$A$5:$A$200,UPPER(C200&amp;""))))*ROW(Mapping!$A$5:$A$200)))-4),"❓ no rule (add to Mapping)"))</f>
        <v/>
      </c>
      <c r="I200" s="79" t="str">
        <f aca="false">IF(B200="","",TEXT(B200,"mmm"))</f>
        <v/>
      </c>
      <c r="J200" s="80" t="str">
        <f aca="false">IF(B200="","",YEAR(B200))</f>
        <v/>
      </c>
    </row>
    <row r="201" customFormat="false" ht="18" hidden="false" customHeight="true" outlineLevel="0" collapsed="false">
      <c r="A201" s="81" t="n">
        <v>196</v>
      </c>
      <c r="B201" s="95"/>
      <c r="C201" s="96"/>
      <c r="D201" s="96" t="str">
        <f aca="false">IF(C201="","",IF(OR(ISNUMBER(SEARCH("PAYROLL",UPPER(C201))),ISNUMBER(SEARCH("PAYCHECK",UPPER(C201))),ISNUMBER(SEARCH("DEPOSIT",UPPER(C201)))),"Income",IF(ISNUMBER(SEARCH("TRANSFER",UPPER(C201))),"Transfer","Expense")))</f>
        <v/>
      </c>
      <c r="E201" s="97" t="str">
        <f aca="false">IF(C201="","",IFERROR(INDEX(Mapping!$B$5:$B$200,SUMPRODUCT(MAX((ISNUMBER(SEARCH(Mapping!$A$5:$A$200,UPPER(C201&amp;""))))*ROW(Mapping!$A$5:$A$200)))-4),""))</f>
        <v/>
      </c>
      <c r="F201" s="98"/>
      <c r="G201" s="99" t="n">
        <f aca="false">IF(F201="",G200,G200+IF(D201="Income",F201,IF(D201="Expense",-F201,F201)))</f>
        <v>3408.09</v>
      </c>
      <c r="H201" s="100" t="str">
        <f aca="false">IF(C201="","",IFERROR(INDEX(Mapping!$A$5:$A$200,SUMPRODUCT(MAX((ISNUMBER(SEARCH(Mapping!$A$5:$A$200,UPPER(C201&amp;""))))*ROW(Mapping!$A$5:$A$200)))-4)&amp;" → "&amp;INDEX(Mapping!$B$5:$B$200,SUMPRODUCT(MAX((ISNUMBER(SEARCH(Mapping!$A$5:$A$200,UPPER(C201&amp;""))))*ROW(Mapping!$A$5:$A$200)))-4),"❓ no rule (add to Mapping)"))</f>
        <v/>
      </c>
      <c r="I201" s="79" t="str">
        <f aca="false">IF(B201="","",TEXT(B201,"mmm"))</f>
        <v/>
      </c>
      <c r="J201" s="80" t="str">
        <f aca="false">IF(B201="","",YEAR(B201))</f>
        <v/>
      </c>
    </row>
    <row r="202" customFormat="false" ht="18" hidden="false" customHeight="true" outlineLevel="0" collapsed="false">
      <c r="A202" s="81" t="n">
        <v>197</v>
      </c>
      <c r="B202" s="95"/>
      <c r="C202" s="96"/>
      <c r="D202" s="96" t="str">
        <f aca="false">IF(C202="","",IF(OR(ISNUMBER(SEARCH("PAYROLL",UPPER(C202))),ISNUMBER(SEARCH("PAYCHECK",UPPER(C202))),ISNUMBER(SEARCH("DEPOSIT",UPPER(C202)))),"Income",IF(ISNUMBER(SEARCH("TRANSFER",UPPER(C202))),"Transfer","Expense")))</f>
        <v/>
      </c>
      <c r="E202" s="97" t="str">
        <f aca="false">IF(C202="","",IFERROR(INDEX(Mapping!$B$5:$B$200,SUMPRODUCT(MAX((ISNUMBER(SEARCH(Mapping!$A$5:$A$200,UPPER(C202&amp;""))))*ROW(Mapping!$A$5:$A$200)))-4),""))</f>
        <v/>
      </c>
      <c r="F202" s="98"/>
      <c r="G202" s="99" t="n">
        <f aca="false">IF(F202="",G201,G201+IF(D202="Income",F202,IF(D202="Expense",-F202,F202)))</f>
        <v>3408.09</v>
      </c>
      <c r="H202" s="100" t="str">
        <f aca="false">IF(C202="","",IFERROR(INDEX(Mapping!$A$5:$A$200,SUMPRODUCT(MAX((ISNUMBER(SEARCH(Mapping!$A$5:$A$200,UPPER(C202&amp;""))))*ROW(Mapping!$A$5:$A$200)))-4)&amp;" → "&amp;INDEX(Mapping!$B$5:$B$200,SUMPRODUCT(MAX((ISNUMBER(SEARCH(Mapping!$A$5:$A$200,UPPER(C202&amp;""))))*ROW(Mapping!$A$5:$A$200)))-4),"❓ no rule (add to Mapping)"))</f>
        <v/>
      </c>
      <c r="I202" s="79" t="str">
        <f aca="false">IF(B202="","",TEXT(B202,"mmm"))</f>
        <v/>
      </c>
      <c r="J202" s="80" t="str">
        <f aca="false">IF(B202="","",YEAR(B202))</f>
        <v/>
      </c>
    </row>
    <row r="203" customFormat="false" ht="18" hidden="false" customHeight="true" outlineLevel="0" collapsed="false">
      <c r="A203" s="81" t="n">
        <v>198</v>
      </c>
      <c r="B203" s="95"/>
      <c r="C203" s="96"/>
      <c r="D203" s="96" t="str">
        <f aca="false">IF(C203="","",IF(OR(ISNUMBER(SEARCH("PAYROLL",UPPER(C203))),ISNUMBER(SEARCH("PAYCHECK",UPPER(C203))),ISNUMBER(SEARCH("DEPOSIT",UPPER(C203)))),"Income",IF(ISNUMBER(SEARCH("TRANSFER",UPPER(C203))),"Transfer","Expense")))</f>
        <v/>
      </c>
      <c r="E203" s="97" t="str">
        <f aca="false">IF(C203="","",IFERROR(INDEX(Mapping!$B$5:$B$200,SUMPRODUCT(MAX((ISNUMBER(SEARCH(Mapping!$A$5:$A$200,UPPER(C203&amp;""))))*ROW(Mapping!$A$5:$A$200)))-4),""))</f>
        <v/>
      </c>
      <c r="F203" s="98"/>
      <c r="G203" s="99" t="n">
        <f aca="false">IF(F203="",G202,G202+IF(D203="Income",F203,IF(D203="Expense",-F203,F203)))</f>
        <v>3408.09</v>
      </c>
      <c r="H203" s="100" t="str">
        <f aca="false">IF(C203="","",IFERROR(INDEX(Mapping!$A$5:$A$200,SUMPRODUCT(MAX((ISNUMBER(SEARCH(Mapping!$A$5:$A$200,UPPER(C203&amp;""))))*ROW(Mapping!$A$5:$A$200)))-4)&amp;" → "&amp;INDEX(Mapping!$B$5:$B$200,SUMPRODUCT(MAX((ISNUMBER(SEARCH(Mapping!$A$5:$A$200,UPPER(C203&amp;""))))*ROW(Mapping!$A$5:$A$200)))-4),"❓ no rule (add to Mapping)"))</f>
        <v/>
      </c>
      <c r="I203" s="79" t="str">
        <f aca="false">IF(B203="","",TEXT(B203,"mmm"))</f>
        <v/>
      </c>
      <c r="J203" s="80" t="str">
        <f aca="false">IF(B203="","",YEAR(B203))</f>
        <v/>
      </c>
    </row>
    <row r="204" customFormat="false" ht="18" hidden="false" customHeight="true" outlineLevel="0" collapsed="false">
      <c r="A204" s="81" t="n">
        <v>199</v>
      </c>
      <c r="B204" s="95"/>
      <c r="C204" s="96"/>
      <c r="D204" s="96" t="str">
        <f aca="false">IF(C204="","",IF(OR(ISNUMBER(SEARCH("PAYROLL",UPPER(C204))),ISNUMBER(SEARCH("PAYCHECK",UPPER(C204))),ISNUMBER(SEARCH("DEPOSIT",UPPER(C204)))),"Income",IF(ISNUMBER(SEARCH("TRANSFER",UPPER(C204))),"Transfer","Expense")))</f>
        <v/>
      </c>
      <c r="E204" s="97" t="str">
        <f aca="false">IF(C204="","",IFERROR(INDEX(Mapping!$B$5:$B$200,SUMPRODUCT(MAX((ISNUMBER(SEARCH(Mapping!$A$5:$A$200,UPPER(C204&amp;""))))*ROW(Mapping!$A$5:$A$200)))-4),""))</f>
        <v/>
      </c>
      <c r="F204" s="98"/>
      <c r="G204" s="99" t="n">
        <f aca="false">IF(F204="",G203,G203+IF(D204="Income",F204,IF(D204="Expense",-F204,F204)))</f>
        <v>3408.09</v>
      </c>
      <c r="H204" s="100" t="str">
        <f aca="false">IF(C204="","",IFERROR(INDEX(Mapping!$A$5:$A$200,SUMPRODUCT(MAX((ISNUMBER(SEARCH(Mapping!$A$5:$A$200,UPPER(C204&amp;""))))*ROW(Mapping!$A$5:$A$200)))-4)&amp;" → "&amp;INDEX(Mapping!$B$5:$B$200,SUMPRODUCT(MAX((ISNUMBER(SEARCH(Mapping!$A$5:$A$200,UPPER(C204&amp;""))))*ROW(Mapping!$A$5:$A$200)))-4),"❓ no rule (add to Mapping)"))</f>
        <v/>
      </c>
      <c r="I204" s="79" t="str">
        <f aca="false">IF(B204="","",TEXT(B204,"mmm"))</f>
        <v/>
      </c>
      <c r="J204" s="80" t="str">
        <f aca="false">IF(B204="","",YEAR(B204))</f>
        <v/>
      </c>
    </row>
    <row r="205" customFormat="false" ht="18" hidden="false" customHeight="true" outlineLevel="0" collapsed="false">
      <c r="A205" s="81" t="n">
        <v>200</v>
      </c>
      <c r="B205" s="95"/>
      <c r="C205" s="96"/>
      <c r="D205" s="96" t="str">
        <f aca="false">IF(C205="","",IF(OR(ISNUMBER(SEARCH("PAYROLL",UPPER(C205))),ISNUMBER(SEARCH("PAYCHECK",UPPER(C205))),ISNUMBER(SEARCH("DEPOSIT",UPPER(C205)))),"Income",IF(ISNUMBER(SEARCH("TRANSFER",UPPER(C205))),"Transfer","Expense")))</f>
        <v/>
      </c>
      <c r="E205" s="97" t="str">
        <f aca="false">IF(C205="","",IFERROR(INDEX(Mapping!$B$5:$B$200,SUMPRODUCT(MAX((ISNUMBER(SEARCH(Mapping!$A$5:$A$200,UPPER(C205&amp;""))))*ROW(Mapping!$A$5:$A$200)))-4),""))</f>
        <v/>
      </c>
      <c r="F205" s="98"/>
      <c r="G205" s="99" t="n">
        <f aca="false">IF(F205="",G204,G204+IF(D205="Income",F205,IF(D205="Expense",-F205,F205)))</f>
        <v>3408.09</v>
      </c>
      <c r="H205" s="100" t="str">
        <f aca="false">IF(C205="","",IFERROR(INDEX(Mapping!$A$5:$A$200,SUMPRODUCT(MAX((ISNUMBER(SEARCH(Mapping!$A$5:$A$200,UPPER(C205&amp;""))))*ROW(Mapping!$A$5:$A$200)))-4)&amp;" → "&amp;INDEX(Mapping!$B$5:$B$200,SUMPRODUCT(MAX((ISNUMBER(SEARCH(Mapping!$A$5:$A$200,UPPER(C205&amp;""))))*ROW(Mapping!$A$5:$A$200)))-4),"❓ no rule (add to Mapping)"))</f>
        <v/>
      </c>
      <c r="I205" s="79" t="str">
        <f aca="false">IF(B205="","",TEXT(B205,"mmm"))</f>
        <v/>
      </c>
      <c r="J205" s="80" t="str">
        <f aca="false">IF(B205="","",YEAR(B205))</f>
        <v/>
      </c>
    </row>
    <row r="206" customFormat="false" ht="18" hidden="false" customHeight="true" outlineLevel="0" collapsed="false">
      <c r="A206" s="81" t="n">
        <v>201</v>
      </c>
      <c r="B206" s="95"/>
      <c r="C206" s="96"/>
      <c r="D206" s="96" t="str">
        <f aca="false">IF(C206="","",IF(OR(ISNUMBER(SEARCH("PAYROLL",UPPER(C206))),ISNUMBER(SEARCH("PAYCHECK",UPPER(C206))),ISNUMBER(SEARCH("DEPOSIT",UPPER(C206)))),"Income",IF(ISNUMBER(SEARCH("TRANSFER",UPPER(C206))),"Transfer","Expense")))</f>
        <v/>
      </c>
      <c r="E206" s="97" t="str">
        <f aca="false">IF(C206="","",IFERROR(INDEX(Mapping!$B$5:$B$200,SUMPRODUCT(MAX((ISNUMBER(SEARCH(Mapping!$A$5:$A$200,UPPER(C206&amp;""))))*ROW(Mapping!$A$5:$A$200)))-4),""))</f>
        <v/>
      </c>
      <c r="F206" s="98"/>
      <c r="G206" s="99" t="n">
        <f aca="false">IF(F206="",G205,G205+IF(D206="Income",F206,IF(D206="Expense",-F206,F206)))</f>
        <v>3408.09</v>
      </c>
      <c r="H206" s="100" t="str">
        <f aca="false">IF(C206="","",IFERROR(INDEX(Mapping!$A$5:$A$200,SUMPRODUCT(MAX((ISNUMBER(SEARCH(Mapping!$A$5:$A$200,UPPER(C206&amp;""))))*ROW(Mapping!$A$5:$A$200)))-4)&amp;" → "&amp;INDEX(Mapping!$B$5:$B$200,SUMPRODUCT(MAX((ISNUMBER(SEARCH(Mapping!$A$5:$A$200,UPPER(C206&amp;""))))*ROW(Mapping!$A$5:$A$200)))-4),"❓ no rule (add to Mapping)"))</f>
        <v/>
      </c>
      <c r="I206" s="79" t="str">
        <f aca="false">IF(B206="","",TEXT(B206,"mmm"))</f>
        <v/>
      </c>
      <c r="J206" s="80" t="str">
        <f aca="false">IF(B206="","",YEAR(B206))</f>
        <v/>
      </c>
    </row>
    <row r="207" customFormat="false" ht="18" hidden="false" customHeight="true" outlineLevel="0" collapsed="false">
      <c r="A207" s="81" t="n">
        <v>202</v>
      </c>
      <c r="B207" s="95"/>
      <c r="C207" s="96"/>
      <c r="D207" s="96" t="str">
        <f aca="false">IF(C207="","",IF(OR(ISNUMBER(SEARCH("PAYROLL",UPPER(C207))),ISNUMBER(SEARCH("PAYCHECK",UPPER(C207))),ISNUMBER(SEARCH("DEPOSIT",UPPER(C207)))),"Income",IF(ISNUMBER(SEARCH("TRANSFER",UPPER(C207))),"Transfer","Expense")))</f>
        <v/>
      </c>
      <c r="E207" s="97" t="str">
        <f aca="false">IF(C207="","",IFERROR(INDEX(Mapping!$B$5:$B$200,SUMPRODUCT(MAX((ISNUMBER(SEARCH(Mapping!$A$5:$A$200,UPPER(C207&amp;""))))*ROW(Mapping!$A$5:$A$200)))-4),""))</f>
        <v/>
      </c>
      <c r="F207" s="98"/>
      <c r="G207" s="99" t="n">
        <f aca="false">IF(F207="",G206,G206+IF(D207="Income",F207,IF(D207="Expense",-F207,F207)))</f>
        <v>3408.09</v>
      </c>
      <c r="H207" s="100" t="str">
        <f aca="false">IF(C207="","",IFERROR(INDEX(Mapping!$A$5:$A$200,SUMPRODUCT(MAX((ISNUMBER(SEARCH(Mapping!$A$5:$A$200,UPPER(C207&amp;""))))*ROW(Mapping!$A$5:$A$200)))-4)&amp;" → "&amp;INDEX(Mapping!$B$5:$B$200,SUMPRODUCT(MAX((ISNUMBER(SEARCH(Mapping!$A$5:$A$200,UPPER(C207&amp;""))))*ROW(Mapping!$A$5:$A$200)))-4),"❓ no rule (add to Mapping)"))</f>
        <v/>
      </c>
      <c r="I207" s="79" t="str">
        <f aca="false">IF(B207="","",TEXT(B207,"mmm"))</f>
        <v/>
      </c>
      <c r="J207" s="80" t="str">
        <f aca="false">IF(B207="","",YEAR(B207))</f>
        <v/>
      </c>
    </row>
    <row r="208" customFormat="false" ht="18" hidden="false" customHeight="true" outlineLevel="0" collapsed="false">
      <c r="A208" s="81" t="n">
        <v>203</v>
      </c>
      <c r="B208" s="95"/>
      <c r="C208" s="96"/>
      <c r="D208" s="96" t="str">
        <f aca="false">IF(C208="","",IF(OR(ISNUMBER(SEARCH("PAYROLL",UPPER(C208))),ISNUMBER(SEARCH("PAYCHECK",UPPER(C208))),ISNUMBER(SEARCH("DEPOSIT",UPPER(C208)))),"Income",IF(ISNUMBER(SEARCH("TRANSFER",UPPER(C208))),"Transfer","Expense")))</f>
        <v/>
      </c>
      <c r="E208" s="97" t="str">
        <f aca="false">IF(C208="","",IFERROR(INDEX(Mapping!$B$5:$B$200,SUMPRODUCT(MAX((ISNUMBER(SEARCH(Mapping!$A$5:$A$200,UPPER(C208&amp;""))))*ROW(Mapping!$A$5:$A$200)))-4),""))</f>
        <v/>
      </c>
      <c r="F208" s="98"/>
      <c r="G208" s="99" t="n">
        <f aca="false">IF(F208="",G207,G207+IF(D208="Income",F208,IF(D208="Expense",-F208,F208)))</f>
        <v>3408.09</v>
      </c>
      <c r="H208" s="100" t="str">
        <f aca="false">IF(C208="","",IFERROR(INDEX(Mapping!$A$5:$A$200,SUMPRODUCT(MAX((ISNUMBER(SEARCH(Mapping!$A$5:$A$200,UPPER(C208&amp;""))))*ROW(Mapping!$A$5:$A$200)))-4)&amp;" → "&amp;INDEX(Mapping!$B$5:$B$200,SUMPRODUCT(MAX((ISNUMBER(SEARCH(Mapping!$A$5:$A$200,UPPER(C208&amp;""))))*ROW(Mapping!$A$5:$A$200)))-4),"❓ no rule (add to Mapping)"))</f>
        <v/>
      </c>
      <c r="I208" s="79" t="str">
        <f aca="false">IF(B208="","",TEXT(B208,"mmm"))</f>
        <v/>
      </c>
      <c r="J208" s="80" t="str">
        <f aca="false">IF(B208="","",YEAR(B208))</f>
        <v/>
      </c>
    </row>
    <row r="209" customFormat="false" ht="18" hidden="false" customHeight="true" outlineLevel="0" collapsed="false">
      <c r="A209" s="81" t="n">
        <v>204</v>
      </c>
      <c r="B209" s="95"/>
      <c r="C209" s="96"/>
      <c r="D209" s="96" t="str">
        <f aca="false">IF(C209="","",IF(OR(ISNUMBER(SEARCH("PAYROLL",UPPER(C209))),ISNUMBER(SEARCH("PAYCHECK",UPPER(C209))),ISNUMBER(SEARCH("DEPOSIT",UPPER(C209)))),"Income",IF(ISNUMBER(SEARCH("TRANSFER",UPPER(C209))),"Transfer","Expense")))</f>
        <v/>
      </c>
      <c r="E209" s="97" t="str">
        <f aca="false">IF(C209="","",IFERROR(INDEX(Mapping!$B$5:$B$200,SUMPRODUCT(MAX((ISNUMBER(SEARCH(Mapping!$A$5:$A$200,UPPER(C209&amp;""))))*ROW(Mapping!$A$5:$A$200)))-4),""))</f>
        <v/>
      </c>
      <c r="F209" s="98"/>
      <c r="G209" s="99" t="n">
        <f aca="false">IF(F209="",G208,G208+IF(D209="Income",F209,IF(D209="Expense",-F209,F209)))</f>
        <v>3408.09</v>
      </c>
      <c r="H209" s="100" t="str">
        <f aca="false">IF(C209="","",IFERROR(INDEX(Mapping!$A$5:$A$200,SUMPRODUCT(MAX((ISNUMBER(SEARCH(Mapping!$A$5:$A$200,UPPER(C209&amp;""))))*ROW(Mapping!$A$5:$A$200)))-4)&amp;" → "&amp;INDEX(Mapping!$B$5:$B$200,SUMPRODUCT(MAX((ISNUMBER(SEARCH(Mapping!$A$5:$A$200,UPPER(C209&amp;""))))*ROW(Mapping!$A$5:$A$200)))-4),"❓ no rule (add to Mapping)"))</f>
        <v/>
      </c>
      <c r="I209" s="79" t="str">
        <f aca="false">IF(B209="","",TEXT(B209,"mmm"))</f>
        <v/>
      </c>
      <c r="J209" s="80" t="str">
        <f aca="false">IF(B209="","",YEAR(B209))</f>
        <v/>
      </c>
    </row>
    <row r="210" customFormat="false" ht="18" hidden="false" customHeight="true" outlineLevel="0" collapsed="false">
      <c r="A210" s="81" t="n">
        <v>205</v>
      </c>
      <c r="B210" s="95"/>
      <c r="C210" s="96"/>
      <c r="D210" s="96" t="str">
        <f aca="false">IF(C210="","",IF(OR(ISNUMBER(SEARCH("PAYROLL",UPPER(C210))),ISNUMBER(SEARCH("PAYCHECK",UPPER(C210))),ISNUMBER(SEARCH("DEPOSIT",UPPER(C210)))),"Income",IF(ISNUMBER(SEARCH("TRANSFER",UPPER(C210))),"Transfer","Expense")))</f>
        <v/>
      </c>
      <c r="E210" s="97" t="str">
        <f aca="false">IF(C210="","",IFERROR(INDEX(Mapping!$B$5:$B$200,SUMPRODUCT(MAX((ISNUMBER(SEARCH(Mapping!$A$5:$A$200,UPPER(C210&amp;""))))*ROW(Mapping!$A$5:$A$200)))-4),""))</f>
        <v/>
      </c>
      <c r="F210" s="98"/>
      <c r="G210" s="99" t="n">
        <f aca="false">IF(F210="",G209,G209+IF(D210="Income",F210,IF(D210="Expense",-F210,F210)))</f>
        <v>3408.09</v>
      </c>
      <c r="H210" s="100" t="str">
        <f aca="false">IF(C210="","",IFERROR(INDEX(Mapping!$A$5:$A$200,SUMPRODUCT(MAX((ISNUMBER(SEARCH(Mapping!$A$5:$A$200,UPPER(C210&amp;""))))*ROW(Mapping!$A$5:$A$200)))-4)&amp;" → "&amp;INDEX(Mapping!$B$5:$B$200,SUMPRODUCT(MAX((ISNUMBER(SEARCH(Mapping!$A$5:$A$200,UPPER(C210&amp;""))))*ROW(Mapping!$A$5:$A$200)))-4),"❓ no rule (add to Mapping)"))</f>
        <v/>
      </c>
      <c r="I210" s="79" t="str">
        <f aca="false">IF(B210="","",TEXT(B210,"mmm"))</f>
        <v/>
      </c>
      <c r="J210" s="80" t="str">
        <f aca="false">IF(B210="","",YEAR(B210))</f>
        <v/>
      </c>
    </row>
    <row r="211" customFormat="false" ht="18" hidden="false" customHeight="true" outlineLevel="0" collapsed="false">
      <c r="A211" s="81" t="n">
        <v>206</v>
      </c>
      <c r="B211" s="95"/>
      <c r="C211" s="96"/>
      <c r="D211" s="96" t="str">
        <f aca="false">IF(C211="","",IF(OR(ISNUMBER(SEARCH("PAYROLL",UPPER(C211))),ISNUMBER(SEARCH("PAYCHECK",UPPER(C211))),ISNUMBER(SEARCH("DEPOSIT",UPPER(C211)))),"Income",IF(ISNUMBER(SEARCH("TRANSFER",UPPER(C211))),"Transfer","Expense")))</f>
        <v/>
      </c>
      <c r="E211" s="97" t="str">
        <f aca="false">IF(C211="","",IFERROR(INDEX(Mapping!$B$5:$B$200,SUMPRODUCT(MAX((ISNUMBER(SEARCH(Mapping!$A$5:$A$200,UPPER(C211&amp;""))))*ROW(Mapping!$A$5:$A$200)))-4),""))</f>
        <v/>
      </c>
      <c r="F211" s="98"/>
      <c r="G211" s="99" t="n">
        <f aca="false">IF(F211="",G210,G210+IF(D211="Income",F211,IF(D211="Expense",-F211,F211)))</f>
        <v>3408.09</v>
      </c>
      <c r="H211" s="100" t="str">
        <f aca="false">IF(C211="","",IFERROR(INDEX(Mapping!$A$5:$A$200,SUMPRODUCT(MAX((ISNUMBER(SEARCH(Mapping!$A$5:$A$200,UPPER(C211&amp;""))))*ROW(Mapping!$A$5:$A$200)))-4)&amp;" → "&amp;INDEX(Mapping!$B$5:$B$200,SUMPRODUCT(MAX((ISNUMBER(SEARCH(Mapping!$A$5:$A$200,UPPER(C211&amp;""))))*ROW(Mapping!$A$5:$A$200)))-4),"❓ no rule (add to Mapping)"))</f>
        <v/>
      </c>
      <c r="I211" s="79" t="str">
        <f aca="false">IF(B211="","",TEXT(B211,"mmm"))</f>
        <v/>
      </c>
      <c r="J211" s="80" t="str">
        <f aca="false">IF(B211="","",YEAR(B211))</f>
        <v/>
      </c>
    </row>
    <row r="212" customFormat="false" ht="18" hidden="false" customHeight="true" outlineLevel="0" collapsed="false">
      <c r="A212" s="81" t="n">
        <v>207</v>
      </c>
      <c r="B212" s="95"/>
      <c r="C212" s="96"/>
      <c r="D212" s="96" t="str">
        <f aca="false">IF(C212="","",IF(OR(ISNUMBER(SEARCH("PAYROLL",UPPER(C212))),ISNUMBER(SEARCH("PAYCHECK",UPPER(C212))),ISNUMBER(SEARCH("DEPOSIT",UPPER(C212)))),"Income",IF(ISNUMBER(SEARCH("TRANSFER",UPPER(C212))),"Transfer","Expense")))</f>
        <v/>
      </c>
      <c r="E212" s="97" t="str">
        <f aca="false">IF(C212="","",IFERROR(INDEX(Mapping!$B$5:$B$200,SUMPRODUCT(MAX((ISNUMBER(SEARCH(Mapping!$A$5:$A$200,UPPER(C212&amp;""))))*ROW(Mapping!$A$5:$A$200)))-4),""))</f>
        <v/>
      </c>
      <c r="F212" s="98"/>
      <c r="G212" s="99" t="n">
        <f aca="false">IF(F212="",G211,G211+IF(D212="Income",F212,IF(D212="Expense",-F212,F212)))</f>
        <v>3408.09</v>
      </c>
      <c r="H212" s="100" t="str">
        <f aca="false">IF(C212="","",IFERROR(INDEX(Mapping!$A$5:$A$200,SUMPRODUCT(MAX((ISNUMBER(SEARCH(Mapping!$A$5:$A$200,UPPER(C212&amp;""))))*ROW(Mapping!$A$5:$A$200)))-4)&amp;" → "&amp;INDEX(Mapping!$B$5:$B$200,SUMPRODUCT(MAX((ISNUMBER(SEARCH(Mapping!$A$5:$A$200,UPPER(C212&amp;""))))*ROW(Mapping!$A$5:$A$200)))-4),"❓ no rule (add to Mapping)"))</f>
        <v/>
      </c>
      <c r="I212" s="79" t="str">
        <f aca="false">IF(B212="","",TEXT(B212,"mmm"))</f>
        <v/>
      </c>
      <c r="J212" s="80" t="str">
        <f aca="false">IF(B212="","",YEAR(B212))</f>
        <v/>
      </c>
    </row>
    <row r="213" customFormat="false" ht="18" hidden="false" customHeight="true" outlineLevel="0" collapsed="false">
      <c r="A213" s="81" t="n">
        <v>208</v>
      </c>
      <c r="B213" s="95"/>
      <c r="C213" s="96"/>
      <c r="D213" s="96" t="str">
        <f aca="false">IF(C213="","",IF(OR(ISNUMBER(SEARCH("PAYROLL",UPPER(C213))),ISNUMBER(SEARCH("PAYCHECK",UPPER(C213))),ISNUMBER(SEARCH("DEPOSIT",UPPER(C213)))),"Income",IF(ISNUMBER(SEARCH("TRANSFER",UPPER(C213))),"Transfer","Expense")))</f>
        <v/>
      </c>
      <c r="E213" s="97" t="str">
        <f aca="false">IF(C213="","",IFERROR(INDEX(Mapping!$B$5:$B$200,SUMPRODUCT(MAX((ISNUMBER(SEARCH(Mapping!$A$5:$A$200,UPPER(C213&amp;""))))*ROW(Mapping!$A$5:$A$200)))-4),""))</f>
        <v/>
      </c>
      <c r="F213" s="98"/>
      <c r="G213" s="99" t="n">
        <f aca="false">IF(F213="",G212,G212+IF(D213="Income",F213,IF(D213="Expense",-F213,F213)))</f>
        <v>3408.09</v>
      </c>
      <c r="H213" s="100" t="str">
        <f aca="false">IF(C213="","",IFERROR(INDEX(Mapping!$A$5:$A$200,SUMPRODUCT(MAX((ISNUMBER(SEARCH(Mapping!$A$5:$A$200,UPPER(C213&amp;""))))*ROW(Mapping!$A$5:$A$200)))-4)&amp;" → "&amp;INDEX(Mapping!$B$5:$B$200,SUMPRODUCT(MAX((ISNUMBER(SEARCH(Mapping!$A$5:$A$200,UPPER(C213&amp;""))))*ROW(Mapping!$A$5:$A$200)))-4),"❓ no rule (add to Mapping)"))</f>
        <v/>
      </c>
      <c r="I213" s="79" t="str">
        <f aca="false">IF(B213="","",TEXT(B213,"mmm"))</f>
        <v/>
      </c>
      <c r="J213" s="80" t="str">
        <f aca="false">IF(B213="","",YEAR(B213))</f>
        <v/>
      </c>
    </row>
    <row r="214" customFormat="false" ht="18" hidden="false" customHeight="true" outlineLevel="0" collapsed="false">
      <c r="A214" s="81" t="n">
        <v>209</v>
      </c>
      <c r="B214" s="95"/>
      <c r="C214" s="96"/>
      <c r="D214" s="96" t="str">
        <f aca="false">IF(C214="","",IF(OR(ISNUMBER(SEARCH("PAYROLL",UPPER(C214))),ISNUMBER(SEARCH("PAYCHECK",UPPER(C214))),ISNUMBER(SEARCH("DEPOSIT",UPPER(C214)))),"Income",IF(ISNUMBER(SEARCH("TRANSFER",UPPER(C214))),"Transfer","Expense")))</f>
        <v/>
      </c>
      <c r="E214" s="97" t="str">
        <f aca="false">IF(C214="","",IFERROR(INDEX(Mapping!$B$5:$B$200,SUMPRODUCT(MAX((ISNUMBER(SEARCH(Mapping!$A$5:$A$200,UPPER(C214&amp;""))))*ROW(Mapping!$A$5:$A$200)))-4),""))</f>
        <v/>
      </c>
      <c r="F214" s="98"/>
      <c r="G214" s="99" t="n">
        <f aca="false">IF(F214="",G213,G213+IF(D214="Income",F214,IF(D214="Expense",-F214,F214)))</f>
        <v>3408.09</v>
      </c>
      <c r="H214" s="100" t="str">
        <f aca="false">IF(C214="","",IFERROR(INDEX(Mapping!$A$5:$A$200,SUMPRODUCT(MAX((ISNUMBER(SEARCH(Mapping!$A$5:$A$200,UPPER(C214&amp;""))))*ROW(Mapping!$A$5:$A$200)))-4)&amp;" → "&amp;INDEX(Mapping!$B$5:$B$200,SUMPRODUCT(MAX((ISNUMBER(SEARCH(Mapping!$A$5:$A$200,UPPER(C214&amp;""))))*ROW(Mapping!$A$5:$A$200)))-4),"❓ no rule (add to Mapping)"))</f>
        <v/>
      </c>
      <c r="I214" s="79" t="str">
        <f aca="false">IF(B214="","",TEXT(B214,"mmm"))</f>
        <v/>
      </c>
      <c r="J214" s="80" t="str">
        <f aca="false">IF(B214="","",YEAR(B214))</f>
        <v/>
      </c>
    </row>
    <row r="215" customFormat="false" ht="18" hidden="false" customHeight="true" outlineLevel="0" collapsed="false">
      <c r="A215" s="81" t="n">
        <v>210</v>
      </c>
      <c r="B215" s="95"/>
      <c r="C215" s="96"/>
      <c r="D215" s="96" t="str">
        <f aca="false">IF(C215="","",IF(OR(ISNUMBER(SEARCH("PAYROLL",UPPER(C215))),ISNUMBER(SEARCH("PAYCHECK",UPPER(C215))),ISNUMBER(SEARCH("DEPOSIT",UPPER(C215)))),"Income",IF(ISNUMBER(SEARCH("TRANSFER",UPPER(C215))),"Transfer","Expense")))</f>
        <v/>
      </c>
      <c r="E215" s="97" t="str">
        <f aca="false">IF(C215="","",IFERROR(INDEX(Mapping!$B$5:$B$200,SUMPRODUCT(MAX((ISNUMBER(SEARCH(Mapping!$A$5:$A$200,UPPER(C215&amp;""))))*ROW(Mapping!$A$5:$A$200)))-4),""))</f>
        <v/>
      </c>
      <c r="F215" s="98"/>
      <c r="G215" s="99" t="n">
        <f aca="false">IF(F215="",G214,G214+IF(D215="Income",F215,IF(D215="Expense",-F215,F215)))</f>
        <v>3408.09</v>
      </c>
      <c r="H215" s="100" t="str">
        <f aca="false">IF(C215="","",IFERROR(INDEX(Mapping!$A$5:$A$200,SUMPRODUCT(MAX((ISNUMBER(SEARCH(Mapping!$A$5:$A$200,UPPER(C215&amp;""))))*ROW(Mapping!$A$5:$A$200)))-4)&amp;" → "&amp;INDEX(Mapping!$B$5:$B$200,SUMPRODUCT(MAX((ISNUMBER(SEARCH(Mapping!$A$5:$A$200,UPPER(C215&amp;""))))*ROW(Mapping!$A$5:$A$200)))-4),"❓ no rule (add to Mapping)"))</f>
        <v/>
      </c>
      <c r="I215" s="79" t="str">
        <f aca="false">IF(B215="","",TEXT(B215,"mmm"))</f>
        <v/>
      </c>
      <c r="J215" s="80" t="str">
        <f aca="false">IF(B215="","",YEAR(B215))</f>
        <v/>
      </c>
    </row>
    <row r="216" customFormat="false" ht="18" hidden="false" customHeight="true" outlineLevel="0" collapsed="false">
      <c r="A216" s="81" t="n">
        <v>211</v>
      </c>
      <c r="B216" s="95"/>
      <c r="C216" s="96"/>
      <c r="D216" s="96" t="str">
        <f aca="false">IF(C216="","",IF(OR(ISNUMBER(SEARCH("PAYROLL",UPPER(C216))),ISNUMBER(SEARCH("PAYCHECK",UPPER(C216))),ISNUMBER(SEARCH("DEPOSIT",UPPER(C216)))),"Income",IF(ISNUMBER(SEARCH("TRANSFER",UPPER(C216))),"Transfer","Expense")))</f>
        <v/>
      </c>
      <c r="E216" s="97" t="str">
        <f aca="false">IF(C216="","",IFERROR(INDEX(Mapping!$B$5:$B$200,SUMPRODUCT(MAX((ISNUMBER(SEARCH(Mapping!$A$5:$A$200,UPPER(C216&amp;""))))*ROW(Mapping!$A$5:$A$200)))-4),""))</f>
        <v/>
      </c>
      <c r="F216" s="98"/>
      <c r="G216" s="99" t="n">
        <f aca="false">IF(F216="",G215,G215+IF(D216="Income",F216,IF(D216="Expense",-F216,F216)))</f>
        <v>3408.09</v>
      </c>
      <c r="H216" s="100" t="str">
        <f aca="false">IF(C216="","",IFERROR(INDEX(Mapping!$A$5:$A$200,SUMPRODUCT(MAX((ISNUMBER(SEARCH(Mapping!$A$5:$A$200,UPPER(C216&amp;""))))*ROW(Mapping!$A$5:$A$200)))-4)&amp;" → "&amp;INDEX(Mapping!$B$5:$B$200,SUMPRODUCT(MAX((ISNUMBER(SEARCH(Mapping!$A$5:$A$200,UPPER(C216&amp;""))))*ROW(Mapping!$A$5:$A$200)))-4),"❓ no rule (add to Mapping)"))</f>
        <v/>
      </c>
      <c r="I216" s="79" t="str">
        <f aca="false">IF(B216="","",TEXT(B216,"mmm"))</f>
        <v/>
      </c>
      <c r="J216" s="80" t="str">
        <f aca="false">IF(B216="","",YEAR(B216))</f>
        <v/>
      </c>
    </row>
    <row r="217" customFormat="false" ht="18" hidden="false" customHeight="true" outlineLevel="0" collapsed="false">
      <c r="A217" s="81" t="n">
        <v>212</v>
      </c>
      <c r="B217" s="95"/>
      <c r="C217" s="96"/>
      <c r="D217" s="96" t="str">
        <f aca="false">IF(C217="","",IF(OR(ISNUMBER(SEARCH("PAYROLL",UPPER(C217))),ISNUMBER(SEARCH("PAYCHECK",UPPER(C217))),ISNUMBER(SEARCH("DEPOSIT",UPPER(C217)))),"Income",IF(ISNUMBER(SEARCH("TRANSFER",UPPER(C217))),"Transfer","Expense")))</f>
        <v/>
      </c>
      <c r="E217" s="97" t="str">
        <f aca="false">IF(C217="","",IFERROR(INDEX(Mapping!$B$5:$B$200,SUMPRODUCT(MAX((ISNUMBER(SEARCH(Mapping!$A$5:$A$200,UPPER(C217&amp;""))))*ROW(Mapping!$A$5:$A$200)))-4),""))</f>
        <v/>
      </c>
      <c r="F217" s="98"/>
      <c r="G217" s="99" t="n">
        <f aca="false">IF(F217="",G216,G216+IF(D217="Income",F217,IF(D217="Expense",-F217,F217)))</f>
        <v>3408.09</v>
      </c>
      <c r="H217" s="100" t="str">
        <f aca="false">IF(C217="","",IFERROR(INDEX(Mapping!$A$5:$A$200,SUMPRODUCT(MAX((ISNUMBER(SEARCH(Mapping!$A$5:$A$200,UPPER(C217&amp;""))))*ROW(Mapping!$A$5:$A$200)))-4)&amp;" → "&amp;INDEX(Mapping!$B$5:$B$200,SUMPRODUCT(MAX((ISNUMBER(SEARCH(Mapping!$A$5:$A$200,UPPER(C217&amp;""))))*ROW(Mapping!$A$5:$A$200)))-4),"❓ no rule (add to Mapping)"))</f>
        <v/>
      </c>
      <c r="I217" s="79" t="str">
        <f aca="false">IF(B217="","",TEXT(B217,"mmm"))</f>
        <v/>
      </c>
      <c r="J217" s="80" t="str">
        <f aca="false">IF(B217="","",YEAR(B217))</f>
        <v/>
      </c>
    </row>
    <row r="218" customFormat="false" ht="18" hidden="false" customHeight="true" outlineLevel="0" collapsed="false">
      <c r="A218" s="81" t="n">
        <v>213</v>
      </c>
      <c r="B218" s="95"/>
      <c r="C218" s="96"/>
      <c r="D218" s="96" t="str">
        <f aca="false">IF(C218="","",IF(OR(ISNUMBER(SEARCH("PAYROLL",UPPER(C218))),ISNUMBER(SEARCH("PAYCHECK",UPPER(C218))),ISNUMBER(SEARCH("DEPOSIT",UPPER(C218)))),"Income",IF(ISNUMBER(SEARCH("TRANSFER",UPPER(C218))),"Transfer","Expense")))</f>
        <v/>
      </c>
      <c r="E218" s="97" t="str">
        <f aca="false">IF(C218="","",IFERROR(INDEX(Mapping!$B$5:$B$200,SUMPRODUCT(MAX((ISNUMBER(SEARCH(Mapping!$A$5:$A$200,UPPER(C218&amp;""))))*ROW(Mapping!$A$5:$A$200)))-4),""))</f>
        <v/>
      </c>
      <c r="F218" s="98"/>
      <c r="G218" s="99" t="n">
        <f aca="false">IF(F218="",G217,G217+IF(D218="Income",F218,IF(D218="Expense",-F218,F218)))</f>
        <v>3408.09</v>
      </c>
      <c r="H218" s="100" t="str">
        <f aca="false">IF(C218="","",IFERROR(INDEX(Mapping!$A$5:$A$200,SUMPRODUCT(MAX((ISNUMBER(SEARCH(Mapping!$A$5:$A$200,UPPER(C218&amp;""))))*ROW(Mapping!$A$5:$A$200)))-4)&amp;" → "&amp;INDEX(Mapping!$B$5:$B$200,SUMPRODUCT(MAX((ISNUMBER(SEARCH(Mapping!$A$5:$A$200,UPPER(C218&amp;""))))*ROW(Mapping!$A$5:$A$200)))-4),"❓ no rule (add to Mapping)"))</f>
        <v/>
      </c>
      <c r="I218" s="79" t="str">
        <f aca="false">IF(B218="","",TEXT(B218,"mmm"))</f>
        <v/>
      </c>
      <c r="J218" s="80" t="str">
        <f aca="false">IF(B218="","",YEAR(B218))</f>
        <v/>
      </c>
    </row>
    <row r="219" customFormat="false" ht="18" hidden="false" customHeight="true" outlineLevel="0" collapsed="false">
      <c r="A219" s="81" t="n">
        <v>214</v>
      </c>
      <c r="B219" s="95"/>
      <c r="C219" s="96"/>
      <c r="D219" s="96" t="str">
        <f aca="false">IF(C219="","",IF(OR(ISNUMBER(SEARCH("PAYROLL",UPPER(C219))),ISNUMBER(SEARCH("PAYCHECK",UPPER(C219))),ISNUMBER(SEARCH("DEPOSIT",UPPER(C219)))),"Income",IF(ISNUMBER(SEARCH("TRANSFER",UPPER(C219))),"Transfer","Expense")))</f>
        <v/>
      </c>
      <c r="E219" s="97" t="str">
        <f aca="false">IF(C219="","",IFERROR(INDEX(Mapping!$B$5:$B$200,SUMPRODUCT(MAX((ISNUMBER(SEARCH(Mapping!$A$5:$A$200,UPPER(C219&amp;""))))*ROW(Mapping!$A$5:$A$200)))-4),""))</f>
        <v/>
      </c>
      <c r="F219" s="98"/>
      <c r="G219" s="99" t="n">
        <f aca="false">IF(F219="",G218,G218+IF(D219="Income",F219,IF(D219="Expense",-F219,F219)))</f>
        <v>3408.09</v>
      </c>
      <c r="H219" s="100" t="str">
        <f aca="false">IF(C219="","",IFERROR(INDEX(Mapping!$A$5:$A$200,SUMPRODUCT(MAX((ISNUMBER(SEARCH(Mapping!$A$5:$A$200,UPPER(C219&amp;""))))*ROW(Mapping!$A$5:$A$200)))-4)&amp;" → "&amp;INDEX(Mapping!$B$5:$B$200,SUMPRODUCT(MAX((ISNUMBER(SEARCH(Mapping!$A$5:$A$200,UPPER(C219&amp;""))))*ROW(Mapping!$A$5:$A$200)))-4),"❓ no rule (add to Mapping)"))</f>
        <v/>
      </c>
      <c r="I219" s="79" t="str">
        <f aca="false">IF(B219="","",TEXT(B219,"mmm"))</f>
        <v/>
      </c>
      <c r="J219" s="80" t="str">
        <f aca="false">IF(B219="","",YEAR(B219))</f>
        <v/>
      </c>
    </row>
    <row r="220" customFormat="false" ht="18" hidden="false" customHeight="true" outlineLevel="0" collapsed="false">
      <c r="A220" s="81" t="n">
        <v>215</v>
      </c>
      <c r="B220" s="95"/>
      <c r="C220" s="96"/>
      <c r="D220" s="96" t="str">
        <f aca="false">IF(C220="","",IF(OR(ISNUMBER(SEARCH("PAYROLL",UPPER(C220))),ISNUMBER(SEARCH("PAYCHECK",UPPER(C220))),ISNUMBER(SEARCH("DEPOSIT",UPPER(C220)))),"Income",IF(ISNUMBER(SEARCH("TRANSFER",UPPER(C220))),"Transfer","Expense")))</f>
        <v/>
      </c>
      <c r="E220" s="97" t="str">
        <f aca="false">IF(C220="","",IFERROR(INDEX(Mapping!$B$5:$B$200,SUMPRODUCT(MAX((ISNUMBER(SEARCH(Mapping!$A$5:$A$200,UPPER(C220&amp;""))))*ROW(Mapping!$A$5:$A$200)))-4),""))</f>
        <v/>
      </c>
      <c r="F220" s="98"/>
      <c r="G220" s="99" t="n">
        <f aca="false">IF(F220="",G219,G219+IF(D220="Income",F220,IF(D220="Expense",-F220,F220)))</f>
        <v>3408.09</v>
      </c>
      <c r="H220" s="100" t="str">
        <f aca="false">IF(C220="","",IFERROR(INDEX(Mapping!$A$5:$A$200,SUMPRODUCT(MAX((ISNUMBER(SEARCH(Mapping!$A$5:$A$200,UPPER(C220&amp;""))))*ROW(Mapping!$A$5:$A$200)))-4)&amp;" → "&amp;INDEX(Mapping!$B$5:$B$200,SUMPRODUCT(MAX((ISNUMBER(SEARCH(Mapping!$A$5:$A$200,UPPER(C220&amp;""))))*ROW(Mapping!$A$5:$A$200)))-4),"❓ no rule (add to Mapping)"))</f>
        <v/>
      </c>
      <c r="I220" s="79" t="str">
        <f aca="false">IF(B220="","",TEXT(B220,"mmm"))</f>
        <v/>
      </c>
      <c r="J220" s="80" t="str">
        <f aca="false">IF(B220="","",YEAR(B220))</f>
        <v/>
      </c>
    </row>
    <row r="221" customFormat="false" ht="18" hidden="false" customHeight="true" outlineLevel="0" collapsed="false">
      <c r="A221" s="81" t="n">
        <v>216</v>
      </c>
      <c r="B221" s="95"/>
      <c r="C221" s="96"/>
      <c r="D221" s="96" t="str">
        <f aca="false">IF(C221="","",IF(OR(ISNUMBER(SEARCH("PAYROLL",UPPER(C221))),ISNUMBER(SEARCH("PAYCHECK",UPPER(C221))),ISNUMBER(SEARCH("DEPOSIT",UPPER(C221)))),"Income",IF(ISNUMBER(SEARCH("TRANSFER",UPPER(C221))),"Transfer","Expense")))</f>
        <v/>
      </c>
      <c r="E221" s="97" t="str">
        <f aca="false">IF(C221="","",IFERROR(INDEX(Mapping!$B$5:$B$200,SUMPRODUCT(MAX((ISNUMBER(SEARCH(Mapping!$A$5:$A$200,UPPER(C221&amp;""))))*ROW(Mapping!$A$5:$A$200)))-4),""))</f>
        <v/>
      </c>
      <c r="F221" s="98"/>
      <c r="G221" s="99" t="n">
        <f aca="false">IF(F221="",G220,G220+IF(D221="Income",F221,IF(D221="Expense",-F221,F221)))</f>
        <v>3408.09</v>
      </c>
      <c r="H221" s="100" t="str">
        <f aca="false">IF(C221="","",IFERROR(INDEX(Mapping!$A$5:$A$200,SUMPRODUCT(MAX((ISNUMBER(SEARCH(Mapping!$A$5:$A$200,UPPER(C221&amp;""))))*ROW(Mapping!$A$5:$A$200)))-4)&amp;" → "&amp;INDEX(Mapping!$B$5:$B$200,SUMPRODUCT(MAX((ISNUMBER(SEARCH(Mapping!$A$5:$A$200,UPPER(C221&amp;""))))*ROW(Mapping!$A$5:$A$200)))-4),"❓ no rule (add to Mapping)"))</f>
        <v/>
      </c>
      <c r="I221" s="79" t="str">
        <f aca="false">IF(B221="","",TEXT(B221,"mmm"))</f>
        <v/>
      </c>
      <c r="J221" s="80" t="str">
        <f aca="false">IF(B221="","",YEAR(B221))</f>
        <v/>
      </c>
    </row>
    <row r="222" customFormat="false" ht="18" hidden="false" customHeight="true" outlineLevel="0" collapsed="false">
      <c r="A222" s="81" t="n">
        <v>217</v>
      </c>
      <c r="B222" s="95"/>
      <c r="C222" s="96"/>
      <c r="D222" s="96" t="str">
        <f aca="false">IF(C222="","",IF(OR(ISNUMBER(SEARCH("PAYROLL",UPPER(C222))),ISNUMBER(SEARCH("PAYCHECK",UPPER(C222))),ISNUMBER(SEARCH("DEPOSIT",UPPER(C222)))),"Income",IF(ISNUMBER(SEARCH("TRANSFER",UPPER(C222))),"Transfer","Expense")))</f>
        <v/>
      </c>
      <c r="E222" s="97" t="str">
        <f aca="false">IF(C222="","",IFERROR(INDEX(Mapping!$B$5:$B$200,SUMPRODUCT(MAX((ISNUMBER(SEARCH(Mapping!$A$5:$A$200,UPPER(C222&amp;""))))*ROW(Mapping!$A$5:$A$200)))-4),""))</f>
        <v/>
      </c>
      <c r="F222" s="98"/>
      <c r="G222" s="99" t="n">
        <f aca="false">IF(F222="",G221,G221+IF(D222="Income",F222,IF(D222="Expense",-F222,F222)))</f>
        <v>3408.09</v>
      </c>
      <c r="H222" s="100" t="str">
        <f aca="false">IF(C222="","",IFERROR(INDEX(Mapping!$A$5:$A$200,SUMPRODUCT(MAX((ISNUMBER(SEARCH(Mapping!$A$5:$A$200,UPPER(C222&amp;""))))*ROW(Mapping!$A$5:$A$200)))-4)&amp;" → "&amp;INDEX(Mapping!$B$5:$B$200,SUMPRODUCT(MAX((ISNUMBER(SEARCH(Mapping!$A$5:$A$200,UPPER(C222&amp;""))))*ROW(Mapping!$A$5:$A$200)))-4),"❓ no rule (add to Mapping)"))</f>
        <v/>
      </c>
      <c r="I222" s="79" t="str">
        <f aca="false">IF(B222="","",TEXT(B222,"mmm"))</f>
        <v/>
      </c>
      <c r="J222" s="80" t="str">
        <f aca="false">IF(B222="","",YEAR(B222))</f>
        <v/>
      </c>
    </row>
    <row r="223" customFormat="false" ht="18" hidden="false" customHeight="true" outlineLevel="0" collapsed="false">
      <c r="A223" s="81" t="n">
        <v>218</v>
      </c>
      <c r="B223" s="95"/>
      <c r="C223" s="96"/>
      <c r="D223" s="96" t="str">
        <f aca="false">IF(C223="","",IF(OR(ISNUMBER(SEARCH("PAYROLL",UPPER(C223))),ISNUMBER(SEARCH("PAYCHECK",UPPER(C223))),ISNUMBER(SEARCH("DEPOSIT",UPPER(C223)))),"Income",IF(ISNUMBER(SEARCH("TRANSFER",UPPER(C223))),"Transfer","Expense")))</f>
        <v/>
      </c>
      <c r="E223" s="97" t="str">
        <f aca="false">IF(C223="","",IFERROR(INDEX(Mapping!$B$5:$B$200,SUMPRODUCT(MAX((ISNUMBER(SEARCH(Mapping!$A$5:$A$200,UPPER(C223&amp;""))))*ROW(Mapping!$A$5:$A$200)))-4),""))</f>
        <v/>
      </c>
      <c r="F223" s="98"/>
      <c r="G223" s="99" t="n">
        <f aca="false">IF(F223="",G222,G222+IF(D223="Income",F223,IF(D223="Expense",-F223,F223)))</f>
        <v>3408.09</v>
      </c>
      <c r="H223" s="100" t="str">
        <f aca="false">IF(C223="","",IFERROR(INDEX(Mapping!$A$5:$A$200,SUMPRODUCT(MAX((ISNUMBER(SEARCH(Mapping!$A$5:$A$200,UPPER(C223&amp;""))))*ROW(Mapping!$A$5:$A$200)))-4)&amp;" → "&amp;INDEX(Mapping!$B$5:$B$200,SUMPRODUCT(MAX((ISNUMBER(SEARCH(Mapping!$A$5:$A$200,UPPER(C223&amp;""))))*ROW(Mapping!$A$5:$A$200)))-4),"❓ no rule (add to Mapping)"))</f>
        <v/>
      </c>
      <c r="I223" s="79" t="str">
        <f aca="false">IF(B223="","",TEXT(B223,"mmm"))</f>
        <v/>
      </c>
      <c r="J223" s="80" t="str">
        <f aca="false">IF(B223="","",YEAR(B223))</f>
        <v/>
      </c>
    </row>
    <row r="224" customFormat="false" ht="18" hidden="false" customHeight="true" outlineLevel="0" collapsed="false">
      <c r="A224" s="81" t="n">
        <v>219</v>
      </c>
      <c r="B224" s="95"/>
      <c r="C224" s="96"/>
      <c r="D224" s="96" t="str">
        <f aca="false">IF(C224="","",IF(OR(ISNUMBER(SEARCH("PAYROLL",UPPER(C224))),ISNUMBER(SEARCH("PAYCHECK",UPPER(C224))),ISNUMBER(SEARCH("DEPOSIT",UPPER(C224)))),"Income",IF(ISNUMBER(SEARCH("TRANSFER",UPPER(C224))),"Transfer","Expense")))</f>
        <v/>
      </c>
      <c r="E224" s="97" t="str">
        <f aca="false">IF(C224="","",IFERROR(INDEX(Mapping!$B$5:$B$200,SUMPRODUCT(MAX((ISNUMBER(SEARCH(Mapping!$A$5:$A$200,UPPER(C224&amp;""))))*ROW(Mapping!$A$5:$A$200)))-4),""))</f>
        <v/>
      </c>
      <c r="F224" s="98"/>
      <c r="G224" s="99" t="n">
        <f aca="false">IF(F224="",G223,G223+IF(D224="Income",F224,IF(D224="Expense",-F224,F224)))</f>
        <v>3408.09</v>
      </c>
      <c r="H224" s="100" t="str">
        <f aca="false">IF(C224="","",IFERROR(INDEX(Mapping!$A$5:$A$200,SUMPRODUCT(MAX((ISNUMBER(SEARCH(Mapping!$A$5:$A$200,UPPER(C224&amp;""))))*ROW(Mapping!$A$5:$A$200)))-4)&amp;" → "&amp;INDEX(Mapping!$B$5:$B$200,SUMPRODUCT(MAX((ISNUMBER(SEARCH(Mapping!$A$5:$A$200,UPPER(C224&amp;""))))*ROW(Mapping!$A$5:$A$200)))-4),"❓ no rule (add to Mapping)"))</f>
        <v/>
      </c>
      <c r="I224" s="79" t="str">
        <f aca="false">IF(B224="","",TEXT(B224,"mmm"))</f>
        <v/>
      </c>
      <c r="J224" s="80" t="str">
        <f aca="false">IF(B224="","",YEAR(B224))</f>
        <v/>
      </c>
    </row>
    <row r="225" customFormat="false" ht="18" hidden="false" customHeight="true" outlineLevel="0" collapsed="false">
      <c r="A225" s="81" t="n">
        <v>220</v>
      </c>
      <c r="B225" s="95"/>
      <c r="C225" s="96"/>
      <c r="D225" s="96" t="str">
        <f aca="false">IF(C225="","",IF(OR(ISNUMBER(SEARCH("PAYROLL",UPPER(C225))),ISNUMBER(SEARCH("PAYCHECK",UPPER(C225))),ISNUMBER(SEARCH("DEPOSIT",UPPER(C225)))),"Income",IF(ISNUMBER(SEARCH("TRANSFER",UPPER(C225))),"Transfer","Expense")))</f>
        <v/>
      </c>
      <c r="E225" s="97" t="str">
        <f aca="false">IF(C225="","",IFERROR(INDEX(Mapping!$B$5:$B$200,SUMPRODUCT(MAX((ISNUMBER(SEARCH(Mapping!$A$5:$A$200,UPPER(C225&amp;""))))*ROW(Mapping!$A$5:$A$200)))-4),""))</f>
        <v/>
      </c>
      <c r="F225" s="98"/>
      <c r="G225" s="99" t="n">
        <f aca="false">IF(F225="",G224,G224+IF(D225="Income",F225,IF(D225="Expense",-F225,F225)))</f>
        <v>3408.09</v>
      </c>
      <c r="H225" s="100" t="str">
        <f aca="false">IF(C225="","",IFERROR(INDEX(Mapping!$A$5:$A$200,SUMPRODUCT(MAX((ISNUMBER(SEARCH(Mapping!$A$5:$A$200,UPPER(C225&amp;""))))*ROW(Mapping!$A$5:$A$200)))-4)&amp;" → "&amp;INDEX(Mapping!$B$5:$B$200,SUMPRODUCT(MAX((ISNUMBER(SEARCH(Mapping!$A$5:$A$200,UPPER(C225&amp;""))))*ROW(Mapping!$A$5:$A$200)))-4),"❓ no rule (add to Mapping)"))</f>
        <v/>
      </c>
      <c r="I225" s="79" t="str">
        <f aca="false">IF(B225="","",TEXT(B225,"mmm"))</f>
        <v/>
      </c>
      <c r="J225" s="80" t="str">
        <f aca="false">IF(B225="","",YEAR(B225))</f>
        <v/>
      </c>
    </row>
    <row r="226" customFormat="false" ht="18" hidden="false" customHeight="true" outlineLevel="0" collapsed="false">
      <c r="A226" s="81" t="n">
        <v>221</v>
      </c>
      <c r="B226" s="95"/>
      <c r="C226" s="96"/>
      <c r="D226" s="96" t="str">
        <f aca="false">IF(C226="","",IF(OR(ISNUMBER(SEARCH("PAYROLL",UPPER(C226))),ISNUMBER(SEARCH("PAYCHECK",UPPER(C226))),ISNUMBER(SEARCH("DEPOSIT",UPPER(C226)))),"Income",IF(ISNUMBER(SEARCH("TRANSFER",UPPER(C226))),"Transfer","Expense")))</f>
        <v/>
      </c>
      <c r="E226" s="97" t="str">
        <f aca="false">IF(C226="","",IFERROR(INDEX(Mapping!$B$5:$B$200,SUMPRODUCT(MAX((ISNUMBER(SEARCH(Mapping!$A$5:$A$200,UPPER(C226&amp;""))))*ROW(Mapping!$A$5:$A$200)))-4),""))</f>
        <v/>
      </c>
      <c r="F226" s="98"/>
      <c r="G226" s="99" t="n">
        <f aca="false">IF(F226="",G225,G225+IF(D226="Income",F226,IF(D226="Expense",-F226,F226)))</f>
        <v>3408.09</v>
      </c>
      <c r="H226" s="100" t="str">
        <f aca="false">IF(C226="","",IFERROR(INDEX(Mapping!$A$5:$A$200,SUMPRODUCT(MAX((ISNUMBER(SEARCH(Mapping!$A$5:$A$200,UPPER(C226&amp;""))))*ROW(Mapping!$A$5:$A$200)))-4)&amp;" → "&amp;INDEX(Mapping!$B$5:$B$200,SUMPRODUCT(MAX((ISNUMBER(SEARCH(Mapping!$A$5:$A$200,UPPER(C226&amp;""))))*ROW(Mapping!$A$5:$A$200)))-4),"❓ no rule (add to Mapping)"))</f>
        <v/>
      </c>
      <c r="I226" s="79" t="str">
        <f aca="false">IF(B226="","",TEXT(B226,"mmm"))</f>
        <v/>
      </c>
      <c r="J226" s="80" t="str">
        <f aca="false">IF(B226="","",YEAR(B226))</f>
        <v/>
      </c>
    </row>
    <row r="227" customFormat="false" ht="18" hidden="false" customHeight="true" outlineLevel="0" collapsed="false">
      <c r="A227" s="81" t="n">
        <v>222</v>
      </c>
      <c r="B227" s="95"/>
      <c r="C227" s="96"/>
      <c r="D227" s="96" t="str">
        <f aca="false">IF(C227="","",IF(OR(ISNUMBER(SEARCH("PAYROLL",UPPER(C227))),ISNUMBER(SEARCH("PAYCHECK",UPPER(C227))),ISNUMBER(SEARCH("DEPOSIT",UPPER(C227)))),"Income",IF(ISNUMBER(SEARCH("TRANSFER",UPPER(C227))),"Transfer","Expense")))</f>
        <v/>
      </c>
      <c r="E227" s="97" t="str">
        <f aca="false">IF(C227="","",IFERROR(INDEX(Mapping!$B$5:$B$200,SUMPRODUCT(MAX((ISNUMBER(SEARCH(Mapping!$A$5:$A$200,UPPER(C227&amp;""))))*ROW(Mapping!$A$5:$A$200)))-4),""))</f>
        <v/>
      </c>
      <c r="F227" s="98"/>
      <c r="G227" s="99" t="n">
        <f aca="false">IF(F227="",G226,G226+IF(D227="Income",F227,IF(D227="Expense",-F227,F227)))</f>
        <v>3408.09</v>
      </c>
      <c r="H227" s="100" t="str">
        <f aca="false">IF(C227="","",IFERROR(INDEX(Mapping!$A$5:$A$200,SUMPRODUCT(MAX((ISNUMBER(SEARCH(Mapping!$A$5:$A$200,UPPER(C227&amp;""))))*ROW(Mapping!$A$5:$A$200)))-4)&amp;" → "&amp;INDEX(Mapping!$B$5:$B$200,SUMPRODUCT(MAX((ISNUMBER(SEARCH(Mapping!$A$5:$A$200,UPPER(C227&amp;""))))*ROW(Mapping!$A$5:$A$200)))-4),"❓ no rule (add to Mapping)"))</f>
        <v/>
      </c>
      <c r="I227" s="79" t="str">
        <f aca="false">IF(B227="","",TEXT(B227,"mmm"))</f>
        <v/>
      </c>
      <c r="J227" s="80" t="str">
        <f aca="false">IF(B227="","",YEAR(B227))</f>
        <v/>
      </c>
    </row>
    <row r="228" customFormat="false" ht="18" hidden="false" customHeight="true" outlineLevel="0" collapsed="false">
      <c r="A228" s="81" t="n">
        <v>223</v>
      </c>
      <c r="B228" s="95"/>
      <c r="C228" s="96"/>
      <c r="D228" s="96" t="str">
        <f aca="false">IF(C228="","",IF(OR(ISNUMBER(SEARCH("PAYROLL",UPPER(C228))),ISNUMBER(SEARCH("PAYCHECK",UPPER(C228))),ISNUMBER(SEARCH("DEPOSIT",UPPER(C228)))),"Income",IF(ISNUMBER(SEARCH("TRANSFER",UPPER(C228))),"Transfer","Expense")))</f>
        <v/>
      </c>
      <c r="E228" s="97" t="str">
        <f aca="false">IF(C228="","",IFERROR(INDEX(Mapping!$B$5:$B$200,SUMPRODUCT(MAX((ISNUMBER(SEARCH(Mapping!$A$5:$A$200,UPPER(C228&amp;""))))*ROW(Mapping!$A$5:$A$200)))-4),""))</f>
        <v/>
      </c>
      <c r="F228" s="98"/>
      <c r="G228" s="99" t="n">
        <f aca="false">IF(F228="",G227,G227+IF(D228="Income",F228,IF(D228="Expense",-F228,F228)))</f>
        <v>3408.09</v>
      </c>
      <c r="H228" s="100" t="str">
        <f aca="false">IF(C228="","",IFERROR(INDEX(Mapping!$A$5:$A$200,SUMPRODUCT(MAX((ISNUMBER(SEARCH(Mapping!$A$5:$A$200,UPPER(C228&amp;""))))*ROW(Mapping!$A$5:$A$200)))-4)&amp;" → "&amp;INDEX(Mapping!$B$5:$B$200,SUMPRODUCT(MAX((ISNUMBER(SEARCH(Mapping!$A$5:$A$200,UPPER(C228&amp;""))))*ROW(Mapping!$A$5:$A$200)))-4),"❓ no rule (add to Mapping)"))</f>
        <v/>
      </c>
      <c r="I228" s="79" t="str">
        <f aca="false">IF(B228="","",TEXT(B228,"mmm"))</f>
        <v/>
      </c>
      <c r="J228" s="80" t="str">
        <f aca="false">IF(B228="","",YEAR(B228))</f>
        <v/>
      </c>
    </row>
    <row r="229" customFormat="false" ht="18" hidden="false" customHeight="true" outlineLevel="0" collapsed="false">
      <c r="A229" s="81" t="n">
        <v>224</v>
      </c>
      <c r="B229" s="95"/>
      <c r="C229" s="96"/>
      <c r="D229" s="96" t="str">
        <f aca="false">IF(C229="","",IF(OR(ISNUMBER(SEARCH("PAYROLL",UPPER(C229))),ISNUMBER(SEARCH("PAYCHECK",UPPER(C229))),ISNUMBER(SEARCH("DEPOSIT",UPPER(C229)))),"Income",IF(ISNUMBER(SEARCH("TRANSFER",UPPER(C229))),"Transfer","Expense")))</f>
        <v/>
      </c>
      <c r="E229" s="97" t="str">
        <f aca="false">IF(C229="","",IFERROR(INDEX(Mapping!$B$5:$B$200,SUMPRODUCT(MAX((ISNUMBER(SEARCH(Mapping!$A$5:$A$200,UPPER(C229&amp;""))))*ROW(Mapping!$A$5:$A$200)))-4),""))</f>
        <v/>
      </c>
      <c r="F229" s="98"/>
      <c r="G229" s="99" t="n">
        <f aca="false">IF(F229="",G228,G228+IF(D229="Income",F229,IF(D229="Expense",-F229,F229)))</f>
        <v>3408.09</v>
      </c>
      <c r="H229" s="100" t="str">
        <f aca="false">IF(C229="","",IFERROR(INDEX(Mapping!$A$5:$A$200,SUMPRODUCT(MAX((ISNUMBER(SEARCH(Mapping!$A$5:$A$200,UPPER(C229&amp;""))))*ROW(Mapping!$A$5:$A$200)))-4)&amp;" → "&amp;INDEX(Mapping!$B$5:$B$200,SUMPRODUCT(MAX((ISNUMBER(SEARCH(Mapping!$A$5:$A$200,UPPER(C229&amp;""))))*ROW(Mapping!$A$5:$A$200)))-4),"❓ no rule (add to Mapping)"))</f>
        <v/>
      </c>
      <c r="I229" s="79" t="str">
        <f aca="false">IF(B229="","",TEXT(B229,"mmm"))</f>
        <v/>
      </c>
      <c r="J229" s="80" t="str">
        <f aca="false">IF(B229="","",YEAR(B229))</f>
        <v/>
      </c>
    </row>
    <row r="230" customFormat="false" ht="18" hidden="false" customHeight="true" outlineLevel="0" collapsed="false">
      <c r="A230" s="81" t="n">
        <v>225</v>
      </c>
      <c r="B230" s="95"/>
      <c r="C230" s="96"/>
      <c r="D230" s="96" t="str">
        <f aca="false">IF(C230="","",IF(OR(ISNUMBER(SEARCH("PAYROLL",UPPER(C230))),ISNUMBER(SEARCH("PAYCHECK",UPPER(C230))),ISNUMBER(SEARCH("DEPOSIT",UPPER(C230)))),"Income",IF(ISNUMBER(SEARCH("TRANSFER",UPPER(C230))),"Transfer","Expense")))</f>
        <v/>
      </c>
      <c r="E230" s="97" t="str">
        <f aca="false">IF(C230="","",IFERROR(INDEX(Mapping!$B$5:$B$200,SUMPRODUCT(MAX((ISNUMBER(SEARCH(Mapping!$A$5:$A$200,UPPER(C230&amp;""))))*ROW(Mapping!$A$5:$A$200)))-4),""))</f>
        <v/>
      </c>
      <c r="F230" s="98"/>
      <c r="G230" s="99" t="n">
        <f aca="false">IF(F230="",G229,G229+IF(D230="Income",F230,IF(D230="Expense",-F230,F230)))</f>
        <v>3408.09</v>
      </c>
      <c r="H230" s="100" t="str">
        <f aca="false">IF(C230="","",IFERROR(INDEX(Mapping!$A$5:$A$200,SUMPRODUCT(MAX((ISNUMBER(SEARCH(Mapping!$A$5:$A$200,UPPER(C230&amp;""))))*ROW(Mapping!$A$5:$A$200)))-4)&amp;" → "&amp;INDEX(Mapping!$B$5:$B$200,SUMPRODUCT(MAX((ISNUMBER(SEARCH(Mapping!$A$5:$A$200,UPPER(C230&amp;""))))*ROW(Mapping!$A$5:$A$200)))-4),"❓ no rule (add to Mapping)"))</f>
        <v/>
      </c>
      <c r="I230" s="79" t="str">
        <f aca="false">IF(B230="","",TEXT(B230,"mmm"))</f>
        <v/>
      </c>
      <c r="J230" s="80" t="str">
        <f aca="false">IF(B230="","",YEAR(B230))</f>
        <v/>
      </c>
    </row>
    <row r="231" customFormat="false" ht="18" hidden="false" customHeight="true" outlineLevel="0" collapsed="false">
      <c r="A231" s="81" t="n">
        <v>226</v>
      </c>
      <c r="B231" s="95"/>
      <c r="C231" s="96"/>
      <c r="D231" s="96" t="str">
        <f aca="false">IF(C231="","",IF(OR(ISNUMBER(SEARCH("PAYROLL",UPPER(C231))),ISNUMBER(SEARCH("PAYCHECK",UPPER(C231))),ISNUMBER(SEARCH("DEPOSIT",UPPER(C231)))),"Income",IF(ISNUMBER(SEARCH("TRANSFER",UPPER(C231))),"Transfer","Expense")))</f>
        <v/>
      </c>
      <c r="E231" s="97" t="str">
        <f aca="false">IF(C231="","",IFERROR(INDEX(Mapping!$B$5:$B$200,SUMPRODUCT(MAX((ISNUMBER(SEARCH(Mapping!$A$5:$A$200,UPPER(C231&amp;""))))*ROW(Mapping!$A$5:$A$200)))-4),""))</f>
        <v/>
      </c>
      <c r="F231" s="98"/>
      <c r="G231" s="99" t="n">
        <f aca="false">IF(F231="",G230,G230+IF(D231="Income",F231,IF(D231="Expense",-F231,F231)))</f>
        <v>3408.09</v>
      </c>
      <c r="H231" s="100" t="str">
        <f aca="false">IF(C231="","",IFERROR(INDEX(Mapping!$A$5:$A$200,SUMPRODUCT(MAX((ISNUMBER(SEARCH(Mapping!$A$5:$A$200,UPPER(C231&amp;""))))*ROW(Mapping!$A$5:$A$200)))-4)&amp;" → "&amp;INDEX(Mapping!$B$5:$B$200,SUMPRODUCT(MAX((ISNUMBER(SEARCH(Mapping!$A$5:$A$200,UPPER(C231&amp;""))))*ROW(Mapping!$A$5:$A$200)))-4),"❓ no rule (add to Mapping)"))</f>
        <v/>
      </c>
      <c r="I231" s="79" t="str">
        <f aca="false">IF(B231="","",TEXT(B231,"mmm"))</f>
        <v/>
      </c>
      <c r="J231" s="80" t="str">
        <f aca="false">IF(B231="","",YEAR(B231))</f>
        <v/>
      </c>
    </row>
    <row r="232" customFormat="false" ht="18" hidden="false" customHeight="true" outlineLevel="0" collapsed="false">
      <c r="A232" s="81" t="n">
        <v>227</v>
      </c>
      <c r="B232" s="95"/>
      <c r="C232" s="96"/>
      <c r="D232" s="96" t="str">
        <f aca="false">IF(C232="","",IF(OR(ISNUMBER(SEARCH("PAYROLL",UPPER(C232))),ISNUMBER(SEARCH("PAYCHECK",UPPER(C232))),ISNUMBER(SEARCH("DEPOSIT",UPPER(C232)))),"Income",IF(ISNUMBER(SEARCH("TRANSFER",UPPER(C232))),"Transfer","Expense")))</f>
        <v/>
      </c>
      <c r="E232" s="97" t="str">
        <f aca="false">IF(C232="","",IFERROR(INDEX(Mapping!$B$5:$B$200,SUMPRODUCT(MAX((ISNUMBER(SEARCH(Mapping!$A$5:$A$200,UPPER(C232&amp;""))))*ROW(Mapping!$A$5:$A$200)))-4),""))</f>
        <v/>
      </c>
      <c r="F232" s="98"/>
      <c r="G232" s="99" t="n">
        <f aca="false">IF(F232="",G231,G231+IF(D232="Income",F232,IF(D232="Expense",-F232,F232)))</f>
        <v>3408.09</v>
      </c>
      <c r="H232" s="100" t="str">
        <f aca="false">IF(C232="","",IFERROR(INDEX(Mapping!$A$5:$A$200,SUMPRODUCT(MAX((ISNUMBER(SEARCH(Mapping!$A$5:$A$200,UPPER(C232&amp;""))))*ROW(Mapping!$A$5:$A$200)))-4)&amp;" → "&amp;INDEX(Mapping!$B$5:$B$200,SUMPRODUCT(MAX((ISNUMBER(SEARCH(Mapping!$A$5:$A$200,UPPER(C232&amp;""))))*ROW(Mapping!$A$5:$A$200)))-4),"❓ no rule (add to Mapping)"))</f>
        <v/>
      </c>
      <c r="I232" s="79" t="str">
        <f aca="false">IF(B232="","",TEXT(B232,"mmm"))</f>
        <v/>
      </c>
      <c r="J232" s="80" t="str">
        <f aca="false">IF(B232="","",YEAR(B232))</f>
        <v/>
      </c>
    </row>
    <row r="233" customFormat="false" ht="18" hidden="false" customHeight="true" outlineLevel="0" collapsed="false">
      <c r="A233" s="81" t="n">
        <v>228</v>
      </c>
      <c r="B233" s="95"/>
      <c r="C233" s="96"/>
      <c r="D233" s="96" t="str">
        <f aca="false">IF(C233="","",IF(OR(ISNUMBER(SEARCH("PAYROLL",UPPER(C233))),ISNUMBER(SEARCH("PAYCHECK",UPPER(C233))),ISNUMBER(SEARCH("DEPOSIT",UPPER(C233)))),"Income",IF(ISNUMBER(SEARCH("TRANSFER",UPPER(C233))),"Transfer","Expense")))</f>
        <v/>
      </c>
      <c r="E233" s="97" t="str">
        <f aca="false">IF(C233="","",IFERROR(INDEX(Mapping!$B$5:$B$200,SUMPRODUCT(MAX((ISNUMBER(SEARCH(Mapping!$A$5:$A$200,UPPER(C233&amp;""))))*ROW(Mapping!$A$5:$A$200)))-4),""))</f>
        <v/>
      </c>
      <c r="F233" s="98"/>
      <c r="G233" s="99" t="n">
        <f aca="false">IF(F233="",G232,G232+IF(D233="Income",F233,IF(D233="Expense",-F233,F233)))</f>
        <v>3408.09</v>
      </c>
      <c r="H233" s="100" t="str">
        <f aca="false">IF(C233="","",IFERROR(INDEX(Mapping!$A$5:$A$200,SUMPRODUCT(MAX((ISNUMBER(SEARCH(Mapping!$A$5:$A$200,UPPER(C233&amp;""))))*ROW(Mapping!$A$5:$A$200)))-4)&amp;" → "&amp;INDEX(Mapping!$B$5:$B$200,SUMPRODUCT(MAX((ISNUMBER(SEARCH(Mapping!$A$5:$A$200,UPPER(C233&amp;""))))*ROW(Mapping!$A$5:$A$200)))-4),"❓ no rule (add to Mapping)"))</f>
        <v/>
      </c>
      <c r="I233" s="79" t="str">
        <f aca="false">IF(B233="","",TEXT(B233,"mmm"))</f>
        <v/>
      </c>
      <c r="J233" s="80" t="str">
        <f aca="false">IF(B233="","",YEAR(B233))</f>
        <v/>
      </c>
    </row>
    <row r="234" customFormat="false" ht="18" hidden="false" customHeight="true" outlineLevel="0" collapsed="false">
      <c r="A234" s="81" t="n">
        <v>229</v>
      </c>
      <c r="B234" s="95"/>
      <c r="C234" s="96"/>
      <c r="D234" s="96" t="str">
        <f aca="false">IF(C234="","",IF(OR(ISNUMBER(SEARCH("PAYROLL",UPPER(C234))),ISNUMBER(SEARCH("PAYCHECK",UPPER(C234))),ISNUMBER(SEARCH("DEPOSIT",UPPER(C234)))),"Income",IF(ISNUMBER(SEARCH("TRANSFER",UPPER(C234))),"Transfer","Expense")))</f>
        <v/>
      </c>
      <c r="E234" s="97" t="str">
        <f aca="false">IF(C234="","",IFERROR(INDEX(Mapping!$B$5:$B$200,SUMPRODUCT(MAX((ISNUMBER(SEARCH(Mapping!$A$5:$A$200,UPPER(C234&amp;""))))*ROW(Mapping!$A$5:$A$200)))-4),""))</f>
        <v/>
      </c>
      <c r="F234" s="98"/>
      <c r="G234" s="99" t="n">
        <f aca="false">IF(F234="",G233,G233+IF(D234="Income",F234,IF(D234="Expense",-F234,F234)))</f>
        <v>3408.09</v>
      </c>
      <c r="H234" s="100" t="str">
        <f aca="false">IF(C234="","",IFERROR(INDEX(Mapping!$A$5:$A$200,SUMPRODUCT(MAX((ISNUMBER(SEARCH(Mapping!$A$5:$A$200,UPPER(C234&amp;""))))*ROW(Mapping!$A$5:$A$200)))-4)&amp;" → "&amp;INDEX(Mapping!$B$5:$B$200,SUMPRODUCT(MAX((ISNUMBER(SEARCH(Mapping!$A$5:$A$200,UPPER(C234&amp;""))))*ROW(Mapping!$A$5:$A$200)))-4),"❓ no rule (add to Mapping)"))</f>
        <v/>
      </c>
      <c r="I234" s="79" t="str">
        <f aca="false">IF(B234="","",TEXT(B234,"mmm"))</f>
        <v/>
      </c>
      <c r="J234" s="80" t="str">
        <f aca="false">IF(B234="","",YEAR(B234))</f>
        <v/>
      </c>
    </row>
    <row r="235" customFormat="false" ht="18" hidden="false" customHeight="true" outlineLevel="0" collapsed="false">
      <c r="A235" s="81" t="n">
        <v>230</v>
      </c>
      <c r="B235" s="95"/>
      <c r="C235" s="96"/>
      <c r="D235" s="96" t="str">
        <f aca="false">IF(C235="","",IF(OR(ISNUMBER(SEARCH("PAYROLL",UPPER(C235))),ISNUMBER(SEARCH("PAYCHECK",UPPER(C235))),ISNUMBER(SEARCH("DEPOSIT",UPPER(C235)))),"Income",IF(ISNUMBER(SEARCH("TRANSFER",UPPER(C235))),"Transfer","Expense")))</f>
        <v/>
      </c>
      <c r="E235" s="97" t="str">
        <f aca="false">IF(C235="","",IFERROR(INDEX(Mapping!$B$5:$B$200,SUMPRODUCT(MAX((ISNUMBER(SEARCH(Mapping!$A$5:$A$200,UPPER(C235&amp;""))))*ROW(Mapping!$A$5:$A$200)))-4),""))</f>
        <v/>
      </c>
      <c r="F235" s="98"/>
      <c r="G235" s="99" t="n">
        <f aca="false">IF(F235="",G234,G234+IF(D235="Income",F235,IF(D235="Expense",-F235,F235)))</f>
        <v>3408.09</v>
      </c>
      <c r="H235" s="100" t="str">
        <f aca="false">IF(C235="","",IFERROR(INDEX(Mapping!$A$5:$A$200,SUMPRODUCT(MAX((ISNUMBER(SEARCH(Mapping!$A$5:$A$200,UPPER(C235&amp;""))))*ROW(Mapping!$A$5:$A$200)))-4)&amp;" → "&amp;INDEX(Mapping!$B$5:$B$200,SUMPRODUCT(MAX((ISNUMBER(SEARCH(Mapping!$A$5:$A$200,UPPER(C235&amp;""))))*ROW(Mapping!$A$5:$A$200)))-4),"❓ no rule (add to Mapping)"))</f>
        <v/>
      </c>
      <c r="I235" s="79" t="str">
        <f aca="false">IF(B235="","",TEXT(B235,"mmm"))</f>
        <v/>
      </c>
      <c r="J235" s="80" t="str">
        <f aca="false">IF(B235="","",YEAR(B235))</f>
        <v/>
      </c>
    </row>
    <row r="236" customFormat="false" ht="18" hidden="false" customHeight="true" outlineLevel="0" collapsed="false">
      <c r="A236" s="81" t="n">
        <v>231</v>
      </c>
      <c r="B236" s="95"/>
      <c r="C236" s="96"/>
      <c r="D236" s="96" t="str">
        <f aca="false">IF(C236="","",IF(OR(ISNUMBER(SEARCH("PAYROLL",UPPER(C236))),ISNUMBER(SEARCH("PAYCHECK",UPPER(C236))),ISNUMBER(SEARCH("DEPOSIT",UPPER(C236)))),"Income",IF(ISNUMBER(SEARCH("TRANSFER",UPPER(C236))),"Transfer","Expense")))</f>
        <v/>
      </c>
      <c r="E236" s="97" t="str">
        <f aca="false">IF(C236="","",IFERROR(INDEX(Mapping!$B$5:$B$200,SUMPRODUCT(MAX((ISNUMBER(SEARCH(Mapping!$A$5:$A$200,UPPER(C236&amp;""))))*ROW(Mapping!$A$5:$A$200)))-4),""))</f>
        <v/>
      </c>
      <c r="F236" s="98"/>
      <c r="G236" s="99" t="n">
        <f aca="false">IF(F236="",G235,G235+IF(D236="Income",F236,IF(D236="Expense",-F236,F236)))</f>
        <v>3408.09</v>
      </c>
      <c r="H236" s="100" t="str">
        <f aca="false">IF(C236="","",IFERROR(INDEX(Mapping!$A$5:$A$200,SUMPRODUCT(MAX((ISNUMBER(SEARCH(Mapping!$A$5:$A$200,UPPER(C236&amp;""))))*ROW(Mapping!$A$5:$A$200)))-4)&amp;" → "&amp;INDEX(Mapping!$B$5:$B$200,SUMPRODUCT(MAX((ISNUMBER(SEARCH(Mapping!$A$5:$A$200,UPPER(C236&amp;""))))*ROW(Mapping!$A$5:$A$200)))-4),"❓ no rule (add to Mapping)"))</f>
        <v/>
      </c>
      <c r="I236" s="79" t="str">
        <f aca="false">IF(B236="","",TEXT(B236,"mmm"))</f>
        <v/>
      </c>
      <c r="J236" s="80" t="str">
        <f aca="false">IF(B236="","",YEAR(B236))</f>
        <v/>
      </c>
    </row>
    <row r="237" customFormat="false" ht="18" hidden="false" customHeight="true" outlineLevel="0" collapsed="false">
      <c r="A237" s="81" t="n">
        <v>232</v>
      </c>
      <c r="B237" s="95"/>
      <c r="C237" s="96"/>
      <c r="D237" s="96" t="str">
        <f aca="false">IF(C237="","",IF(OR(ISNUMBER(SEARCH("PAYROLL",UPPER(C237))),ISNUMBER(SEARCH("PAYCHECK",UPPER(C237))),ISNUMBER(SEARCH("DEPOSIT",UPPER(C237)))),"Income",IF(ISNUMBER(SEARCH("TRANSFER",UPPER(C237))),"Transfer","Expense")))</f>
        <v/>
      </c>
      <c r="E237" s="97" t="str">
        <f aca="false">IF(C237="","",IFERROR(INDEX(Mapping!$B$5:$B$200,SUMPRODUCT(MAX((ISNUMBER(SEARCH(Mapping!$A$5:$A$200,UPPER(C237&amp;""))))*ROW(Mapping!$A$5:$A$200)))-4),""))</f>
        <v/>
      </c>
      <c r="F237" s="98"/>
      <c r="G237" s="99" t="n">
        <f aca="false">IF(F237="",G236,G236+IF(D237="Income",F237,IF(D237="Expense",-F237,F237)))</f>
        <v>3408.09</v>
      </c>
      <c r="H237" s="100" t="str">
        <f aca="false">IF(C237="","",IFERROR(INDEX(Mapping!$A$5:$A$200,SUMPRODUCT(MAX((ISNUMBER(SEARCH(Mapping!$A$5:$A$200,UPPER(C237&amp;""))))*ROW(Mapping!$A$5:$A$200)))-4)&amp;" → "&amp;INDEX(Mapping!$B$5:$B$200,SUMPRODUCT(MAX((ISNUMBER(SEARCH(Mapping!$A$5:$A$200,UPPER(C237&amp;""))))*ROW(Mapping!$A$5:$A$200)))-4),"❓ no rule (add to Mapping)"))</f>
        <v/>
      </c>
      <c r="I237" s="79" t="str">
        <f aca="false">IF(B237="","",TEXT(B237,"mmm"))</f>
        <v/>
      </c>
      <c r="J237" s="80" t="str">
        <f aca="false">IF(B237="","",YEAR(B237))</f>
        <v/>
      </c>
    </row>
    <row r="238" customFormat="false" ht="18" hidden="false" customHeight="true" outlineLevel="0" collapsed="false">
      <c r="A238" s="81" t="n">
        <v>233</v>
      </c>
      <c r="B238" s="95"/>
      <c r="C238" s="96"/>
      <c r="D238" s="96" t="str">
        <f aca="false">IF(C238="","",IF(OR(ISNUMBER(SEARCH("PAYROLL",UPPER(C238))),ISNUMBER(SEARCH("PAYCHECK",UPPER(C238))),ISNUMBER(SEARCH("DEPOSIT",UPPER(C238)))),"Income",IF(ISNUMBER(SEARCH("TRANSFER",UPPER(C238))),"Transfer","Expense")))</f>
        <v/>
      </c>
      <c r="E238" s="97" t="str">
        <f aca="false">IF(C238="","",IFERROR(INDEX(Mapping!$B$5:$B$200,SUMPRODUCT(MAX((ISNUMBER(SEARCH(Mapping!$A$5:$A$200,UPPER(C238&amp;""))))*ROW(Mapping!$A$5:$A$200)))-4),""))</f>
        <v/>
      </c>
      <c r="F238" s="98"/>
      <c r="G238" s="99" t="n">
        <f aca="false">IF(F238="",G237,G237+IF(D238="Income",F238,IF(D238="Expense",-F238,F238)))</f>
        <v>3408.09</v>
      </c>
      <c r="H238" s="100" t="str">
        <f aca="false">IF(C238="","",IFERROR(INDEX(Mapping!$A$5:$A$200,SUMPRODUCT(MAX((ISNUMBER(SEARCH(Mapping!$A$5:$A$200,UPPER(C238&amp;""))))*ROW(Mapping!$A$5:$A$200)))-4)&amp;" → "&amp;INDEX(Mapping!$B$5:$B$200,SUMPRODUCT(MAX((ISNUMBER(SEARCH(Mapping!$A$5:$A$200,UPPER(C238&amp;""))))*ROW(Mapping!$A$5:$A$200)))-4),"❓ no rule (add to Mapping)"))</f>
        <v/>
      </c>
      <c r="I238" s="79" t="str">
        <f aca="false">IF(B238="","",TEXT(B238,"mmm"))</f>
        <v/>
      </c>
      <c r="J238" s="80" t="str">
        <f aca="false">IF(B238="","",YEAR(B238))</f>
        <v/>
      </c>
    </row>
    <row r="239" customFormat="false" ht="18" hidden="false" customHeight="true" outlineLevel="0" collapsed="false">
      <c r="A239" s="81" t="n">
        <v>234</v>
      </c>
      <c r="B239" s="95"/>
      <c r="C239" s="96"/>
      <c r="D239" s="96" t="str">
        <f aca="false">IF(C239="","",IF(OR(ISNUMBER(SEARCH("PAYROLL",UPPER(C239))),ISNUMBER(SEARCH("PAYCHECK",UPPER(C239))),ISNUMBER(SEARCH("DEPOSIT",UPPER(C239)))),"Income",IF(ISNUMBER(SEARCH("TRANSFER",UPPER(C239))),"Transfer","Expense")))</f>
        <v/>
      </c>
      <c r="E239" s="97" t="str">
        <f aca="false">IF(C239="","",IFERROR(INDEX(Mapping!$B$5:$B$200,SUMPRODUCT(MAX((ISNUMBER(SEARCH(Mapping!$A$5:$A$200,UPPER(C239&amp;""))))*ROW(Mapping!$A$5:$A$200)))-4),""))</f>
        <v/>
      </c>
      <c r="F239" s="98"/>
      <c r="G239" s="99" t="n">
        <f aca="false">IF(F239="",G238,G238+IF(D239="Income",F239,IF(D239="Expense",-F239,F239)))</f>
        <v>3408.09</v>
      </c>
      <c r="H239" s="100" t="str">
        <f aca="false">IF(C239="","",IFERROR(INDEX(Mapping!$A$5:$A$200,SUMPRODUCT(MAX((ISNUMBER(SEARCH(Mapping!$A$5:$A$200,UPPER(C239&amp;""))))*ROW(Mapping!$A$5:$A$200)))-4)&amp;" → "&amp;INDEX(Mapping!$B$5:$B$200,SUMPRODUCT(MAX((ISNUMBER(SEARCH(Mapping!$A$5:$A$200,UPPER(C239&amp;""))))*ROW(Mapping!$A$5:$A$200)))-4),"❓ no rule (add to Mapping)"))</f>
        <v/>
      </c>
      <c r="I239" s="79" t="str">
        <f aca="false">IF(B239="","",TEXT(B239,"mmm"))</f>
        <v/>
      </c>
      <c r="J239" s="80" t="str">
        <f aca="false">IF(B239="","",YEAR(B239))</f>
        <v/>
      </c>
    </row>
    <row r="240" customFormat="false" ht="18" hidden="false" customHeight="true" outlineLevel="0" collapsed="false">
      <c r="A240" s="81" t="n">
        <v>235</v>
      </c>
      <c r="B240" s="95"/>
      <c r="C240" s="96"/>
      <c r="D240" s="96" t="str">
        <f aca="false">IF(C240="","",IF(OR(ISNUMBER(SEARCH("PAYROLL",UPPER(C240))),ISNUMBER(SEARCH("PAYCHECK",UPPER(C240))),ISNUMBER(SEARCH("DEPOSIT",UPPER(C240)))),"Income",IF(ISNUMBER(SEARCH("TRANSFER",UPPER(C240))),"Transfer","Expense")))</f>
        <v/>
      </c>
      <c r="E240" s="97" t="str">
        <f aca="false">IF(C240="","",IFERROR(INDEX(Mapping!$B$5:$B$200,SUMPRODUCT(MAX((ISNUMBER(SEARCH(Mapping!$A$5:$A$200,UPPER(C240&amp;""))))*ROW(Mapping!$A$5:$A$200)))-4),""))</f>
        <v/>
      </c>
      <c r="F240" s="98"/>
      <c r="G240" s="99" t="n">
        <f aca="false">IF(F240="",G239,G239+IF(D240="Income",F240,IF(D240="Expense",-F240,F240)))</f>
        <v>3408.09</v>
      </c>
      <c r="H240" s="100" t="str">
        <f aca="false">IF(C240="","",IFERROR(INDEX(Mapping!$A$5:$A$200,SUMPRODUCT(MAX((ISNUMBER(SEARCH(Mapping!$A$5:$A$200,UPPER(C240&amp;""))))*ROW(Mapping!$A$5:$A$200)))-4)&amp;" → "&amp;INDEX(Mapping!$B$5:$B$200,SUMPRODUCT(MAX((ISNUMBER(SEARCH(Mapping!$A$5:$A$200,UPPER(C240&amp;""))))*ROW(Mapping!$A$5:$A$200)))-4),"❓ no rule (add to Mapping)"))</f>
        <v/>
      </c>
      <c r="I240" s="79" t="str">
        <f aca="false">IF(B240="","",TEXT(B240,"mmm"))</f>
        <v/>
      </c>
      <c r="J240" s="80" t="str">
        <f aca="false">IF(B240="","",YEAR(B240))</f>
        <v/>
      </c>
    </row>
    <row r="241" customFormat="false" ht="18" hidden="false" customHeight="true" outlineLevel="0" collapsed="false">
      <c r="A241" s="81" t="n">
        <v>236</v>
      </c>
      <c r="B241" s="95"/>
      <c r="C241" s="96"/>
      <c r="D241" s="96" t="str">
        <f aca="false">IF(C241="","",IF(OR(ISNUMBER(SEARCH("PAYROLL",UPPER(C241))),ISNUMBER(SEARCH("PAYCHECK",UPPER(C241))),ISNUMBER(SEARCH("DEPOSIT",UPPER(C241)))),"Income",IF(ISNUMBER(SEARCH("TRANSFER",UPPER(C241))),"Transfer","Expense")))</f>
        <v/>
      </c>
      <c r="E241" s="97" t="str">
        <f aca="false">IF(C241="","",IFERROR(INDEX(Mapping!$B$5:$B$200,SUMPRODUCT(MAX((ISNUMBER(SEARCH(Mapping!$A$5:$A$200,UPPER(C241&amp;""))))*ROW(Mapping!$A$5:$A$200)))-4),""))</f>
        <v/>
      </c>
      <c r="F241" s="98"/>
      <c r="G241" s="99" t="n">
        <f aca="false">IF(F241="",G240,G240+IF(D241="Income",F241,IF(D241="Expense",-F241,F241)))</f>
        <v>3408.09</v>
      </c>
      <c r="H241" s="100" t="str">
        <f aca="false">IF(C241="","",IFERROR(INDEX(Mapping!$A$5:$A$200,SUMPRODUCT(MAX((ISNUMBER(SEARCH(Mapping!$A$5:$A$200,UPPER(C241&amp;""))))*ROW(Mapping!$A$5:$A$200)))-4)&amp;" → "&amp;INDEX(Mapping!$B$5:$B$200,SUMPRODUCT(MAX((ISNUMBER(SEARCH(Mapping!$A$5:$A$200,UPPER(C241&amp;""))))*ROW(Mapping!$A$5:$A$200)))-4),"❓ no rule (add to Mapping)"))</f>
        <v/>
      </c>
      <c r="I241" s="79" t="str">
        <f aca="false">IF(B241="","",TEXT(B241,"mmm"))</f>
        <v/>
      </c>
      <c r="J241" s="80" t="str">
        <f aca="false">IF(B241="","",YEAR(B241))</f>
        <v/>
      </c>
    </row>
    <row r="242" customFormat="false" ht="18" hidden="false" customHeight="true" outlineLevel="0" collapsed="false">
      <c r="A242" s="81" t="n">
        <v>237</v>
      </c>
      <c r="B242" s="95"/>
      <c r="C242" s="96"/>
      <c r="D242" s="96" t="str">
        <f aca="false">IF(C242="","",IF(OR(ISNUMBER(SEARCH("PAYROLL",UPPER(C242))),ISNUMBER(SEARCH("PAYCHECK",UPPER(C242))),ISNUMBER(SEARCH("DEPOSIT",UPPER(C242)))),"Income",IF(ISNUMBER(SEARCH("TRANSFER",UPPER(C242))),"Transfer","Expense")))</f>
        <v/>
      </c>
      <c r="E242" s="97" t="str">
        <f aca="false">IF(C242="","",IFERROR(INDEX(Mapping!$B$5:$B$200,SUMPRODUCT(MAX((ISNUMBER(SEARCH(Mapping!$A$5:$A$200,UPPER(C242&amp;""))))*ROW(Mapping!$A$5:$A$200)))-4),""))</f>
        <v/>
      </c>
      <c r="F242" s="98"/>
      <c r="G242" s="99" t="n">
        <f aca="false">IF(F242="",G241,G241+IF(D242="Income",F242,IF(D242="Expense",-F242,F242)))</f>
        <v>3408.09</v>
      </c>
      <c r="H242" s="100" t="str">
        <f aca="false">IF(C242="","",IFERROR(INDEX(Mapping!$A$5:$A$200,SUMPRODUCT(MAX((ISNUMBER(SEARCH(Mapping!$A$5:$A$200,UPPER(C242&amp;""))))*ROW(Mapping!$A$5:$A$200)))-4)&amp;" → "&amp;INDEX(Mapping!$B$5:$B$200,SUMPRODUCT(MAX((ISNUMBER(SEARCH(Mapping!$A$5:$A$200,UPPER(C242&amp;""))))*ROW(Mapping!$A$5:$A$200)))-4),"❓ no rule (add to Mapping)"))</f>
        <v/>
      </c>
      <c r="I242" s="79" t="str">
        <f aca="false">IF(B242="","",TEXT(B242,"mmm"))</f>
        <v/>
      </c>
      <c r="J242" s="80" t="str">
        <f aca="false">IF(B242="","",YEAR(B242))</f>
        <v/>
      </c>
    </row>
    <row r="243" customFormat="false" ht="18" hidden="false" customHeight="true" outlineLevel="0" collapsed="false">
      <c r="A243" s="81" t="n">
        <v>238</v>
      </c>
      <c r="B243" s="95"/>
      <c r="C243" s="96"/>
      <c r="D243" s="96" t="str">
        <f aca="false">IF(C243="","",IF(OR(ISNUMBER(SEARCH("PAYROLL",UPPER(C243))),ISNUMBER(SEARCH("PAYCHECK",UPPER(C243))),ISNUMBER(SEARCH("DEPOSIT",UPPER(C243)))),"Income",IF(ISNUMBER(SEARCH("TRANSFER",UPPER(C243))),"Transfer","Expense")))</f>
        <v/>
      </c>
      <c r="E243" s="97" t="str">
        <f aca="false">IF(C243="","",IFERROR(INDEX(Mapping!$B$5:$B$200,SUMPRODUCT(MAX((ISNUMBER(SEARCH(Mapping!$A$5:$A$200,UPPER(C243&amp;""))))*ROW(Mapping!$A$5:$A$200)))-4),""))</f>
        <v/>
      </c>
      <c r="F243" s="98"/>
      <c r="G243" s="99" t="n">
        <f aca="false">IF(F243="",G242,G242+IF(D243="Income",F243,IF(D243="Expense",-F243,F243)))</f>
        <v>3408.09</v>
      </c>
      <c r="H243" s="100" t="str">
        <f aca="false">IF(C243="","",IFERROR(INDEX(Mapping!$A$5:$A$200,SUMPRODUCT(MAX((ISNUMBER(SEARCH(Mapping!$A$5:$A$200,UPPER(C243&amp;""))))*ROW(Mapping!$A$5:$A$200)))-4)&amp;" → "&amp;INDEX(Mapping!$B$5:$B$200,SUMPRODUCT(MAX((ISNUMBER(SEARCH(Mapping!$A$5:$A$200,UPPER(C243&amp;""))))*ROW(Mapping!$A$5:$A$200)))-4),"❓ no rule (add to Mapping)"))</f>
        <v/>
      </c>
      <c r="I243" s="79" t="str">
        <f aca="false">IF(B243="","",TEXT(B243,"mmm"))</f>
        <v/>
      </c>
      <c r="J243" s="80" t="str">
        <f aca="false">IF(B243="","",YEAR(B243))</f>
        <v/>
      </c>
    </row>
    <row r="244" customFormat="false" ht="18" hidden="false" customHeight="true" outlineLevel="0" collapsed="false">
      <c r="A244" s="81" t="n">
        <v>239</v>
      </c>
      <c r="B244" s="95"/>
      <c r="C244" s="96"/>
      <c r="D244" s="96" t="str">
        <f aca="false">IF(C244="","",IF(OR(ISNUMBER(SEARCH("PAYROLL",UPPER(C244))),ISNUMBER(SEARCH("PAYCHECK",UPPER(C244))),ISNUMBER(SEARCH("DEPOSIT",UPPER(C244)))),"Income",IF(ISNUMBER(SEARCH("TRANSFER",UPPER(C244))),"Transfer","Expense")))</f>
        <v/>
      </c>
      <c r="E244" s="97" t="str">
        <f aca="false">IF(C244="","",IFERROR(INDEX(Mapping!$B$5:$B$200,SUMPRODUCT(MAX((ISNUMBER(SEARCH(Mapping!$A$5:$A$200,UPPER(C244&amp;""))))*ROW(Mapping!$A$5:$A$200)))-4),""))</f>
        <v/>
      </c>
      <c r="F244" s="98"/>
      <c r="G244" s="99" t="n">
        <f aca="false">IF(F244="",G243,G243+IF(D244="Income",F244,IF(D244="Expense",-F244,F244)))</f>
        <v>3408.09</v>
      </c>
      <c r="H244" s="100" t="str">
        <f aca="false">IF(C244="","",IFERROR(INDEX(Mapping!$A$5:$A$200,SUMPRODUCT(MAX((ISNUMBER(SEARCH(Mapping!$A$5:$A$200,UPPER(C244&amp;""))))*ROW(Mapping!$A$5:$A$200)))-4)&amp;" → "&amp;INDEX(Mapping!$B$5:$B$200,SUMPRODUCT(MAX((ISNUMBER(SEARCH(Mapping!$A$5:$A$200,UPPER(C244&amp;""))))*ROW(Mapping!$A$5:$A$200)))-4),"❓ no rule (add to Mapping)"))</f>
        <v/>
      </c>
      <c r="I244" s="79" t="str">
        <f aca="false">IF(B244="","",TEXT(B244,"mmm"))</f>
        <v/>
      </c>
      <c r="J244" s="80" t="str">
        <f aca="false">IF(B244="","",YEAR(B244))</f>
        <v/>
      </c>
    </row>
    <row r="245" customFormat="false" ht="18" hidden="false" customHeight="true" outlineLevel="0" collapsed="false">
      <c r="A245" s="81" t="n">
        <v>240</v>
      </c>
      <c r="B245" s="95"/>
      <c r="C245" s="96"/>
      <c r="D245" s="96" t="str">
        <f aca="false">IF(C245="","",IF(OR(ISNUMBER(SEARCH("PAYROLL",UPPER(C245))),ISNUMBER(SEARCH("PAYCHECK",UPPER(C245))),ISNUMBER(SEARCH("DEPOSIT",UPPER(C245)))),"Income",IF(ISNUMBER(SEARCH("TRANSFER",UPPER(C245))),"Transfer","Expense")))</f>
        <v/>
      </c>
      <c r="E245" s="97" t="str">
        <f aca="false">IF(C245="","",IFERROR(INDEX(Mapping!$B$5:$B$200,SUMPRODUCT(MAX((ISNUMBER(SEARCH(Mapping!$A$5:$A$200,UPPER(C245&amp;""))))*ROW(Mapping!$A$5:$A$200)))-4),""))</f>
        <v/>
      </c>
      <c r="F245" s="98"/>
      <c r="G245" s="99" t="n">
        <f aca="false">IF(F245="",G244,G244+IF(D245="Income",F245,IF(D245="Expense",-F245,F245)))</f>
        <v>3408.09</v>
      </c>
      <c r="H245" s="100" t="str">
        <f aca="false">IF(C245="","",IFERROR(INDEX(Mapping!$A$5:$A$200,SUMPRODUCT(MAX((ISNUMBER(SEARCH(Mapping!$A$5:$A$200,UPPER(C245&amp;""))))*ROW(Mapping!$A$5:$A$200)))-4)&amp;" → "&amp;INDEX(Mapping!$B$5:$B$200,SUMPRODUCT(MAX((ISNUMBER(SEARCH(Mapping!$A$5:$A$200,UPPER(C245&amp;""))))*ROW(Mapping!$A$5:$A$200)))-4),"❓ no rule (add to Mapping)"))</f>
        <v/>
      </c>
      <c r="I245" s="79" t="str">
        <f aca="false">IF(B245="","",TEXT(B245,"mmm"))</f>
        <v/>
      </c>
      <c r="J245" s="80" t="str">
        <f aca="false">IF(B245="","",YEAR(B245))</f>
        <v/>
      </c>
    </row>
    <row r="246" customFormat="false" ht="18" hidden="false" customHeight="true" outlineLevel="0" collapsed="false">
      <c r="A246" s="81" t="n">
        <v>241</v>
      </c>
      <c r="B246" s="95"/>
      <c r="C246" s="96"/>
      <c r="D246" s="96" t="str">
        <f aca="false">IF(C246="","",IF(OR(ISNUMBER(SEARCH("PAYROLL",UPPER(C246))),ISNUMBER(SEARCH("PAYCHECK",UPPER(C246))),ISNUMBER(SEARCH("DEPOSIT",UPPER(C246)))),"Income",IF(ISNUMBER(SEARCH("TRANSFER",UPPER(C246))),"Transfer","Expense")))</f>
        <v/>
      </c>
      <c r="E246" s="97" t="str">
        <f aca="false">IF(C246="","",IFERROR(INDEX(Mapping!$B$5:$B$200,SUMPRODUCT(MAX((ISNUMBER(SEARCH(Mapping!$A$5:$A$200,UPPER(C246&amp;""))))*ROW(Mapping!$A$5:$A$200)))-4),""))</f>
        <v/>
      </c>
      <c r="F246" s="98"/>
      <c r="G246" s="99" t="n">
        <f aca="false">IF(F246="",G245,G245+IF(D246="Income",F246,IF(D246="Expense",-F246,F246)))</f>
        <v>3408.09</v>
      </c>
      <c r="H246" s="100" t="str">
        <f aca="false">IF(C246="","",IFERROR(INDEX(Mapping!$A$5:$A$200,SUMPRODUCT(MAX((ISNUMBER(SEARCH(Mapping!$A$5:$A$200,UPPER(C246&amp;""))))*ROW(Mapping!$A$5:$A$200)))-4)&amp;" → "&amp;INDEX(Mapping!$B$5:$B$200,SUMPRODUCT(MAX((ISNUMBER(SEARCH(Mapping!$A$5:$A$200,UPPER(C246&amp;""))))*ROW(Mapping!$A$5:$A$200)))-4),"❓ no rule (add to Mapping)"))</f>
        <v/>
      </c>
      <c r="I246" s="79" t="str">
        <f aca="false">IF(B246="","",TEXT(B246,"mmm"))</f>
        <v/>
      </c>
      <c r="J246" s="80" t="str">
        <f aca="false">IF(B246="","",YEAR(B246))</f>
        <v/>
      </c>
    </row>
    <row r="247" customFormat="false" ht="18" hidden="false" customHeight="true" outlineLevel="0" collapsed="false">
      <c r="A247" s="81" t="n">
        <v>242</v>
      </c>
      <c r="B247" s="95"/>
      <c r="C247" s="96"/>
      <c r="D247" s="96" t="str">
        <f aca="false">IF(C247="","",IF(OR(ISNUMBER(SEARCH("PAYROLL",UPPER(C247))),ISNUMBER(SEARCH("PAYCHECK",UPPER(C247))),ISNUMBER(SEARCH("DEPOSIT",UPPER(C247)))),"Income",IF(ISNUMBER(SEARCH("TRANSFER",UPPER(C247))),"Transfer","Expense")))</f>
        <v/>
      </c>
      <c r="E247" s="97" t="str">
        <f aca="false">IF(C247="","",IFERROR(INDEX(Mapping!$B$5:$B$200,SUMPRODUCT(MAX((ISNUMBER(SEARCH(Mapping!$A$5:$A$200,UPPER(C247&amp;""))))*ROW(Mapping!$A$5:$A$200)))-4),""))</f>
        <v/>
      </c>
      <c r="F247" s="98"/>
      <c r="G247" s="99" t="n">
        <f aca="false">IF(F247="",G246,G246+IF(D247="Income",F247,IF(D247="Expense",-F247,F247)))</f>
        <v>3408.09</v>
      </c>
      <c r="H247" s="100" t="str">
        <f aca="false">IF(C247="","",IFERROR(INDEX(Mapping!$A$5:$A$200,SUMPRODUCT(MAX((ISNUMBER(SEARCH(Mapping!$A$5:$A$200,UPPER(C247&amp;""))))*ROW(Mapping!$A$5:$A$200)))-4)&amp;" → "&amp;INDEX(Mapping!$B$5:$B$200,SUMPRODUCT(MAX((ISNUMBER(SEARCH(Mapping!$A$5:$A$200,UPPER(C247&amp;""))))*ROW(Mapping!$A$5:$A$200)))-4),"❓ no rule (add to Mapping)"))</f>
        <v/>
      </c>
      <c r="I247" s="79" t="str">
        <f aca="false">IF(B247="","",TEXT(B247,"mmm"))</f>
        <v/>
      </c>
      <c r="J247" s="80" t="str">
        <f aca="false">IF(B247="","",YEAR(B247))</f>
        <v/>
      </c>
    </row>
    <row r="248" customFormat="false" ht="18" hidden="false" customHeight="true" outlineLevel="0" collapsed="false">
      <c r="A248" s="81" t="n">
        <v>243</v>
      </c>
      <c r="B248" s="95"/>
      <c r="C248" s="96"/>
      <c r="D248" s="96" t="str">
        <f aca="false">IF(C248="","",IF(OR(ISNUMBER(SEARCH("PAYROLL",UPPER(C248))),ISNUMBER(SEARCH("PAYCHECK",UPPER(C248))),ISNUMBER(SEARCH("DEPOSIT",UPPER(C248)))),"Income",IF(ISNUMBER(SEARCH("TRANSFER",UPPER(C248))),"Transfer","Expense")))</f>
        <v/>
      </c>
      <c r="E248" s="97" t="str">
        <f aca="false">IF(C248="","",IFERROR(INDEX(Mapping!$B$5:$B$200,SUMPRODUCT(MAX((ISNUMBER(SEARCH(Mapping!$A$5:$A$200,UPPER(C248&amp;""))))*ROW(Mapping!$A$5:$A$200)))-4),""))</f>
        <v/>
      </c>
      <c r="F248" s="98"/>
      <c r="G248" s="99" t="n">
        <f aca="false">IF(F248="",G247,G247+IF(D248="Income",F248,IF(D248="Expense",-F248,F248)))</f>
        <v>3408.09</v>
      </c>
      <c r="H248" s="100" t="str">
        <f aca="false">IF(C248="","",IFERROR(INDEX(Mapping!$A$5:$A$200,SUMPRODUCT(MAX((ISNUMBER(SEARCH(Mapping!$A$5:$A$200,UPPER(C248&amp;""))))*ROW(Mapping!$A$5:$A$200)))-4)&amp;" → "&amp;INDEX(Mapping!$B$5:$B$200,SUMPRODUCT(MAX((ISNUMBER(SEARCH(Mapping!$A$5:$A$200,UPPER(C248&amp;""))))*ROW(Mapping!$A$5:$A$200)))-4),"❓ no rule (add to Mapping)"))</f>
        <v/>
      </c>
      <c r="I248" s="79" t="str">
        <f aca="false">IF(B248="","",TEXT(B248,"mmm"))</f>
        <v/>
      </c>
      <c r="J248" s="80" t="str">
        <f aca="false">IF(B248="","",YEAR(B248))</f>
        <v/>
      </c>
    </row>
    <row r="249" customFormat="false" ht="18" hidden="false" customHeight="true" outlineLevel="0" collapsed="false">
      <c r="A249" s="81" t="n">
        <v>244</v>
      </c>
      <c r="B249" s="95"/>
      <c r="C249" s="96"/>
      <c r="D249" s="96" t="str">
        <f aca="false">IF(C249="","",IF(OR(ISNUMBER(SEARCH("PAYROLL",UPPER(C249))),ISNUMBER(SEARCH("PAYCHECK",UPPER(C249))),ISNUMBER(SEARCH("DEPOSIT",UPPER(C249)))),"Income",IF(ISNUMBER(SEARCH("TRANSFER",UPPER(C249))),"Transfer","Expense")))</f>
        <v/>
      </c>
      <c r="E249" s="97" t="str">
        <f aca="false">IF(C249="","",IFERROR(INDEX(Mapping!$B$5:$B$200,SUMPRODUCT(MAX((ISNUMBER(SEARCH(Mapping!$A$5:$A$200,UPPER(C249&amp;""))))*ROW(Mapping!$A$5:$A$200)))-4),""))</f>
        <v/>
      </c>
      <c r="F249" s="98"/>
      <c r="G249" s="99" t="n">
        <f aca="false">IF(F249="",G248,G248+IF(D249="Income",F249,IF(D249="Expense",-F249,F249)))</f>
        <v>3408.09</v>
      </c>
      <c r="H249" s="100" t="str">
        <f aca="false">IF(C249="","",IFERROR(INDEX(Mapping!$A$5:$A$200,SUMPRODUCT(MAX((ISNUMBER(SEARCH(Mapping!$A$5:$A$200,UPPER(C249&amp;""))))*ROW(Mapping!$A$5:$A$200)))-4)&amp;" → "&amp;INDEX(Mapping!$B$5:$B$200,SUMPRODUCT(MAX((ISNUMBER(SEARCH(Mapping!$A$5:$A$200,UPPER(C249&amp;""))))*ROW(Mapping!$A$5:$A$200)))-4),"❓ no rule (add to Mapping)"))</f>
        <v/>
      </c>
      <c r="I249" s="79" t="str">
        <f aca="false">IF(B249="","",TEXT(B249,"mmm"))</f>
        <v/>
      </c>
      <c r="J249" s="80" t="str">
        <f aca="false">IF(B249="","",YEAR(B249))</f>
        <v/>
      </c>
    </row>
    <row r="250" customFormat="false" ht="18" hidden="false" customHeight="true" outlineLevel="0" collapsed="false">
      <c r="A250" s="81" t="n">
        <v>245</v>
      </c>
      <c r="B250" s="95"/>
      <c r="C250" s="96"/>
      <c r="D250" s="96" t="str">
        <f aca="false">IF(C250="","",IF(OR(ISNUMBER(SEARCH("PAYROLL",UPPER(C250))),ISNUMBER(SEARCH("PAYCHECK",UPPER(C250))),ISNUMBER(SEARCH("DEPOSIT",UPPER(C250)))),"Income",IF(ISNUMBER(SEARCH("TRANSFER",UPPER(C250))),"Transfer","Expense")))</f>
        <v/>
      </c>
      <c r="E250" s="97" t="str">
        <f aca="false">IF(C250="","",IFERROR(INDEX(Mapping!$B$5:$B$200,SUMPRODUCT(MAX((ISNUMBER(SEARCH(Mapping!$A$5:$A$200,UPPER(C250&amp;""))))*ROW(Mapping!$A$5:$A$200)))-4),""))</f>
        <v/>
      </c>
      <c r="F250" s="98"/>
      <c r="G250" s="99" t="n">
        <f aca="false">IF(F250="",G249,G249+IF(D250="Income",F250,IF(D250="Expense",-F250,F250)))</f>
        <v>3408.09</v>
      </c>
      <c r="H250" s="100" t="str">
        <f aca="false">IF(C250="","",IFERROR(INDEX(Mapping!$A$5:$A$200,SUMPRODUCT(MAX((ISNUMBER(SEARCH(Mapping!$A$5:$A$200,UPPER(C250&amp;""))))*ROW(Mapping!$A$5:$A$200)))-4)&amp;" → "&amp;INDEX(Mapping!$B$5:$B$200,SUMPRODUCT(MAX((ISNUMBER(SEARCH(Mapping!$A$5:$A$200,UPPER(C250&amp;""))))*ROW(Mapping!$A$5:$A$200)))-4),"❓ no rule (add to Mapping)"))</f>
        <v/>
      </c>
      <c r="I250" s="79" t="str">
        <f aca="false">IF(B250="","",TEXT(B250,"mmm"))</f>
        <v/>
      </c>
      <c r="J250" s="80" t="str">
        <f aca="false">IF(B250="","",YEAR(B250))</f>
        <v/>
      </c>
    </row>
    <row r="251" customFormat="false" ht="18" hidden="false" customHeight="true" outlineLevel="0" collapsed="false">
      <c r="A251" s="81" t="n">
        <v>246</v>
      </c>
      <c r="B251" s="95"/>
      <c r="C251" s="96"/>
      <c r="D251" s="96" t="str">
        <f aca="false">IF(C251="","",IF(OR(ISNUMBER(SEARCH("PAYROLL",UPPER(C251))),ISNUMBER(SEARCH("PAYCHECK",UPPER(C251))),ISNUMBER(SEARCH("DEPOSIT",UPPER(C251)))),"Income",IF(ISNUMBER(SEARCH("TRANSFER",UPPER(C251))),"Transfer","Expense")))</f>
        <v/>
      </c>
      <c r="E251" s="97" t="str">
        <f aca="false">IF(C251="","",IFERROR(INDEX(Mapping!$B$5:$B$200,SUMPRODUCT(MAX((ISNUMBER(SEARCH(Mapping!$A$5:$A$200,UPPER(C251&amp;""))))*ROW(Mapping!$A$5:$A$200)))-4),""))</f>
        <v/>
      </c>
      <c r="F251" s="98"/>
      <c r="G251" s="99" t="n">
        <f aca="false">IF(F251="",G250,G250+IF(D251="Income",F251,IF(D251="Expense",-F251,F251)))</f>
        <v>3408.09</v>
      </c>
      <c r="H251" s="100" t="str">
        <f aca="false">IF(C251="","",IFERROR(INDEX(Mapping!$A$5:$A$200,SUMPRODUCT(MAX((ISNUMBER(SEARCH(Mapping!$A$5:$A$200,UPPER(C251&amp;""))))*ROW(Mapping!$A$5:$A$200)))-4)&amp;" → "&amp;INDEX(Mapping!$B$5:$B$200,SUMPRODUCT(MAX((ISNUMBER(SEARCH(Mapping!$A$5:$A$200,UPPER(C251&amp;""))))*ROW(Mapping!$A$5:$A$200)))-4),"❓ no rule (add to Mapping)"))</f>
        <v/>
      </c>
      <c r="I251" s="79" t="str">
        <f aca="false">IF(B251="","",TEXT(B251,"mmm"))</f>
        <v/>
      </c>
      <c r="J251" s="80" t="str">
        <f aca="false">IF(B251="","",YEAR(B251))</f>
        <v/>
      </c>
    </row>
    <row r="252" customFormat="false" ht="18" hidden="false" customHeight="true" outlineLevel="0" collapsed="false">
      <c r="A252" s="81" t="n">
        <v>247</v>
      </c>
      <c r="B252" s="95"/>
      <c r="C252" s="96"/>
      <c r="D252" s="96" t="str">
        <f aca="false">IF(C252="","",IF(OR(ISNUMBER(SEARCH("PAYROLL",UPPER(C252))),ISNUMBER(SEARCH("PAYCHECK",UPPER(C252))),ISNUMBER(SEARCH("DEPOSIT",UPPER(C252)))),"Income",IF(ISNUMBER(SEARCH("TRANSFER",UPPER(C252))),"Transfer","Expense")))</f>
        <v/>
      </c>
      <c r="E252" s="97" t="str">
        <f aca="false">IF(C252="","",IFERROR(INDEX(Mapping!$B$5:$B$200,SUMPRODUCT(MAX((ISNUMBER(SEARCH(Mapping!$A$5:$A$200,UPPER(C252&amp;""))))*ROW(Mapping!$A$5:$A$200)))-4),""))</f>
        <v/>
      </c>
      <c r="F252" s="98"/>
      <c r="G252" s="99" t="n">
        <f aca="false">IF(F252="",G251,G251+IF(D252="Income",F252,IF(D252="Expense",-F252,F252)))</f>
        <v>3408.09</v>
      </c>
      <c r="H252" s="100" t="str">
        <f aca="false">IF(C252="","",IFERROR(INDEX(Mapping!$A$5:$A$200,SUMPRODUCT(MAX((ISNUMBER(SEARCH(Mapping!$A$5:$A$200,UPPER(C252&amp;""))))*ROW(Mapping!$A$5:$A$200)))-4)&amp;" → "&amp;INDEX(Mapping!$B$5:$B$200,SUMPRODUCT(MAX((ISNUMBER(SEARCH(Mapping!$A$5:$A$200,UPPER(C252&amp;""))))*ROW(Mapping!$A$5:$A$200)))-4),"❓ no rule (add to Mapping)"))</f>
        <v/>
      </c>
      <c r="I252" s="79" t="str">
        <f aca="false">IF(B252="","",TEXT(B252,"mmm"))</f>
        <v/>
      </c>
      <c r="J252" s="80" t="str">
        <f aca="false">IF(B252="","",YEAR(B252))</f>
        <v/>
      </c>
    </row>
    <row r="253" customFormat="false" ht="18" hidden="false" customHeight="true" outlineLevel="0" collapsed="false">
      <c r="A253" s="81" t="n">
        <v>248</v>
      </c>
      <c r="B253" s="95"/>
      <c r="C253" s="96"/>
      <c r="D253" s="96" t="str">
        <f aca="false">IF(C253="","",IF(OR(ISNUMBER(SEARCH("PAYROLL",UPPER(C253))),ISNUMBER(SEARCH("PAYCHECK",UPPER(C253))),ISNUMBER(SEARCH("DEPOSIT",UPPER(C253)))),"Income",IF(ISNUMBER(SEARCH("TRANSFER",UPPER(C253))),"Transfer","Expense")))</f>
        <v/>
      </c>
      <c r="E253" s="97" t="str">
        <f aca="false">IF(C253="","",IFERROR(INDEX(Mapping!$B$5:$B$200,SUMPRODUCT(MAX((ISNUMBER(SEARCH(Mapping!$A$5:$A$200,UPPER(C253&amp;""))))*ROW(Mapping!$A$5:$A$200)))-4),""))</f>
        <v/>
      </c>
      <c r="F253" s="98"/>
      <c r="G253" s="99" t="n">
        <f aca="false">IF(F253="",G252,G252+IF(D253="Income",F253,IF(D253="Expense",-F253,F253)))</f>
        <v>3408.09</v>
      </c>
      <c r="H253" s="100" t="str">
        <f aca="false">IF(C253="","",IFERROR(INDEX(Mapping!$A$5:$A$200,SUMPRODUCT(MAX((ISNUMBER(SEARCH(Mapping!$A$5:$A$200,UPPER(C253&amp;""))))*ROW(Mapping!$A$5:$A$200)))-4)&amp;" → "&amp;INDEX(Mapping!$B$5:$B$200,SUMPRODUCT(MAX((ISNUMBER(SEARCH(Mapping!$A$5:$A$200,UPPER(C253&amp;""))))*ROW(Mapping!$A$5:$A$200)))-4),"❓ no rule (add to Mapping)"))</f>
        <v/>
      </c>
      <c r="I253" s="79" t="str">
        <f aca="false">IF(B253="","",TEXT(B253,"mmm"))</f>
        <v/>
      </c>
      <c r="J253" s="80" t="str">
        <f aca="false">IF(B253="","",YEAR(B253))</f>
        <v/>
      </c>
    </row>
    <row r="254" customFormat="false" ht="18" hidden="false" customHeight="true" outlineLevel="0" collapsed="false">
      <c r="A254" s="81" t="n">
        <v>249</v>
      </c>
      <c r="B254" s="95"/>
      <c r="C254" s="96"/>
      <c r="D254" s="96" t="str">
        <f aca="false">IF(C254="","",IF(OR(ISNUMBER(SEARCH("PAYROLL",UPPER(C254))),ISNUMBER(SEARCH("PAYCHECK",UPPER(C254))),ISNUMBER(SEARCH("DEPOSIT",UPPER(C254)))),"Income",IF(ISNUMBER(SEARCH("TRANSFER",UPPER(C254))),"Transfer","Expense")))</f>
        <v/>
      </c>
      <c r="E254" s="97" t="str">
        <f aca="false">IF(C254="","",IFERROR(INDEX(Mapping!$B$5:$B$200,SUMPRODUCT(MAX((ISNUMBER(SEARCH(Mapping!$A$5:$A$200,UPPER(C254&amp;""))))*ROW(Mapping!$A$5:$A$200)))-4),""))</f>
        <v/>
      </c>
      <c r="F254" s="98"/>
      <c r="G254" s="99" t="n">
        <f aca="false">IF(F254="",G253,G253+IF(D254="Income",F254,IF(D254="Expense",-F254,F254)))</f>
        <v>3408.09</v>
      </c>
      <c r="H254" s="100" t="str">
        <f aca="false">IF(C254="","",IFERROR(INDEX(Mapping!$A$5:$A$200,SUMPRODUCT(MAX((ISNUMBER(SEARCH(Mapping!$A$5:$A$200,UPPER(C254&amp;""))))*ROW(Mapping!$A$5:$A$200)))-4)&amp;" → "&amp;INDEX(Mapping!$B$5:$B$200,SUMPRODUCT(MAX((ISNUMBER(SEARCH(Mapping!$A$5:$A$200,UPPER(C254&amp;""))))*ROW(Mapping!$A$5:$A$200)))-4),"❓ no rule (add to Mapping)"))</f>
        <v/>
      </c>
      <c r="I254" s="79" t="str">
        <f aca="false">IF(B254="","",TEXT(B254,"mmm"))</f>
        <v/>
      </c>
      <c r="J254" s="80" t="str">
        <f aca="false">IF(B254="","",YEAR(B254))</f>
        <v/>
      </c>
    </row>
    <row r="255" customFormat="false" ht="18" hidden="false" customHeight="true" outlineLevel="0" collapsed="false">
      <c r="A255" s="81" t="n">
        <v>250</v>
      </c>
      <c r="B255" s="95"/>
      <c r="C255" s="96"/>
      <c r="D255" s="96" t="str">
        <f aca="false">IF(C255="","",IF(OR(ISNUMBER(SEARCH("PAYROLL",UPPER(C255))),ISNUMBER(SEARCH("PAYCHECK",UPPER(C255))),ISNUMBER(SEARCH("DEPOSIT",UPPER(C255)))),"Income",IF(ISNUMBER(SEARCH("TRANSFER",UPPER(C255))),"Transfer","Expense")))</f>
        <v/>
      </c>
      <c r="E255" s="97" t="str">
        <f aca="false">IF(C255="","",IFERROR(INDEX(Mapping!$B$5:$B$200,SUMPRODUCT(MAX((ISNUMBER(SEARCH(Mapping!$A$5:$A$200,UPPER(C255&amp;""))))*ROW(Mapping!$A$5:$A$200)))-4),""))</f>
        <v/>
      </c>
      <c r="F255" s="98"/>
      <c r="G255" s="99" t="n">
        <f aca="false">IF(F255="",G254,G254+IF(D255="Income",F255,IF(D255="Expense",-F255,F255)))</f>
        <v>3408.09</v>
      </c>
      <c r="H255" s="100" t="str">
        <f aca="false">IF(C255="","",IFERROR(INDEX(Mapping!$A$5:$A$200,SUMPRODUCT(MAX((ISNUMBER(SEARCH(Mapping!$A$5:$A$200,UPPER(C255&amp;""))))*ROW(Mapping!$A$5:$A$200)))-4)&amp;" → "&amp;INDEX(Mapping!$B$5:$B$200,SUMPRODUCT(MAX((ISNUMBER(SEARCH(Mapping!$A$5:$A$200,UPPER(C255&amp;""))))*ROW(Mapping!$A$5:$A$200)))-4),"❓ no rule (add to Mapping)"))</f>
        <v/>
      </c>
      <c r="I255" s="79" t="str">
        <f aca="false">IF(B255="","",TEXT(B255,"mmm"))</f>
        <v/>
      </c>
      <c r="J255" s="80" t="str">
        <f aca="false">IF(B255="","",YEAR(B255))</f>
        <v/>
      </c>
    </row>
    <row r="256" customFormat="false" ht="18" hidden="false" customHeight="true" outlineLevel="0" collapsed="false">
      <c r="A256" s="81" t="n">
        <v>251</v>
      </c>
      <c r="B256" s="95"/>
      <c r="C256" s="96"/>
      <c r="D256" s="96" t="str">
        <f aca="false">IF(C256="","",IF(OR(ISNUMBER(SEARCH("PAYROLL",UPPER(C256))),ISNUMBER(SEARCH("PAYCHECK",UPPER(C256))),ISNUMBER(SEARCH("DEPOSIT",UPPER(C256)))),"Income",IF(ISNUMBER(SEARCH("TRANSFER",UPPER(C256))),"Transfer","Expense")))</f>
        <v/>
      </c>
      <c r="E256" s="97" t="str">
        <f aca="false">IF(C256="","",IFERROR(INDEX(Mapping!$B$5:$B$200,SUMPRODUCT(MAX((ISNUMBER(SEARCH(Mapping!$A$5:$A$200,UPPER(C256&amp;""))))*ROW(Mapping!$A$5:$A$200)))-4),""))</f>
        <v/>
      </c>
      <c r="F256" s="98"/>
      <c r="G256" s="99" t="n">
        <f aca="false">IF(F256="",G255,G255+IF(D256="Income",F256,IF(D256="Expense",-F256,F256)))</f>
        <v>3408.09</v>
      </c>
      <c r="H256" s="100" t="str">
        <f aca="false">IF(C256="","",IFERROR(INDEX(Mapping!$A$5:$A$200,SUMPRODUCT(MAX((ISNUMBER(SEARCH(Mapping!$A$5:$A$200,UPPER(C256&amp;""))))*ROW(Mapping!$A$5:$A$200)))-4)&amp;" → "&amp;INDEX(Mapping!$B$5:$B$200,SUMPRODUCT(MAX((ISNUMBER(SEARCH(Mapping!$A$5:$A$200,UPPER(C256&amp;""))))*ROW(Mapping!$A$5:$A$200)))-4),"❓ no rule (add to Mapping)"))</f>
        <v/>
      </c>
      <c r="I256" s="79" t="str">
        <f aca="false">IF(B256="","",TEXT(B256,"mmm"))</f>
        <v/>
      </c>
      <c r="J256" s="80" t="str">
        <f aca="false">IF(B256="","",YEAR(B256))</f>
        <v/>
      </c>
    </row>
    <row r="257" customFormat="false" ht="18" hidden="false" customHeight="true" outlineLevel="0" collapsed="false">
      <c r="A257" s="81" t="n">
        <v>252</v>
      </c>
      <c r="B257" s="95"/>
      <c r="C257" s="96"/>
      <c r="D257" s="96" t="str">
        <f aca="false">IF(C257="","",IF(OR(ISNUMBER(SEARCH("PAYROLL",UPPER(C257))),ISNUMBER(SEARCH("PAYCHECK",UPPER(C257))),ISNUMBER(SEARCH("DEPOSIT",UPPER(C257)))),"Income",IF(ISNUMBER(SEARCH("TRANSFER",UPPER(C257))),"Transfer","Expense")))</f>
        <v/>
      </c>
      <c r="E257" s="97" t="str">
        <f aca="false">IF(C257="","",IFERROR(INDEX(Mapping!$B$5:$B$200,SUMPRODUCT(MAX((ISNUMBER(SEARCH(Mapping!$A$5:$A$200,UPPER(C257&amp;""))))*ROW(Mapping!$A$5:$A$200)))-4),""))</f>
        <v/>
      </c>
      <c r="F257" s="98"/>
      <c r="G257" s="99" t="n">
        <f aca="false">IF(F257="",G256,G256+IF(D257="Income",F257,IF(D257="Expense",-F257,F257)))</f>
        <v>3408.09</v>
      </c>
      <c r="H257" s="100" t="str">
        <f aca="false">IF(C257="","",IFERROR(INDEX(Mapping!$A$5:$A$200,SUMPRODUCT(MAX((ISNUMBER(SEARCH(Mapping!$A$5:$A$200,UPPER(C257&amp;""))))*ROW(Mapping!$A$5:$A$200)))-4)&amp;" → "&amp;INDEX(Mapping!$B$5:$B$200,SUMPRODUCT(MAX((ISNUMBER(SEARCH(Mapping!$A$5:$A$200,UPPER(C257&amp;""))))*ROW(Mapping!$A$5:$A$200)))-4),"❓ no rule (add to Mapping)"))</f>
        <v/>
      </c>
      <c r="I257" s="79" t="str">
        <f aca="false">IF(B257="","",TEXT(B257,"mmm"))</f>
        <v/>
      </c>
      <c r="J257" s="80" t="str">
        <f aca="false">IF(B257="","",YEAR(B257))</f>
        <v/>
      </c>
    </row>
    <row r="258" customFormat="false" ht="18" hidden="false" customHeight="true" outlineLevel="0" collapsed="false">
      <c r="A258" s="81" t="n">
        <v>253</v>
      </c>
      <c r="B258" s="95"/>
      <c r="C258" s="96"/>
      <c r="D258" s="96" t="str">
        <f aca="false">IF(C258="","",IF(OR(ISNUMBER(SEARCH("PAYROLL",UPPER(C258))),ISNUMBER(SEARCH("PAYCHECK",UPPER(C258))),ISNUMBER(SEARCH("DEPOSIT",UPPER(C258)))),"Income",IF(ISNUMBER(SEARCH("TRANSFER",UPPER(C258))),"Transfer","Expense")))</f>
        <v/>
      </c>
      <c r="E258" s="97" t="str">
        <f aca="false">IF(C258="","",IFERROR(INDEX(Mapping!$B$5:$B$200,SUMPRODUCT(MAX((ISNUMBER(SEARCH(Mapping!$A$5:$A$200,UPPER(C258&amp;""))))*ROW(Mapping!$A$5:$A$200)))-4),""))</f>
        <v/>
      </c>
      <c r="F258" s="98"/>
      <c r="G258" s="99" t="n">
        <f aca="false">IF(F258="",G257,G257+IF(D258="Income",F258,IF(D258="Expense",-F258,F258)))</f>
        <v>3408.09</v>
      </c>
      <c r="H258" s="100" t="str">
        <f aca="false">IF(C258="","",IFERROR(INDEX(Mapping!$A$5:$A$200,SUMPRODUCT(MAX((ISNUMBER(SEARCH(Mapping!$A$5:$A$200,UPPER(C258&amp;""))))*ROW(Mapping!$A$5:$A$200)))-4)&amp;" → "&amp;INDEX(Mapping!$B$5:$B$200,SUMPRODUCT(MAX((ISNUMBER(SEARCH(Mapping!$A$5:$A$200,UPPER(C258&amp;""))))*ROW(Mapping!$A$5:$A$200)))-4),"❓ no rule (add to Mapping)"))</f>
        <v/>
      </c>
      <c r="I258" s="79" t="str">
        <f aca="false">IF(B258="","",TEXT(B258,"mmm"))</f>
        <v/>
      </c>
      <c r="J258" s="80" t="str">
        <f aca="false">IF(B258="","",YEAR(B258))</f>
        <v/>
      </c>
    </row>
    <row r="259" customFormat="false" ht="18" hidden="false" customHeight="true" outlineLevel="0" collapsed="false">
      <c r="A259" s="81" t="n">
        <v>254</v>
      </c>
      <c r="B259" s="95"/>
      <c r="C259" s="96"/>
      <c r="D259" s="96" t="str">
        <f aca="false">IF(C259="","",IF(OR(ISNUMBER(SEARCH("PAYROLL",UPPER(C259))),ISNUMBER(SEARCH("PAYCHECK",UPPER(C259))),ISNUMBER(SEARCH("DEPOSIT",UPPER(C259)))),"Income",IF(ISNUMBER(SEARCH("TRANSFER",UPPER(C259))),"Transfer","Expense")))</f>
        <v/>
      </c>
      <c r="E259" s="97" t="str">
        <f aca="false">IF(C259="","",IFERROR(INDEX(Mapping!$B$5:$B$200,SUMPRODUCT(MAX((ISNUMBER(SEARCH(Mapping!$A$5:$A$200,UPPER(C259&amp;""))))*ROW(Mapping!$A$5:$A$200)))-4),""))</f>
        <v/>
      </c>
      <c r="F259" s="98"/>
      <c r="G259" s="99" t="n">
        <f aca="false">IF(F259="",G258,G258+IF(D259="Income",F259,IF(D259="Expense",-F259,F259)))</f>
        <v>3408.09</v>
      </c>
      <c r="H259" s="100" t="str">
        <f aca="false">IF(C259="","",IFERROR(INDEX(Mapping!$A$5:$A$200,SUMPRODUCT(MAX((ISNUMBER(SEARCH(Mapping!$A$5:$A$200,UPPER(C259&amp;""))))*ROW(Mapping!$A$5:$A$200)))-4)&amp;" → "&amp;INDEX(Mapping!$B$5:$B$200,SUMPRODUCT(MAX((ISNUMBER(SEARCH(Mapping!$A$5:$A$200,UPPER(C259&amp;""))))*ROW(Mapping!$A$5:$A$200)))-4),"❓ no rule (add to Mapping)"))</f>
        <v/>
      </c>
      <c r="I259" s="79" t="str">
        <f aca="false">IF(B259="","",TEXT(B259,"mmm"))</f>
        <v/>
      </c>
      <c r="J259" s="80" t="str">
        <f aca="false">IF(B259="","",YEAR(B259))</f>
        <v/>
      </c>
    </row>
    <row r="260" customFormat="false" ht="18" hidden="false" customHeight="true" outlineLevel="0" collapsed="false">
      <c r="A260" s="81" t="n">
        <v>255</v>
      </c>
      <c r="B260" s="95"/>
      <c r="C260" s="96"/>
      <c r="D260" s="96" t="str">
        <f aca="false">IF(C260="","",IF(OR(ISNUMBER(SEARCH("PAYROLL",UPPER(C260))),ISNUMBER(SEARCH("PAYCHECK",UPPER(C260))),ISNUMBER(SEARCH("DEPOSIT",UPPER(C260)))),"Income",IF(ISNUMBER(SEARCH("TRANSFER",UPPER(C260))),"Transfer","Expense")))</f>
        <v/>
      </c>
      <c r="E260" s="97" t="str">
        <f aca="false">IF(C260="","",IFERROR(INDEX(Mapping!$B$5:$B$200,SUMPRODUCT(MAX((ISNUMBER(SEARCH(Mapping!$A$5:$A$200,UPPER(C260&amp;""))))*ROW(Mapping!$A$5:$A$200)))-4),""))</f>
        <v/>
      </c>
      <c r="F260" s="98"/>
      <c r="G260" s="99" t="n">
        <f aca="false">IF(F260="",G259,G259+IF(D260="Income",F260,IF(D260="Expense",-F260,F260)))</f>
        <v>3408.09</v>
      </c>
      <c r="H260" s="100" t="str">
        <f aca="false">IF(C260="","",IFERROR(INDEX(Mapping!$A$5:$A$200,SUMPRODUCT(MAX((ISNUMBER(SEARCH(Mapping!$A$5:$A$200,UPPER(C260&amp;""))))*ROW(Mapping!$A$5:$A$200)))-4)&amp;" → "&amp;INDEX(Mapping!$B$5:$B$200,SUMPRODUCT(MAX((ISNUMBER(SEARCH(Mapping!$A$5:$A$200,UPPER(C260&amp;""))))*ROW(Mapping!$A$5:$A$200)))-4),"❓ no rule (add to Mapping)"))</f>
        <v/>
      </c>
      <c r="I260" s="79" t="str">
        <f aca="false">IF(B260="","",TEXT(B260,"mmm"))</f>
        <v/>
      </c>
      <c r="J260" s="80" t="str">
        <f aca="false">IF(B260="","",YEAR(B260))</f>
        <v/>
      </c>
    </row>
    <row r="261" customFormat="false" ht="18" hidden="false" customHeight="true" outlineLevel="0" collapsed="false">
      <c r="A261" s="81" t="n">
        <v>256</v>
      </c>
      <c r="B261" s="95"/>
      <c r="C261" s="96"/>
      <c r="D261" s="96" t="str">
        <f aca="false">IF(C261="","",IF(OR(ISNUMBER(SEARCH("PAYROLL",UPPER(C261))),ISNUMBER(SEARCH("PAYCHECK",UPPER(C261))),ISNUMBER(SEARCH("DEPOSIT",UPPER(C261)))),"Income",IF(ISNUMBER(SEARCH("TRANSFER",UPPER(C261))),"Transfer","Expense")))</f>
        <v/>
      </c>
      <c r="E261" s="97" t="str">
        <f aca="false">IF(C261="","",IFERROR(INDEX(Mapping!$B$5:$B$200,SUMPRODUCT(MAX((ISNUMBER(SEARCH(Mapping!$A$5:$A$200,UPPER(C261&amp;""))))*ROW(Mapping!$A$5:$A$200)))-4),""))</f>
        <v/>
      </c>
      <c r="F261" s="98"/>
      <c r="G261" s="99" t="n">
        <f aca="false">IF(F261="",G260,G260+IF(D261="Income",F261,IF(D261="Expense",-F261,F261)))</f>
        <v>3408.09</v>
      </c>
      <c r="H261" s="100" t="str">
        <f aca="false">IF(C261="","",IFERROR(INDEX(Mapping!$A$5:$A$200,SUMPRODUCT(MAX((ISNUMBER(SEARCH(Mapping!$A$5:$A$200,UPPER(C261&amp;""))))*ROW(Mapping!$A$5:$A$200)))-4)&amp;" → "&amp;INDEX(Mapping!$B$5:$B$200,SUMPRODUCT(MAX((ISNUMBER(SEARCH(Mapping!$A$5:$A$200,UPPER(C261&amp;""))))*ROW(Mapping!$A$5:$A$200)))-4),"❓ no rule (add to Mapping)"))</f>
        <v/>
      </c>
      <c r="I261" s="79" t="str">
        <f aca="false">IF(B261="","",TEXT(B261,"mmm"))</f>
        <v/>
      </c>
      <c r="J261" s="80" t="str">
        <f aca="false">IF(B261="","",YEAR(B261))</f>
        <v/>
      </c>
    </row>
    <row r="262" customFormat="false" ht="18" hidden="false" customHeight="true" outlineLevel="0" collapsed="false">
      <c r="A262" s="81" t="n">
        <v>257</v>
      </c>
      <c r="B262" s="95"/>
      <c r="C262" s="96"/>
      <c r="D262" s="96" t="str">
        <f aca="false">IF(C262="","",IF(OR(ISNUMBER(SEARCH("PAYROLL",UPPER(C262))),ISNUMBER(SEARCH("PAYCHECK",UPPER(C262))),ISNUMBER(SEARCH("DEPOSIT",UPPER(C262)))),"Income",IF(ISNUMBER(SEARCH("TRANSFER",UPPER(C262))),"Transfer","Expense")))</f>
        <v/>
      </c>
      <c r="E262" s="97" t="str">
        <f aca="false">IF(C262="","",IFERROR(INDEX(Mapping!$B$5:$B$200,SUMPRODUCT(MAX((ISNUMBER(SEARCH(Mapping!$A$5:$A$200,UPPER(C262&amp;""))))*ROW(Mapping!$A$5:$A$200)))-4),""))</f>
        <v/>
      </c>
      <c r="F262" s="98"/>
      <c r="G262" s="99" t="n">
        <f aca="false">IF(F262="",G261,G261+IF(D262="Income",F262,IF(D262="Expense",-F262,F262)))</f>
        <v>3408.09</v>
      </c>
      <c r="H262" s="100" t="str">
        <f aca="false">IF(C262="","",IFERROR(INDEX(Mapping!$A$5:$A$200,SUMPRODUCT(MAX((ISNUMBER(SEARCH(Mapping!$A$5:$A$200,UPPER(C262&amp;""))))*ROW(Mapping!$A$5:$A$200)))-4)&amp;" → "&amp;INDEX(Mapping!$B$5:$B$200,SUMPRODUCT(MAX((ISNUMBER(SEARCH(Mapping!$A$5:$A$200,UPPER(C262&amp;""))))*ROW(Mapping!$A$5:$A$200)))-4),"❓ no rule (add to Mapping)"))</f>
        <v/>
      </c>
      <c r="I262" s="79" t="str">
        <f aca="false">IF(B262="","",TEXT(B262,"mmm"))</f>
        <v/>
      </c>
      <c r="J262" s="80" t="str">
        <f aca="false">IF(B262="","",YEAR(B262))</f>
        <v/>
      </c>
    </row>
    <row r="263" customFormat="false" ht="18" hidden="false" customHeight="true" outlineLevel="0" collapsed="false">
      <c r="A263" s="81" t="n">
        <v>258</v>
      </c>
      <c r="B263" s="95"/>
      <c r="C263" s="96"/>
      <c r="D263" s="96" t="str">
        <f aca="false">IF(C263="","",IF(OR(ISNUMBER(SEARCH("PAYROLL",UPPER(C263))),ISNUMBER(SEARCH("PAYCHECK",UPPER(C263))),ISNUMBER(SEARCH("DEPOSIT",UPPER(C263)))),"Income",IF(ISNUMBER(SEARCH("TRANSFER",UPPER(C263))),"Transfer","Expense")))</f>
        <v/>
      </c>
      <c r="E263" s="97" t="str">
        <f aca="false">IF(C263="","",IFERROR(INDEX(Mapping!$B$5:$B$200,SUMPRODUCT(MAX((ISNUMBER(SEARCH(Mapping!$A$5:$A$200,UPPER(C263&amp;""))))*ROW(Mapping!$A$5:$A$200)))-4),""))</f>
        <v/>
      </c>
      <c r="F263" s="98"/>
      <c r="G263" s="99" t="n">
        <f aca="false">IF(F263="",G262,G262+IF(D263="Income",F263,IF(D263="Expense",-F263,F263)))</f>
        <v>3408.09</v>
      </c>
      <c r="H263" s="100" t="str">
        <f aca="false">IF(C263="","",IFERROR(INDEX(Mapping!$A$5:$A$200,SUMPRODUCT(MAX((ISNUMBER(SEARCH(Mapping!$A$5:$A$200,UPPER(C263&amp;""))))*ROW(Mapping!$A$5:$A$200)))-4)&amp;" → "&amp;INDEX(Mapping!$B$5:$B$200,SUMPRODUCT(MAX((ISNUMBER(SEARCH(Mapping!$A$5:$A$200,UPPER(C263&amp;""))))*ROW(Mapping!$A$5:$A$200)))-4),"❓ no rule (add to Mapping)"))</f>
        <v/>
      </c>
      <c r="I263" s="79" t="str">
        <f aca="false">IF(B263="","",TEXT(B263,"mmm"))</f>
        <v/>
      </c>
      <c r="J263" s="80" t="str">
        <f aca="false">IF(B263="","",YEAR(B263))</f>
        <v/>
      </c>
    </row>
    <row r="264" customFormat="false" ht="18" hidden="false" customHeight="true" outlineLevel="0" collapsed="false">
      <c r="A264" s="81" t="n">
        <v>259</v>
      </c>
      <c r="B264" s="95"/>
      <c r="C264" s="96"/>
      <c r="D264" s="96" t="str">
        <f aca="false">IF(C264="","",IF(OR(ISNUMBER(SEARCH("PAYROLL",UPPER(C264))),ISNUMBER(SEARCH("PAYCHECK",UPPER(C264))),ISNUMBER(SEARCH("DEPOSIT",UPPER(C264)))),"Income",IF(ISNUMBER(SEARCH("TRANSFER",UPPER(C264))),"Transfer","Expense")))</f>
        <v/>
      </c>
      <c r="E264" s="97" t="str">
        <f aca="false">IF(C264="","",IFERROR(INDEX(Mapping!$B$5:$B$200,SUMPRODUCT(MAX((ISNUMBER(SEARCH(Mapping!$A$5:$A$200,UPPER(C264&amp;""))))*ROW(Mapping!$A$5:$A$200)))-4),""))</f>
        <v/>
      </c>
      <c r="F264" s="98"/>
      <c r="G264" s="99" t="n">
        <f aca="false">IF(F264="",G263,G263+IF(D264="Income",F264,IF(D264="Expense",-F264,F264)))</f>
        <v>3408.09</v>
      </c>
      <c r="H264" s="100" t="str">
        <f aca="false">IF(C264="","",IFERROR(INDEX(Mapping!$A$5:$A$200,SUMPRODUCT(MAX((ISNUMBER(SEARCH(Mapping!$A$5:$A$200,UPPER(C264&amp;""))))*ROW(Mapping!$A$5:$A$200)))-4)&amp;" → "&amp;INDEX(Mapping!$B$5:$B$200,SUMPRODUCT(MAX((ISNUMBER(SEARCH(Mapping!$A$5:$A$200,UPPER(C264&amp;""))))*ROW(Mapping!$A$5:$A$200)))-4),"❓ no rule (add to Mapping)"))</f>
        <v/>
      </c>
      <c r="I264" s="79" t="str">
        <f aca="false">IF(B264="","",TEXT(B264,"mmm"))</f>
        <v/>
      </c>
      <c r="J264" s="80" t="str">
        <f aca="false">IF(B264="","",YEAR(B264))</f>
        <v/>
      </c>
    </row>
    <row r="265" customFormat="false" ht="18" hidden="false" customHeight="true" outlineLevel="0" collapsed="false">
      <c r="A265" s="81" t="n">
        <v>260</v>
      </c>
      <c r="B265" s="95"/>
      <c r="C265" s="96"/>
      <c r="D265" s="96" t="str">
        <f aca="false">IF(C265="","",IF(OR(ISNUMBER(SEARCH("PAYROLL",UPPER(C265))),ISNUMBER(SEARCH("PAYCHECK",UPPER(C265))),ISNUMBER(SEARCH("DEPOSIT",UPPER(C265)))),"Income",IF(ISNUMBER(SEARCH("TRANSFER",UPPER(C265))),"Transfer","Expense")))</f>
        <v/>
      </c>
      <c r="E265" s="97" t="str">
        <f aca="false">IF(C265="","",IFERROR(INDEX(Mapping!$B$5:$B$200,SUMPRODUCT(MAX((ISNUMBER(SEARCH(Mapping!$A$5:$A$200,UPPER(C265&amp;""))))*ROW(Mapping!$A$5:$A$200)))-4),""))</f>
        <v/>
      </c>
      <c r="F265" s="98"/>
      <c r="G265" s="99" t="n">
        <f aca="false">IF(F265="",G264,G264+IF(D265="Income",F265,IF(D265="Expense",-F265,F265)))</f>
        <v>3408.09</v>
      </c>
      <c r="H265" s="100" t="str">
        <f aca="false">IF(C265="","",IFERROR(INDEX(Mapping!$A$5:$A$200,SUMPRODUCT(MAX((ISNUMBER(SEARCH(Mapping!$A$5:$A$200,UPPER(C265&amp;""))))*ROW(Mapping!$A$5:$A$200)))-4)&amp;" → "&amp;INDEX(Mapping!$B$5:$B$200,SUMPRODUCT(MAX((ISNUMBER(SEARCH(Mapping!$A$5:$A$200,UPPER(C265&amp;""))))*ROW(Mapping!$A$5:$A$200)))-4),"❓ no rule (add to Mapping)"))</f>
        <v/>
      </c>
      <c r="I265" s="79" t="str">
        <f aca="false">IF(B265="","",TEXT(B265,"mmm"))</f>
        <v/>
      </c>
      <c r="J265" s="80" t="str">
        <f aca="false">IF(B265="","",YEAR(B265))</f>
        <v/>
      </c>
    </row>
    <row r="266" customFormat="false" ht="18" hidden="false" customHeight="true" outlineLevel="0" collapsed="false">
      <c r="A266" s="81" t="n">
        <v>261</v>
      </c>
      <c r="B266" s="95"/>
      <c r="C266" s="96"/>
      <c r="D266" s="96" t="str">
        <f aca="false">IF(C266="","",IF(OR(ISNUMBER(SEARCH("PAYROLL",UPPER(C266))),ISNUMBER(SEARCH("PAYCHECK",UPPER(C266))),ISNUMBER(SEARCH("DEPOSIT",UPPER(C266)))),"Income",IF(ISNUMBER(SEARCH("TRANSFER",UPPER(C266))),"Transfer","Expense")))</f>
        <v/>
      </c>
      <c r="E266" s="97" t="str">
        <f aca="false">IF(C266="","",IFERROR(INDEX(Mapping!$B$5:$B$200,SUMPRODUCT(MAX((ISNUMBER(SEARCH(Mapping!$A$5:$A$200,UPPER(C266&amp;""))))*ROW(Mapping!$A$5:$A$200)))-4),""))</f>
        <v/>
      </c>
      <c r="F266" s="98"/>
      <c r="G266" s="99" t="n">
        <f aca="false">IF(F266="",G265,G265+IF(D266="Income",F266,IF(D266="Expense",-F266,F266)))</f>
        <v>3408.09</v>
      </c>
      <c r="H266" s="100" t="str">
        <f aca="false">IF(C266="","",IFERROR(INDEX(Mapping!$A$5:$A$200,SUMPRODUCT(MAX((ISNUMBER(SEARCH(Mapping!$A$5:$A$200,UPPER(C266&amp;""))))*ROW(Mapping!$A$5:$A$200)))-4)&amp;" → "&amp;INDEX(Mapping!$B$5:$B$200,SUMPRODUCT(MAX((ISNUMBER(SEARCH(Mapping!$A$5:$A$200,UPPER(C266&amp;""))))*ROW(Mapping!$A$5:$A$200)))-4),"❓ no rule (add to Mapping)"))</f>
        <v/>
      </c>
      <c r="I266" s="79" t="str">
        <f aca="false">IF(B266="","",TEXT(B266,"mmm"))</f>
        <v/>
      </c>
      <c r="J266" s="80" t="str">
        <f aca="false">IF(B266="","",YEAR(B266))</f>
        <v/>
      </c>
    </row>
    <row r="267" customFormat="false" ht="18" hidden="false" customHeight="true" outlineLevel="0" collapsed="false">
      <c r="A267" s="81" t="n">
        <v>262</v>
      </c>
      <c r="B267" s="95"/>
      <c r="C267" s="96"/>
      <c r="D267" s="96" t="str">
        <f aca="false">IF(C267="","",IF(OR(ISNUMBER(SEARCH("PAYROLL",UPPER(C267))),ISNUMBER(SEARCH("PAYCHECK",UPPER(C267))),ISNUMBER(SEARCH("DEPOSIT",UPPER(C267)))),"Income",IF(ISNUMBER(SEARCH("TRANSFER",UPPER(C267))),"Transfer","Expense")))</f>
        <v/>
      </c>
      <c r="E267" s="97" t="str">
        <f aca="false">IF(C267="","",IFERROR(INDEX(Mapping!$B$5:$B$200,SUMPRODUCT(MAX((ISNUMBER(SEARCH(Mapping!$A$5:$A$200,UPPER(C267&amp;""))))*ROW(Mapping!$A$5:$A$200)))-4),""))</f>
        <v/>
      </c>
      <c r="F267" s="98"/>
      <c r="G267" s="99" t="n">
        <f aca="false">IF(F267="",G266,G266+IF(D267="Income",F267,IF(D267="Expense",-F267,F267)))</f>
        <v>3408.09</v>
      </c>
      <c r="H267" s="100" t="str">
        <f aca="false">IF(C267="","",IFERROR(INDEX(Mapping!$A$5:$A$200,SUMPRODUCT(MAX((ISNUMBER(SEARCH(Mapping!$A$5:$A$200,UPPER(C267&amp;""))))*ROW(Mapping!$A$5:$A$200)))-4)&amp;" → "&amp;INDEX(Mapping!$B$5:$B$200,SUMPRODUCT(MAX((ISNUMBER(SEARCH(Mapping!$A$5:$A$200,UPPER(C267&amp;""))))*ROW(Mapping!$A$5:$A$200)))-4),"❓ no rule (add to Mapping)"))</f>
        <v/>
      </c>
      <c r="I267" s="79" t="str">
        <f aca="false">IF(B267="","",TEXT(B267,"mmm"))</f>
        <v/>
      </c>
      <c r="J267" s="80" t="str">
        <f aca="false">IF(B267="","",YEAR(B267))</f>
        <v/>
      </c>
    </row>
    <row r="268" customFormat="false" ht="18" hidden="false" customHeight="true" outlineLevel="0" collapsed="false">
      <c r="A268" s="81" t="n">
        <v>263</v>
      </c>
      <c r="B268" s="95"/>
      <c r="C268" s="96"/>
      <c r="D268" s="96" t="str">
        <f aca="false">IF(C268="","",IF(OR(ISNUMBER(SEARCH("PAYROLL",UPPER(C268))),ISNUMBER(SEARCH("PAYCHECK",UPPER(C268))),ISNUMBER(SEARCH("DEPOSIT",UPPER(C268)))),"Income",IF(ISNUMBER(SEARCH("TRANSFER",UPPER(C268))),"Transfer","Expense")))</f>
        <v/>
      </c>
      <c r="E268" s="97" t="str">
        <f aca="false">IF(C268="","",IFERROR(INDEX(Mapping!$B$5:$B$200,SUMPRODUCT(MAX((ISNUMBER(SEARCH(Mapping!$A$5:$A$200,UPPER(C268&amp;""))))*ROW(Mapping!$A$5:$A$200)))-4),""))</f>
        <v/>
      </c>
      <c r="F268" s="98"/>
      <c r="G268" s="99" t="n">
        <f aca="false">IF(F268="",G267,G267+IF(D268="Income",F268,IF(D268="Expense",-F268,F268)))</f>
        <v>3408.09</v>
      </c>
      <c r="H268" s="100" t="str">
        <f aca="false">IF(C268="","",IFERROR(INDEX(Mapping!$A$5:$A$200,SUMPRODUCT(MAX((ISNUMBER(SEARCH(Mapping!$A$5:$A$200,UPPER(C268&amp;""))))*ROW(Mapping!$A$5:$A$200)))-4)&amp;" → "&amp;INDEX(Mapping!$B$5:$B$200,SUMPRODUCT(MAX((ISNUMBER(SEARCH(Mapping!$A$5:$A$200,UPPER(C268&amp;""))))*ROW(Mapping!$A$5:$A$200)))-4),"❓ no rule (add to Mapping)"))</f>
        <v/>
      </c>
      <c r="I268" s="79" t="str">
        <f aca="false">IF(B268="","",TEXT(B268,"mmm"))</f>
        <v/>
      </c>
      <c r="J268" s="80" t="str">
        <f aca="false">IF(B268="","",YEAR(B268))</f>
        <v/>
      </c>
    </row>
    <row r="269" customFormat="false" ht="18" hidden="false" customHeight="true" outlineLevel="0" collapsed="false">
      <c r="A269" s="81" t="n">
        <v>264</v>
      </c>
      <c r="B269" s="95"/>
      <c r="C269" s="96"/>
      <c r="D269" s="96" t="str">
        <f aca="false">IF(C269="","",IF(OR(ISNUMBER(SEARCH("PAYROLL",UPPER(C269))),ISNUMBER(SEARCH("PAYCHECK",UPPER(C269))),ISNUMBER(SEARCH("DEPOSIT",UPPER(C269)))),"Income",IF(ISNUMBER(SEARCH("TRANSFER",UPPER(C269))),"Transfer","Expense")))</f>
        <v/>
      </c>
      <c r="E269" s="97" t="str">
        <f aca="false">IF(C269="","",IFERROR(INDEX(Mapping!$B$5:$B$200,SUMPRODUCT(MAX((ISNUMBER(SEARCH(Mapping!$A$5:$A$200,UPPER(C269&amp;""))))*ROW(Mapping!$A$5:$A$200)))-4),""))</f>
        <v/>
      </c>
      <c r="F269" s="98"/>
      <c r="G269" s="99" t="n">
        <f aca="false">IF(F269="",G268,G268+IF(D269="Income",F269,IF(D269="Expense",-F269,F269)))</f>
        <v>3408.09</v>
      </c>
      <c r="H269" s="100" t="str">
        <f aca="false">IF(C269="","",IFERROR(INDEX(Mapping!$A$5:$A$200,SUMPRODUCT(MAX((ISNUMBER(SEARCH(Mapping!$A$5:$A$200,UPPER(C269&amp;""))))*ROW(Mapping!$A$5:$A$200)))-4)&amp;" → "&amp;INDEX(Mapping!$B$5:$B$200,SUMPRODUCT(MAX((ISNUMBER(SEARCH(Mapping!$A$5:$A$200,UPPER(C269&amp;""))))*ROW(Mapping!$A$5:$A$200)))-4),"❓ no rule (add to Mapping)"))</f>
        <v/>
      </c>
      <c r="I269" s="79" t="str">
        <f aca="false">IF(B269="","",TEXT(B269,"mmm"))</f>
        <v/>
      </c>
      <c r="J269" s="80" t="str">
        <f aca="false">IF(B269="","",YEAR(B269))</f>
        <v/>
      </c>
    </row>
    <row r="270" customFormat="false" ht="18" hidden="false" customHeight="true" outlineLevel="0" collapsed="false">
      <c r="A270" s="81" t="n">
        <v>265</v>
      </c>
      <c r="B270" s="95"/>
      <c r="C270" s="96"/>
      <c r="D270" s="96" t="str">
        <f aca="false">IF(C270="","",IF(OR(ISNUMBER(SEARCH("PAYROLL",UPPER(C270))),ISNUMBER(SEARCH("PAYCHECK",UPPER(C270))),ISNUMBER(SEARCH("DEPOSIT",UPPER(C270)))),"Income",IF(ISNUMBER(SEARCH("TRANSFER",UPPER(C270))),"Transfer","Expense")))</f>
        <v/>
      </c>
      <c r="E270" s="97" t="str">
        <f aca="false">IF(C270="","",IFERROR(INDEX(Mapping!$B$5:$B$200,SUMPRODUCT(MAX((ISNUMBER(SEARCH(Mapping!$A$5:$A$200,UPPER(C270&amp;""))))*ROW(Mapping!$A$5:$A$200)))-4),""))</f>
        <v/>
      </c>
      <c r="F270" s="98"/>
      <c r="G270" s="99" t="n">
        <f aca="false">IF(F270="",G269,G269+IF(D270="Income",F270,IF(D270="Expense",-F270,F270)))</f>
        <v>3408.09</v>
      </c>
      <c r="H270" s="100" t="str">
        <f aca="false">IF(C270="","",IFERROR(INDEX(Mapping!$A$5:$A$200,SUMPRODUCT(MAX((ISNUMBER(SEARCH(Mapping!$A$5:$A$200,UPPER(C270&amp;""))))*ROW(Mapping!$A$5:$A$200)))-4)&amp;" → "&amp;INDEX(Mapping!$B$5:$B$200,SUMPRODUCT(MAX((ISNUMBER(SEARCH(Mapping!$A$5:$A$200,UPPER(C270&amp;""))))*ROW(Mapping!$A$5:$A$200)))-4),"❓ no rule (add to Mapping)"))</f>
        <v/>
      </c>
      <c r="I270" s="79" t="str">
        <f aca="false">IF(B270="","",TEXT(B270,"mmm"))</f>
        <v/>
      </c>
      <c r="J270" s="80" t="str">
        <f aca="false">IF(B270="","",YEAR(B270))</f>
        <v/>
      </c>
    </row>
    <row r="271" customFormat="false" ht="18" hidden="false" customHeight="true" outlineLevel="0" collapsed="false">
      <c r="A271" s="81" t="n">
        <v>266</v>
      </c>
      <c r="B271" s="95"/>
      <c r="C271" s="96"/>
      <c r="D271" s="96" t="str">
        <f aca="false">IF(C271="","",IF(OR(ISNUMBER(SEARCH("PAYROLL",UPPER(C271))),ISNUMBER(SEARCH("PAYCHECK",UPPER(C271))),ISNUMBER(SEARCH("DEPOSIT",UPPER(C271)))),"Income",IF(ISNUMBER(SEARCH("TRANSFER",UPPER(C271))),"Transfer","Expense")))</f>
        <v/>
      </c>
      <c r="E271" s="97" t="str">
        <f aca="false">IF(C271="","",IFERROR(INDEX(Mapping!$B$5:$B$200,SUMPRODUCT(MAX((ISNUMBER(SEARCH(Mapping!$A$5:$A$200,UPPER(C271&amp;""))))*ROW(Mapping!$A$5:$A$200)))-4),""))</f>
        <v/>
      </c>
      <c r="F271" s="98"/>
      <c r="G271" s="99" t="n">
        <f aca="false">IF(F271="",G270,G270+IF(D271="Income",F271,IF(D271="Expense",-F271,F271)))</f>
        <v>3408.09</v>
      </c>
      <c r="H271" s="100" t="str">
        <f aca="false">IF(C271="","",IFERROR(INDEX(Mapping!$A$5:$A$200,SUMPRODUCT(MAX((ISNUMBER(SEARCH(Mapping!$A$5:$A$200,UPPER(C271&amp;""))))*ROW(Mapping!$A$5:$A$200)))-4)&amp;" → "&amp;INDEX(Mapping!$B$5:$B$200,SUMPRODUCT(MAX((ISNUMBER(SEARCH(Mapping!$A$5:$A$200,UPPER(C271&amp;""))))*ROW(Mapping!$A$5:$A$200)))-4),"❓ no rule (add to Mapping)"))</f>
        <v/>
      </c>
      <c r="I271" s="79" t="str">
        <f aca="false">IF(B271="","",TEXT(B271,"mmm"))</f>
        <v/>
      </c>
      <c r="J271" s="80" t="str">
        <f aca="false">IF(B271="","",YEAR(B271))</f>
        <v/>
      </c>
    </row>
    <row r="272" customFormat="false" ht="18" hidden="false" customHeight="true" outlineLevel="0" collapsed="false">
      <c r="A272" s="81" t="n">
        <v>267</v>
      </c>
      <c r="B272" s="95"/>
      <c r="C272" s="96"/>
      <c r="D272" s="96" t="str">
        <f aca="false">IF(C272="","",IF(OR(ISNUMBER(SEARCH("PAYROLL",UPPER(C272))),ISNUMBER(SEARCH("PAYCHECK",UPPER(C272))),ISNUMBER(SEARCH("DEPOSIT",UPPER(C272)))),"Income",IF(ISNUMBER(SEARCH("TRANSFER",UPPER(C272))),"Transfer","Expense")))</f>
        <v/>
      </c>
      <c r="E272" s="97" t="str">
        <f aca="false">IF(C272="","",IFERROR(INDEX(Mapping!$B$5:$B$200,SUMPRODUCT(MAX((ISNUMBER(SEARCH(Mapping!$A$5:$A$200,UPPER(C272&amp;""))))*ROW(Mapping!$A$5:$A$200)))-4),""))</f>
        <v/>
      </c>
      <c r="F272" s="98"/>
      <c r="G272" s="99" t="n">
        <f aca="false">IF(F272="",G271,G271+IF(D272="Income",F272,IF(D272="Expense",-F272,F272)))</f>
        <v>3408.09</v>
      </c>
      <c r="H272" s="100" t="str">
        <f aca="false">IF(C272="","",IFERROR(INDEX(Mapping!$A$5:$A$200,SUMPRODUCT(MAX((ISNUMBER(SEARCH(Mapping!$A$5:$A$200,UPPER(C272&amp;""))))*ROW(Mapping!$A$5:$A$200)))-4)&amp;" → "&amp;INDEX(Mapping!$B$5:$B$200,SUMPRODUCT(MAX((ISNUMBER(SEARCH(Mapping!$A$5:$A$200,UPPER(C272&amp;""))))*ROW(Mapping!$A$5:$A$200)))-4),"❓ no rule (add to Mapping)"))</f>
        <v/>
      </c>
      <c r="I272" s="79" t="str">
        <f aca="false">IF(B272="","",TEXT(B272,"mmm"))</f>
        <v/>
      </c>
      <c r="J272" s="80" t="str">
        <f aca="false">IF(B272="","",YEAR(B272))</f>
        <v/>
      </c>
    </row>
    <row r="273" customFormat="false" ht="18" hidden="false" customHeight="true" outlineLevel="0" collapsed="false">
      <c r="A273" s="81" t="n">
        <v>268</v>
      </c>
      <c r="B273" s="95"/>
      <c r="C273" s="96"/>
      <c r="D273" s="96" t="str">
        <f aca="false">IF(C273="","",IF(OR(ISNUMBER(SEARCH("PAYROLL",UPPER(C273))),ISNUMBER(SEARCH("PAYCHECK",UPPER(C273))),ISNUMBER(SEARCH("DEPOSIT",UPPER(C273)))),"Income",IF(ISNUMBER(SEARCH("TRANSFER",UPPER(C273))),"Transfer","Expense")))</f>
        <v/>
      </c>
      <c r="E273" s="97" t="str">
        <f aca="false">IF(C273="","",IFERROR(INDEX(Mapping!$B$5:$B$200,SUMPRODUCT(MAX((ISNUMBER(SEARCH(Mapping!$A$5:$A$200,UPPER(C273&amp;""))))*ROW(Mapping!$A$5:$A$200)))-4),""))</f>
        <v/>
      </c>
      <c r="F273" s="98"/>
      <c r="G273" s="99" t="n">
        <f aca="false">IF(F273="",G272,G272+IF(D273="Income",F273,IF(D273="Expense",-F273,F273)))</f>
        <v>3408.09</v>
      </c>
      <c r="H273" s="100" t="str">
        <f aca="false">IF(C273="","",IFERROR(INDEX(Mapping!$A$5:$A$200,SUMPRODUCT(MAX((ISNUMBER(SEARCH(Mapping!$A$5:$A$200,UPPER(C273&amp;""))))*ROW(Mapping!$A$5:$A$200)))-4)&amp;" → "&amp;INDEX(Mapping!$B$5:$B$200,SUMPRODUCT(MAX((ISNUMBER(SEARCH(Mapping!$A$5:$A$200,UPPER(C273&amp;""))))*ROW(Mapping!$A$5:$A$200)))-4),"❓ no rule (add to Mapping)"))</f>
        <v/>
      </c>
      <c r="I273" s="79" t="str">
        <f aca="false">IF(B273="","",TEXT(B273,"mmm"))</f>
        <v/>
      </c>
      <c r="J273" s="80" t="str">
        <f aca="false">IF(B273="","",YEAR(B273))</f>
        <v/>
      </c>
    </row>
    <row r="274" customFormat="false" ht="18" hidden="false" customHeight="true" outlineLevel="0" collapsed="false">
      <c r="A274" s="81" t="n">
        <v>269</v>
      </c>
      <c r="B274" s="95"/>
      <c r="C274" s="96"/>
      <c r="D274" s="96" t="str">
        <f aca="false">IF(C274="","",IF(OR(ISNUMBER(SEARCH("PAYROLL",UPPER(C274))),ISNUMBER(SEARCH("PAYCHECK",UPPER(C274))),ISNUMBER(SEARCH("DEPOSIT",UPPER(C274)))),"Income",IF(ISNUMBER(SEARCH("TRANSFER",UPPER(C274))),"Transfer","Expense")))</f>
        <v/>
      </c>
      <c r="E274" s="97" t="str">
        <f aca="false">IF(C274="","",IFERROR(INDEX(Mapping!$B$5:$B$200,SUMPRODUCT(MAX((ISNUMBER(SEARCH(Mapping!$A$5:$A$200,UPPER(C274&amp;""))))*ROW(Mapping!$A$5:$A$200)))-4),""))</f>
        <v/>
      </c>
      <c r="F274" s="98"/>
      <c r="G274" s="99" t="n">
        <f aca="false">IF(F274="",G273,G273+IF(D274="Income",F274,IF(D274="Expense",-F274,F274)))</f>
        <v>3408.09</v>
      </c>
      <c r="H274" s="100" t="str">
        <f aca="false">IF(C274="","",IFERROR(INDEX(Mapping!$A$5:$A$200,SUMPRODUCT(MAX((ISNUMBER(SEARCH(Mapping!$A$5:$A$200,UPPER(C274&amp;""))))*ROW(Mapping!$A$5:$A$200)))-4)&amp;" → "&amp;INDEX(Mapping!$B$5:$B$200,SUMPRODUCT(MAX((ISNUMBER(SEARCH(Mapping!$A$5:$A$200,UPPER(C274&amp;""))))*ROW(Mapping!$A$5:$A$200)))-4),"❓ no rule (add to Mapping)"))</f>
        <v/>
      </c>
      <c r="I274" s="79" t="str">
        <f aca="false">IF(B274="","",TEXT(B274,"mmm"))</f>
        <v/>
      </c>
      <c r="J274" s="80" t="str">
        <f aca="false">IF(B274="","",YEAR(B274))</f>
        <v/>
      </c>
    </row>
    <row r="275" customFormat="false" ht="18" hidden="false" customHeight="true" outlineLevel="0" collapsed="false">
      <c r="A275" s="81" t="n">
        <v>270</v>
      </c>
      <c r="B275" s="95"/>
      <c r="C275" s="96"/>
      <c r="D275" s="96" t="str">
        <f aca="false">IF(C275="","",IF(OR(ISNUMBER(SEARCH("PAYROLL",UPPER(C275))),ISNUMBER(SEARCH("PAYCHECK",UPPER(C275))),ISNUMBER(SEARCH("DEPOSIT",UPPER(C275)))),"Income",IF(ISNUMBER(SEARCH("TRANSFER",UPPER(C275))),"Transfer","Expense")))</f>
        <v/>
      </c>
      <c r="E275" s="97" t="str">
        <f aca="false">IF(C275="","",IFERROR(INDEX(Mapping!$B$5:$B$200,SUMPRODUCT(MAX((ISNUMBER(SEARCH(Mapping!$A$5:$A$200,UPPER(C275&amp;""))))*ROW(Mapping!$A$5:$A$200)))-4),""))</f>
        <v/>
      </c>
      <c r="F275" s="98"/>
      <c r="G275" s="99" t="n">
        <f aca="false">IF(F275="",G274,G274+IF(D275="Income",F275,IF(D275="Expense",-F275,F275)))</f>
        <v>3408.09</v>
      </c>
      <c r="H275" s="100" t="str">
        <f aca="false">IF(C275="","",IFERROR(INDEX(Mapping!$A$5:$A$200,SUMPRODUCT(MAX((ISNUMBER(SEARCH(Mapping!$A$5:$A$200,UPPER(C275&amp;""))))*ROW(Mapping!$A$5:$A$200)))-4)&amp;" → "&amp;INDEX(Mapping!$B$5:$B$200,SUMPRODUCT(MAX((ISNUMBER(SEARCH(Mapping!$A$5:$A$200,UPPER(C275&amp;""))))*ROW(Mapping!$A$5:$A$200)))-4),"❓ no rule (add to Mapping)"))</f>
        <v/>
      </c>
      <c r="I275" s="79" t="str">
        <f aca="false">IF(B275="","",TEXT(B275,"mmm"))</f>
        <v/>
      </c>
      <c r="J275" s="80" t="str">
        <f aca="false">IF(B275="","",YEAR(B275))</f>
        <v/>
      </c>
    </row>
    <row r="276" customFormat="false" ht="18" hidden="false" customHeight="true" outlineLevel="0" collapsed="false">
      <c r="A276" s="81" t="n">
        <v>271</v>
      </c>
      <c r="B276" s="95"/>
      <c r="C276" s="96"/>
      <c r="D276" s="96" t="str">
        <f aca="false">IF(C276="","",IF(OR(ISNUMBER(SEARCH("PAYROLL",UPPER(C276))),ISNUMBER(SEARCH("PAYCHECK",UPPER(C276))),ISNUMBER(SEARCH("DEPOSIT",UPPER(C276)))),"Income",IF(ISNUMBER(SEARCH("TRANSFER",UPPER(C276))),"Transfer","Expense")))</f>
        <v/>
      </c>
      <c r="E276" s="97" t="str">
        <f aca="false">IF(C276="","",IFERROR(INDEX(Mapping!$B$5:$B$200,SUMPRODUCT(MAX((ISNUMBER(SEARCH(Mapping!$A$5:$A$200,UPPER(C276&amp;""))))*ROW(Mapping!$A$5:$A$200)))-4),""))</f>
        <v/>
      </c>
      <c r="F276" s="98"/>
      <c r="G276" s="99" t="n">
        <f aca="false">IF(F276="",G275,G275+IF(D276="Income",F276,IF(D276="Expense",-F276,F276)))</f>
        <v>3408.09</v>
      </c>
      <c r="H276" s="100" t="str">
        <f aca="false">IF(C276="","",IFERROR(INDEX(Mapping!$A$5:$A$200,SUMPRODUCT(MAX((ISNUMBER(SEARCH(Mapping!$A$5:$A$200,UPPER(C276&amp;""))))*ROW(Mapping!$A$5:$A$200)))-4)&amp;" → "&amp;INDEX(Mapping!$B$5:$B$200,SUMPRODUCT(MAX((ISNUMBER(SEARCH(Mapping!$A$5:$A$200,UPPER(C276&amp;""))))*ROW(Mapping!$A$5:$A$200)))-4),"❓ no rule (add to Mapping)"))</f>
        <v/>
      </c>
      <c r="I276" s="79" t="str">
        <f aca="false">IF(B276="","",TEXT(B276,"mmm"))</f>
        <v/>
      </c>
      <c r="J276" s="80" t="str">
        <f aca="false">IF(B276="","",YEAR(B276))</f>
        <v/>
      </c>
    </row>
    <row r="277" customFormat="false" ht="18" hidden="false" customHeight="true" outlineLevel="0" collapsed="false">
      <c r="A277" s="81" t="n">
        <v>272</v>
      </c>
      <c r="B277" s="95"/>
      <c r="C277" s="96"/>
      <c r="D277" s="96" t="str">
        <f aca="false">IF(C277="","",IF(OR(ISNUMBER(SEARCH("PAYROLL",UPPER(C277))),ISNUMBER(SEARCH("PAYCHECK",UPPER(C277))),ISNUMBER(SEARCH("DEPOSIT",UPPER(C277)))),"Income",IF(ISNUMBER(SEARCH("TRANSFER",UPPER(C277))),"Transfer","Expense")))</f>
        <v/>
      </c>
      <c r="E277" s="97" t="str">
        <f aca="false">IF(C277="","",IFERROR(INDEX(Mapping!$B$5:$B$200,SUMPRODUCT(MAX((ISNUMBER(SEARCH(Mapping!$A$5:$A$200,UPPER(C277&amp;""))))*ROW(Mapping!$A$5:$A$200)))-4),""))</f>
        <v/>
      </c>
      <c r="F277" s="98"/>
      <c r="G277" s="99" t="n">
        <f aca="false">IF(F277="",G276,G276+IF(D277="Income",F277,IF(D277="Expense",-F277,F277)))</f>
        <v>3408.09</v>
      </c>
      <c r="H277" s="100" t="str">
        <f aca="false">IF(C277="","",IFERROR(INDEX(Mapping!$A$5:$A$200,SUMPRODUCT(MAX((ISNUMBER(SEARCH(Mapping!$A$5:$A$200,UPPER(C277&amp;""))))*ROW(Mapping!$A$5:$A$200)))-4)&amp;" → "&amp;INDEX(Mapping!$B$5:$B$200,SUMPRODUCT(MAX((ISNUMBER(SEARCH(Mapping!$A$5:$A$200,UPPER(C277&amp;""))))*ROW(Mapping!$A$5:$A$200)))-4),"❓ no rule (add to Mapping)"))</f>
        <v/>
      </c>
      <c r="I277" s="79" t="str">
        <f aca="false">IF(B277="","",TEXT(B277,"mmm"))</f>
        <v/>
      </c>
      <c r="J277" s="80" t="str">
        <f aca="false">IF(B277="","",YEAR(B277))</f>
        <v/>
      </c>
    </row>
    <row r="278" customFormat="false" ht="18" hidden="false" customHeight="true" outlineLevel="0" collapsed="false">
      <c r="A278" s="81" t="n">
        <v>273</v>
      </c>
      <c r="B278" s="95"/>
      <c r="C278" s="96"/>
      <c r="D278" s="96" t="str">
        <f aca="false">IF(C278="","",IF(OR(ISNUMBER(SEARCH("PAYROLL",UPPER(C278))),ISNUMBER(SEARCH("PAYCHECK",UPPER(C278))),ISNUMBER(SEARCH("DEPOSIT",UPPER(C278)))),"Income",IF(ISNUMBER(SEARCH("TRANSFER",UPPER(C278))),"Transfer","Expense")))</f>
        <v/>
      </c>
      <c r="E278" s="97" t="str">
        <f aca="false">IF(C278="","",IFERROR(INDEX(Mapping!$B$5:$B$200,SUMPRODUCT(MAX((ISNUMBER(SEARCH(Mapping!$A$5:$A$200,UPPER(C278&amp;""))))*ROW(Mapping!$A$5:$A$200)))-4),""))</f>
        <v/>
      </c>
      <c r="F278" s="98"/>
      <c r="G278" s="99" t="n">
        <f aca="false">IF(F278="",G277,G277+IF(D278="Income",F278,IF(D278="Expense",-F278,F278)))</f>
        <v>3408.09</v>
      </c>
      <c r="H278" s="100" t="str">
        <f aca="false">IF(C278="","",IFERROR(INDEX(Mapping!$A$5:$A$200,SUMPRODUCT(MAX((ISNUMBER(SEARCH(Mapping!$A$5:$A$200,UPPER(C278&amp;""))))*ROW(Mapping!$A$5:$A$200)))-4)&amp;" → "&amp;INDEX(Mapping!$B$5:$B$200,SUMPRODUCT(MAX((ISNUMBER(SEARCH(Mapping!$A$5:$A$200,UPPER(C278&amp;""))))*ROW(Mapping!$A$5:$A$200)))-4),"❓ no rule (add to Mapping)"))</f>
        <v/>
      </c>
      <c r="I278" s="79" t="str">
        <f aca="false">IF(B278="","",TEXT(B278,"mmm"))</f>
        <v/>
      </c>
      <c r="J278" s="80" t="str">
        <f aca="false">IF(B278="","",YEAR(B278))</f>
        <v/>
      </c>
    </row>
    <row r="279" customFormat="false" ht="18" hidden="false" customHeight="true" outlineLevel="0" collapsed="false">
      <c r="A279" s="81" t="n">
        <v>274</v>
      </c>
      <c r="B279" s="95"/>
      <c r="C279" s="96"/>
      <c r="D279" s="96" t="str">
        <f aca="false">IF(C279="","",IF(OR(ISNUMBER(SEARCH("PAYROLL",UPPER(C279))),ISNUMBER(SEARCH("PAYCHECK",UPPER(C279))),ISNUMBER(SEARCH("DEPOSIT",UPPER(C279)))),"Income",IF(ISNUMBER(SEARCH("TRANSFER",UPPER(C279))),"Transfer","Expense")))</f>
        <v/>
      </c>
      <c r="E279" s="97" t="str">
        <f aca="false">IF(C279="","",IFERROR(INDEX(Mapping!$B$5:$B$200,SUMPRODUCT(MAX((ISNUMBER(SEARCH(Mapping!$A$5:$A$200,UPPER(C279&amp;""))))*ROW(Mapping!$A$5:$A$200)))-4),""))</f>
        <v/>
      </c>
      <c r="F279" s="98"/>
      <c r="G279" s="99" t="n">
        <f aca="false">IF(F279="",G278,G278+IF(D279="Income",F279,IF(D279="Expense",-F279,F279)))</f>
        <v>3408.09</v>
      </c>
      <c r="H279" s="100" t="str">
        <f aca="false">IF(C279="","",IFERROR(INDEX(Mapping!$A$5:$A$200,SUMPRODUCT(MAX((ISNUMBER(SEARCH(Mapping!$A$5:$A$200,UPPER(C279&amp;""))))*ROW(Mapping!$A$5:$A$200)))-4)&amp;" → "&amp;INDEX(Mapping!$B$5:$B$200,SUMPRODUCT(MAX((ISNUMBER(SEARCH(Mapping!$A$5:$A$200,UPPER(C279&amp;""))))*ROW(Mapping!$A$5:$A$200)))-4),"❓ no rule (add to Mapping)"))</f>
        <v/>
      </c>
      <c r="I279" s="79" t="str">
        <f aca="false">IF(B279="","",TEXT(B279,"mmm"))</f>
        <v/>
      </c>
      <c r="J279" s="80" t="str">
        <f aca="false">IF(B279="","",YEAR(B279))</f>
        <v/>
      </c>
    </row>
    <row r="280" customFormat="false" ht="18" hidden="false" customHeight="true" outlineLevel="0" collapsed="false">
      <c r="A280" s="81" t="n">
        <v>275</v>
      </c>
      <c r="B280" s="95"/>
      <c r="C280" s="96"/>
      <c r="D280" s="96" t="str">
        <f aca="false">IF(C280="","",IF(OR(ISNUMBER(SEARCH("PAYROLL",UPPER(C280))),ISNUMBER(SEARCH("PAYCHECK",UPPER(C280))),ISNUMBER(SEARCH("DEPOSIT",UPPER(C280)))),"Income",IF(ISNUMBER(SEARCH("TRANSFER",UPPER(C280))),"Transfer","Expense")))</f>
        <v/>
      </c>
      <c r="E280" s="97" t="str">
        <f aca="false">IF(C280="","",IFERROR(INDEX(Mapping!$B$5:$B$200,SUMPRODUCT(MAX((ISNUMBER(SEARCH(Mapping!$A$5:$A$200,UPPER(C280&amp;""))))*ROW(Mapping!$A$5:$A$200)))-4),""))</f>
        <v/>
      </c>
      <c r="F280" s="98"/>
      <c r="G280" s="99" t="n">
        <f aca="false">IF(F280="",G279,G279+IF(D280="Income",F280,IF(D280="Expense",-F280,F280)))</f>
        <v>3408.09</v>
      </c>
      <c r="H280" s="100" t="str">
        <f aca="false">IF(C280="","",IFERROR(INDEX(Mapping!$A$5:$A$200,SUMPRODUCT(MAX((ISNUMBER(SEARCH(Mapping!$A$5:$A$200,UPPER(C280&amp;""))))*ROW(Mapping!$A$5:$A$200)))-4)&amp;" → "&amp;INDEX(Mapping!$B$5:$B$200,SUMPRODUCT(MAX((ISNUMBER(SEARCH(Mapping!$A$5:$A$200,UPPER(C280&amp;""))))*ROW(Mapping!$A$5:$A$200)))-4),"❓ no rule (add to Mapping)"))</f>
        <v/>
      </c>
      <c r="I280" s="79" t="str">
        <f aca="false">IF(B280="","",TEXT(B280,"mmm"))</f>
        <v/>
      </c>
      <c r="J280" s="80" t="str">
        <f aca="false">IF(B280="","",YEAR(B280))</f>
        <v/>
      </c>
    </row>
    <row r="281" customFormat="false" ht="18" hidden="false" customHeight="true" outlineLevel="0" collapsed="false">
      <c r="A281" s="81" t="n">
        <v>276</v>
      </c>
      <c r="B281" s="95"/>
      <c r="C281" s="96"/>
      <c r="D281" s="96" t="str">
        <f aca="false">IF(C281="","",IF(OR(ISNUMBER(SEARCH("PAYROLL",UPPER(C281))),ISNUMBER(SEARCH("PAYCHECK",UPPER(C281))),ISNUMBER(SEARCH("DEPOSIT",UPPER(C281)))),"Income",IF(ISNUMBER(SEARCH("TRANSFER",UPPER(C281))),"Transfer","Expense")))</f>
        <v/>
      </c>
      <c r="E281" s="97" t="str">
        <f aca="false">IF(C281="","",IFERROR(INDEX(Mapping!$B$5:$B$200,SUMPRODUCT(MAX((ISNUMBER(SEARCH(Mapping!$A$5:$A$200,UPPER(C281&amp;""))))*ROW(Mapping!$A$5:$A$200)))-4),""))</f>
        <v/>
      </c>
      <c r="F281" s="98"/>
      <c r="G281" s="99" t="n">
        <f aca="false">IF(F281="",G280,G280+IF(D281="Income",F281,IF(D281="Expense",-F281,F281)))</f>
        <v>3408.09</v>
      </c>
      <c r="H281" s="100" t="str">
        <f aca="false">IF(C281="","",IFERROR(INDEX(Mapping!$A$5:$A$200,SUMPRODUCT(MAX((ISNUMBER(SEARCH(Mapping!$A$5:$A$200,UPPER(C281&amp;""))))*ROW(Mapping!$A$5:$A$200)))-4)&amp;" → "&amp;INDEX(Mapping!$B$5:$B$200,SUMPRODUCT(MAX((ISNUMBER(SEARCH(Mapping!$A$5:$A$200,UPPER(C281&amp;""))))*ROW(Mapping!$A$5:$A$200)))-4),"❓ no rule (add to Mapping)"))</f>
        <v/>
      </c>
      <c r="I281" s="79" t="str">
        <f aca="false">IF(B281="","",TEXT(B281,"mmm"))</f>
        <v/>
      </c>
      <c r="J281" s="80" t="str">
        <f aca="false">IF(B281="","",YEAR(B281))</f>
        <v/>
      </c>
    </row>
    <row r="282" customFormat="false" ht="18" hidden="false" customHeight="true" outlineLevel="0" collapsed="false">
      <c r="A282" s="81" t="n">
        <v>277</v>
      </c>
      <c r="B282" s="95"/>
      <c r="C282" s="96"/>
      <c r="D282" s="96" t="str">
        <f aca="false">IF(C282="","",IF(OR(ISNUMBER(SEARCH("PAYROLL",UPPER(C282))),ISNUMBER(SEARCH("PAYCHECK",UPPER(C282))),ISNUMBER(SEARCH("DEPOSIT",UPPER(C282)))),"Income",IF(ISNUMBER(SEARCH("TRANSFER",UPPER(C282))),"Transfer","Expense")))</f>
        <v/>
      </c>
      <c r="E282" s="97" t="str">
        <f aca="false">IF(C282="","",IFERROR(INDEX(Mapping!$B$5:$B$200,SUMPRODUCT(MAX((ISNUMBER(SEARCH(Mapping!$A$5:$A$200,UPPER(C282&amp;""))))*ROW(Mapping!$A$5:$A$200)))-4),""))</f>
        <v/>
      </c>
      <c r="F282" s="98"/>
      <c r="G282" s="99" t="n">
        <f aca="false">IF(F282="",G281,G281+IF(D282="Income",F282,IF(D282="Expense",-F282,F282)))</f>
        <v>3408.09</v>
      </c>
      <c r="H282" s="100" t="str">
        <f aca="false">IF(C282="","",IFERROR(INDEX(Mapping!$A$5:$A$200,SUMPRODUCT(MAX((ISNUMBER(SEARCH(Mapping!$A$5:$A$200,UPPER(C282&amp;""))))*ROW(Mapping!$A$5:$A$200)))-4)&amp;" → "&amp;INDEX(Mapping!$B$5:$B$200,SUMPRODUCT(MAX((ISNUMBER(SEARCH(Mapping!$A$5:$A$200,UPPER(C282&amp;""))))*ROW(Mapping!$A$5:$A$200)))-4),"❓ no rule (add to Mapping)"))</f>
        <v/>
      </c>
      <c r="I282" s="79" t="str">
        <f aca="false">IF(B282="","",TEXT(B282,"mmm"))</f>
        <v/>
      </c>
      <c r="J282" s="80" t="str">
        <f aca="false">IF(B282="","",YEAR(B282))</f>
        <v/>
      </c>
    </row>
    <row r="283" customFormat="false" ht="18" hidden="false" customHeight="true" outlineLevel="0" collapsed="false">
      <c r="A283" s="81" t="n">
        <v>278</v>
      </c>
      <c r="B283" s="95"/>
      <c r="C283" s="96"/>
      <c r="D283" s="96" t="str">
        <f aca="false">IF(C283="","",IF(OR(ISNUMBER(SEARCH("PAYROLL",UPPER(C283))),ISNUMBER(SEARCH("PAYCHECK",UPPER(C283))),ISNUMBER(SEARCH("DEPOSIT",UPPER(C283)))),"Income",IF(ISNUMBER(SEARCH("TRANSFER",UPPER(C283))),"Transfer","Expense")))</f>
        <v/>
      </c>
      <c r="E283" s="97" t="str">
        <f aca="false">IF(C283="","",IFERROR(INDEX(Mapping!$B$5:$B$200,SUMPRODUCT(MAX((ISNUMBER(SEARCH(Mapping!$A$5:$A$200,UPPER(C283&amp;""))))*ROW(Mapping!$A$5:$A$200)))-4),""))</f>
        <v/>
      </c>
      <c r="F283" s="98"/>
      <c r="G283" s="99" t="n">
        <f aca="false">IF(F283="",G282,G282+IF(D283="Income",F283,IF(D283="Expense",-F283,F283)))</f>
        <v>3408.09</v>
      </c>
      <c r="H283" s="100" t="str">
        <f aca="false">IF(C283="","",IFERROR(INDEX(Mapping!$A$5:$A$200,SUMPRODUCT(MAX((ISNUMBER(SEARCH(Mapping!$A$5:$A$200,UPPER(C283&amp;""))))*ROW(Mapping!$A$5:$A$200)))-4)&amp;" → "&amp;INDEX(Mapping!$B$5:$B$200,SUMPRODUCT(MAX((ISNUMBER(SEARCH(Mapping!$A$5:$A$200,UPPER(C283&amp;""))))*ROW(Mapping!$A$5:$A$200)))-4),"❓ no rule (add to Mapping)"))</f>
        <v/>
      </c>
      <c r="I283" s="79" t="str">
        <f aca="false">IF(B283="","",TEXT(B283,"mmm"))</f>
        <v/>
      </c>
      <c r="J283" s="80" t="str">
        <f aca="false">IF(B283="","",YEAR(B283))</f>
        <v/>
      </c>
    </row>
    <row r="284" customFormat="false" ht="18" hidden="false" customHeight="true" outlineLevel="0" collapsed="false">
      <c r="A284" s="81" t="n">
        <v>279</v>
      </c>
      <c r="B284" s="95"/>
      <c r="C284" s="96"/>
      <c r="D284" s="96" t="str">
        <f aca="false">IF(C284="","",IF(OR(ISNUMBER(SEARCH("PAYROLL",UPPER(C284))),ISNUMBER(SEARCH("PAYCHECK",UPPER(C284))),ISNUMBER(SEARCH("DEPOSIT",UPPER(C284)))),"Income",IF(ISNUMBER(SEARCH("TRANSFER",UPPER(C284))),"Transfer","Expense")))</f>
        <v/>
      </c>
      <c r="E284" s="97" t="str">
        <f aca="false">IF(C284="","",IFERROR(INDEX(Mapping!$B$5:$B$200,SUMPRODUCT(MAX((ISNUMBER(SEARCH(Mapping!$A$5:$A$200,UPPER(C284&amp;""))))*ROW(Mapping!$A$5:$A$200)))-4),""))</f>
        <v/>
      </c>
      <c r="F284" s="98"/>
      <c r="G284" s="99" t="n">
        <f aca="false">IF(F284="",G283,G283+IF(D284="Income",F284,IF(D284="Expense",-F284,F284)))</f>
        <v>3408.09</v>
      </c>
      <c r="H284" s="100" t="str">
        <f aca="false">IF(C284="","",IFERROR(INDEX(Mapping!$A$5:$A$200,SUMPRODUCT(MAX((ISNUMBER(SEARCH(Mapping!$A$5:$A$200,UPPER(C284&amp;""))))*ROW(Mapping!$A$5:$A$200)))-4)&amp;" → "&amp;INDEX(Mapping!$B$5:$B$200,SUMPRODUCT(MAX((ISNUMBER(SEARCH(Mapping!$A$5:$A$200,UPPER(C284&amp;""))))*ROW(Mapping!$A$5:$A$200)))-4),"❓ no rule (add to Mapping)"))</f>
        <v/>
      </c>
      <c r="I284" s="79" t="str">
        <f aca="false">IF(B284="","",TEXT(B284,"mmm"))</f>
        <v/>
      </c>
      <c r="J284" s="80" t="str">
        <f aca="false">IF(B284="","",YEAR(B284))</f>
        <v/>
      </c>
    </row>
    <row r="285" customFormat="false" ht="18" hidden="false" customHeight="true" outlineLevel="0" collapsed="false">
      <c r="A285" s="81" t="n">
        <v>280</v>
      </c>
      <c r="B285" s="95"/>
      <c r="C285" s="96"/>
      <c r="D285" s="96" t="str">
        <f aca="false">IF(C285="","",IF(OR(ISNUMBER(SEARCH("PAYROLL",UPPER(C285))),ISNUMBER(SEARCH("PAYCHECK",UPPER(C285))),ISNUMBER(SEARCH("DEPOSIT",UPPER(C285)))),"Income",IF(ISNUMBER(SEARCH("TRANSFER",UPPER(C285))),"Transfer","Expense")))</f>
        <v/>
      </c>
      <c r="E285" s="97" t="str">
        <f aca="false">IF(C285="","",IFERROR(INDEX(Mapping!$B$5:$B$200,SUMPRODUCT(MAX((ISNUMBER(SEARCH(Mapping!$A$5:$A$200,UPPER(C285&amp;""))))*ROW(Mapping!$A$5:$A$200)))-4),""))</f>
        <v/>
      </c>
      <c r="F285" s="98"/>
      <c r="G285" s="99" t="n">
        <f aca="false">IF(F285="",G284,G284+IF(D285="Income",F285,IF(D285="Expense",-F285,F285)))</f>
        <v>3408.09</v>
      </c>
      <c r="H285" s="100" t="str">
        <f aca="false">IF(C285="","",IFERROR(INDEX(Mapping!$A$5:$A$200,SUMPRODUCT(MAX((ISNUMBER(SEARCH(Mapping!$A$5:$A$200,UPPER(C285&amp;""))))*ROW(Mapping!$A$5:$A$200)))-4)&amp;" → "&amp;INDEX(Mapping!$B$5:$B$200,SUMPRODUCT(MAX((ISNUMBER(SEARCH(Mapping!$A$5:$A$200,UPPER(C285&amp;""))))*ROW(Mapping!$A$5:$A$200)))-4),"❓ no rule (add to Mapping)"))</f>
        <v/>
      </c>
      <c r="I285" s="79" t="str">
        <f aca="false">IF(B285="","",TEXT(B285,"mmm"))</f>
        <v/>
      </c>
      <c r="J285" s="80" t="str">
        <f aca="false">IF(B285="","",YEAR(B285))</f>
        <v/>
      </c>
    </row>
    <row r="286" customFormat="false" ht="18" hidden="false" customHeight="true" outlineLevel="0" collapsed="false">
      <c r="A286" s="81" t="n">
        <v>281</v>
      </c>
      <c r="B286" s="95"/>
      <c r="C286" s="96"/>
      <c r="D286" s="96" t="str">
        <f aca="false">IF(C286="","",IF(OR(ISNUMBER(SEARCH("PAYROLL",UPPER(C286))),ISNUMBER(SEARCH("PAYCHECK",UPPER(C286))),ISNUMBER(SEARCH("DEPOSIT",UPPER(C286)))),"Income",IF(ISNUMBER(SEARCH("TRANSFER",UPPER(C286))),"Transfer","Expense")))</f>
        <v/>
      </c>
      <c r="E286" s="97" t="str">
        <f aca="false">IF(C286="","",IFERROR(INDEX(Mapping!$B$5:$B$200,SUMPRODUCT(MAX((ISNUMBER(SEARCH(Mapping!$A$5:$A$200,UPPER(C286&amp;""))))*ROW(Mapping!$A$5:$A$200)))-4),""))</f>
        <v/>
      </c>
      <c r="F286" s="98"/>
      <c r="G286" s="99" t="n">
        <f aca="false">IF(F286="",G285,G285+IF(D286="Income",F286,IF(D286="Expense",-F286,F286)))</f>
        <v>3408.09</v>
      </c>
      <c r="H286" s="100" t="str">
        <f aca="false">IF(C286="","",IFERROR(INDEX(Mapping!$A$5:$A$200,SUMPRODUCT(MAX((ISNUMBER(SEARCH(Mapping!$A$5:$A$200,UPPER(C286&amp;""))))*ROW(Mapping!$A$5:$A$200)))-4)&amp;" → "&amp;INDEX(Mapping!$B$5:$B$200,SUMPRODUCT(MAX((ISNUMBER(SEARCH(Mapping!$A$5:$A$200,UPPER(C286&amp;""))))*ROW(Mapping!$A$5:$A$200)))-4),"❓ no rule (add to Mapping)"))</f>
        <v/>
      </c>
      <c r="I286" s="79" t="str">
        <f aca="false">IF(B286="","",TEXT(B286,"mmm"))</f>
        <v/>
      </c>
      <c r="J286" s="80" t="str">
        <f aca="false">IF(B286="","",YEAR(B286))</f>
        <v/>
      </c>
    </row>
    <row r="287" customFormat="false" ht="18" hidden="false" customHeight="true" outlineLevel="0" collapsed="false">
      <c r="A287" s="81" t="n">
        <v>282</v>
      </c>
      <c r="B287" s="95"/>
      <c r="C287" s="96"/>
      <c r="D287" s="96" t="str">
        <f aca="false">IF(C287="","",IF(OR(ISNUMBER(SEARCH("PAYROLL",UPPER(C287))),ISNUMBER(SEARCH("PAYCHECK",UPPER(C287))),ISNUMBER(SEARCH("DEPOSIT",UPPER(C287)))),"Income",IF(ISNUMBER(SEARCH("TRANSFER",UPPER(C287))),"Transfer","Expense")))</f>
        <v/>
      </c>
      <c r="E287" s="97" t="str">
        <f aca="false">IF(C287="","",IFERROR(INDEX(Mapping!$B$5:$B$200,SUMPRODUCT(MAX((ISNUMBER(SEARCH(Mapping!$A$5:$A$200,UPPER(C287&amp;""))))*ROW(Mapping!$A$5:$A$200)))-4),""))</f>
        <v/>
      </c>
      <c r="F287" s="98"/>
      <c r="G287" s="99" t="n">
        <f aca="false">IF(F287="",G286,G286+IF(D287="Income",F287,IF(D287="Expense",-F287,F287)))</f>
        <v>3408.09</v>
      </c>
      <c r="H287" s="100" t="str">
        <f aca="false">IF(C287="","",IFERROR(INDEX(Mapping!$A$5:$A$200,SUMPRODUCT(MAX((ISNUMBER(SEARCH(Mapping!$A$5:$A$200,UPPER(C287&amp;""))))*ROW(Mapping!$A$5:$A$200)))-4)&amp;" → "&amp;INDEX(Mapping!$B$5:$B$200,SUMPRODUCT(MAX((ISNUMBER(SEARCH(Mapping!$A$5:$A$200,UPPER(C287&amp;""))))*ROW(Mapping!$A$5:$A$200)))-4),"❓ no rule (add to Mapping)"))</f>
        <v/>
      </c>
      <c r="I287" s="79" t="str">
        <f aca="false">IF(B287="","",TEXT(B287,"mmm"))</f>
        <v/>
      </c>
      <c r="J287" s="80" t="str">
        <f aca="false">IF(B287="","",YEAR(B287))</f>
        <v/>
      </c>
    </row>
    <row r="288" customFormat="false" ht="18" hidden="false" customHeight="true" outlineLevel="0" collapsed="false">
      <c r="A288" s="81" t="n">
        <v>283</v>
      </c>
      <c r="B288" s="95"/>
      <c r="C288" s="96"/>
      <c r="D288" s="96" t="str">
        <f aca="false">IF(C288="","",IF(OR(ISNUMBER(SEARCH("PAYROLL",UPPER(C288))),ISNUMBER(SEARCH("PAYCHECK",UPPER(C288))),ISNUMBER(SEARCH("DEPOSIT",UPPER(C288)))),"Income",IF(ISNUMBER(SEARCH("TRANSFER",UPPER(C288))),"Transfer","Expense")))</f>
        <v/>
      </c>
      <c r="E288" s="97" t="str">
        <f aca="false">IF(C288="","",IFERROR(INDEX(Mapping!$B$5:$B$200,SUMPRODUCT(MAX((ISNUMBER(SEARCH(Mapping!$A$5:$A$200,UPPER(C288&amp;""))))*ROW(Mapping!$A$5:$A$200)))-4),""))</f>
        <v/>
      </c>
      <c r="F288" s="98"/>
      <c r="G288" s="99" t="n">
        <f aca="false">IF(F288="",G287,G287+IF(D288="Income",F288,IF(D288="Expense",-F288,F288)))</f>
        <v>3408.09</v>
      </c>
      <c r="H288" s="100" t="str">
        <f aca="false">IF(C288="","",IFERROR(INDEX(Mapping!$A$5:$A$200,SUMPRODUCT(MAX((ISNUMBER(SEARCH(Mapping!$A$5:$A$200,UPPER(C288&amp;""))))*ROW(Mapping!$A$5:$A$200)))-4)&amp;" → "&amp;INDEX(Mapping!$B$5:$B$200,SUMPRODUCT(MAX((ISNUMBER(SEARCH(Mapping!$A$5:$A$200,UPPER(C288&amp;""))))*ROW(Mapping!$A$5:$A$200)))-4),"❓ no rule (add to Mapping)"))</f>
        <v/>
      </c>
      <c r="I288" s="79" t="str">
        <f aca="false">IF(B288="","",TEXT(B288,"mmm"))</f>
        <v/>
      </c>
      <c r="J288" s="80" t="str">
        <f aca="false">IF(B288="","",YEAR(B288))</f>
        <v/>
      </c>
    </row>
    <row r="289" customFormat="false" ht="18" hidden="false" customHeight="true" outlineLevel="0" collapsed="false">
      <c r="A289" s="81" t="n">
        <v>284</v>
      </c>
      <c r="B289" s="95"/>
      <c r="C289" s="96"/>
      <c r="D289" s="96" t="str">
        <f aca="false">IF(C289="","",IF(OR(ISNUMBER(SEARCH("PAYROLL",UPPER(C289))),ISNUMBER(SEARCH("PAYCHECK",UPPER(C289))),ISNUMBER(SEARCH("DEPOSIT",UPPER(C289)))),"Income",IF(ISNUMBER(SEARCH("TRANSFER",UPPER(C289))),"Transfer","Expense")))</f>
        <v/>
      </c>
      <c r="E289" s="97" t="str">
        <f aca="false">IF(C289="","",IFERROR(INDEX(Mapping!$B$5:$B$200,SUMPRODUCT(MAX((ISNUMBER(SEARCH(Mapping!$A$5:$A$200,UPPER(C289&amp;""))))*ROW(Mapping!$A$5:$A$200)))-4),""))</f>
        <v/>
      </c>
      <c r="F289" s="98"/>
      <c r="G289" s="99" t="n">
        <f aca="false">IF(F289="",G288,G288+IF(D289="Income",F289,IF(D289="Expense",-F289,F289)))</f>
        <v>3408.09</v>
      </c>
      <c r="H289" s="100" t="str">
        <f aca="false">IF(C289="","",IFERROR(INDEX(Mapping!$A$5:$A$200,SUMPRODUCT(MAX((ISNUMBER(SEARCH(Mapping!$A$5:$A$200,UPPER(C289&amp;""))))*ROW(Mapping!$A$5:$A$200)))-4)&amp;" → "&amp;INDEX(Mapping!$B$5:$B$200,SUMPRODUCT(MAX((ISNUMBER(SEARCH(Mapping!$A$5:$A$200,UPPER(C289&amp;""))))*ROW(Mapping!$A$5:$A$200)))-4),"❓ no rule (add to Mapping)"))</f>
        <v/>
      </c>
      <c r="I289" s="79" t="str">
        <f aca="false">IF(B289="","",TEXT(B289,"mmm"))</f>
        <v/>
      </c>
      <c r="J289" s="80" t="str">
        <f aca="false">IF(B289="","",YEAR(B289))</f>
        <v/>
      </c>
    </row>
    <row r="290" customFormat="false" ht="18" hidden="false" customHeight="true" outlineLevel="0" collapsed="false">
      <c r="A290" s="81" t="n">
        <v>285</v>
      </c>
      <c r="B290" s="95"/>
      <c r="C290" s="96"/>
      <c r="D290" s="96" t="str">
        <f aca="false">IF(C290="","",IF(OR(ISNUMBER(SEARCH("PAYROLL",UPPER(C290))),ISNUMBER(SEARCH("PAYCHECK",UPPER(C290))),ISNUMBER(SEARCH("DEPOSIT",UPPER(C290)))),"Income",IF(ISNUMBER(SEARCH("TRANSFER",UPPER(C290))),"Transfer","Expense")))</f>
        <v/>
      </c>
      <c r="E290" s="97" t="str">
        <f aca="false">IF(C290="","",IFERROR(INDEX(Mapping!$B$5:$B$200,SUMPRODUCT(MAX((ISNUMBER(SEARCH(Mapping!$A$5:$A$200,UPPER(C290&amp;""))))*ROW(Mapping!$A$5:$A$200)))-4),""))</f>
        <v/>
      </c>
      <c r="F290" s="98"/>
      <c r="G290" s="99" t="n">
        <f aca="false">IF(F290="",G289,G289+IF(D290="Income",F290,IF(D290="Expense",-F290,F290)))</f>
        <v>3408.09</v>
      </c>
      <c r="H290" s="100" t="str">
        <f aca="false">IF(C290="","",IFERROR(INDEX(Mapping!$A$5:$A$200,SUMPRODUCT(MAX((ISNUMBER(SEARCH(Mapping!$A$5:$A$200,UPPER(C290&amp;""))))*ROW(Mapping!$A$5:$A$200)))-4)&amp;" → "&amp;INDEX(Mapping!$B$5:$B$200,SUMPRODUCT(MAX((ISNUMBER(SEARCH(Mapping!$A$5:$A$200,UPPER(C290&amp;""))))*ROW(Mapping!$A$5:$A$200)))-4),"❓ no rule (add to Mapping)"))</f>
        <v/>
      </c>
      <c r="I290" s="79" t="str">
        <f aca="false">IF(B290="","",TEXT(B290,"mmm"))</f>
        <v/>
      </c>
      <c r="J290" s="80" t="str">
        <f aca="false">IF(B290="","",YEAR(B290))</f>
        <v/>
      </c>
    </row>
    <row r="291" customFormat="false" ht="18" hidden="false" customHeight="true" outlineLevel="0" collapsed="false">
      <c r="A291" s="81" t="n">
        <v>286</v>
      </c>
      <c r="B291" s="95"/>
      <c r="C291" s="96"/>
      <c r="D291" s="96" t="str">
        <f aca="false">IF(C291="","",IF(OR(ISNUMBER(SEARCH("PAYROLL",UPPER(C291))),ISNUMBER(SEARCH("PAYCHECK",UPPER(C291))),ISNUMBER(SEARCH("DEPOSIT",UPPER(C291)))),"Income",IF(ISNUMBER(SEARCH("TRANSFER",UPPER(C291))),"Transfer","Expense")))</f>
        <v/>
      </c>
      <c r="E291" s="97" t="str">
        <f aca="false">IF(C291="","",IFERROR(INDEX(Mapping!$B$5:$B$200,SUMPRODUCT(MAX((ISNUMBER(SEARCH(Mapping!$A$5:$A$200,UPPER(C291&amp;""))))*ROW(Mapping!$A$5:$A$200)))-4),""))</f>
        <v/>
      </c>
      <c r="F291" s="98"/>
      <c r="G291" s="99" t="n">
        <f aca="false">IF(F291="",G290,G290+IF(D291="Income",F291,IF(D291="Expense",-F291,F291)))</f>
        <v>3408.09</v>
      </c>
      <c r="H291" s="100" t="str">
        <f aca="false">IF(C291="","",IFERROR(INDEX(Mapping!$A$5:$A$200,SUMPRODUCT(MAX((ISNUMBER(SEARCH(Mapping!$A$5:$A$200,UPPER(C291&amp;""))))*ROW(Mapping!$A$5:$A$200)))-4)&amp;" → "&amp;INDEX(Mapping!$B$5:$B$200,SUMPRODUCT(MAX((ISNUMBER(SEARCH(Mapping!$A$5:$A$200,UPPER(C291&amp;""))))*ROW(Mapping!$A$5:$A$200)))-4),"❓ no rule (add to Mapping)"))</f>
        <v/>
      </c>
      <c r="I291" s="79" t="str">
        <f aca="false">IF(B291="","",TEXT(B291,"mmm"))</f>
        <v/>
      </c>
      <c r="J291" s="80" t="str">
        <f aca="false">IF(B291="","",YEAR(B291))</f>
        <v/>
      </c>
    </row>
    <row r="292" customFormat="false" ht="18" hidden="false" customHeight="true" outlineLevel="0" collapsed="false">
      <c r="A292" s="81" t="n">
        <v>287</v>
      </c>
      <c r="B292" s="95"/>
      <c r="C292" s="96"/>
      <c r="D292" s="96" t="str">
        <f aca="false">IF(C292="","",IF(OR(ISNUMBER(SEARCH("PAYROLL",UPPER(C292))),ISNUMBER(SEARCH("PAYCHECK",UPPER(C292))),ISNUMBER(SEARCH("DEPOSIT",UPPER(C292)))),"Income",IF(ISNUMBER(SEARCH("TRANSFER",UPPER(C292))),"Transfer","Expense")))</f>
        <v/>
      </c>
      <c r="E292" s="97" t="str">
        <f aca="false">IF(C292="","",IFERROR(INDEX(Mapping!$B$5:$B$200,SUMPRODUCT(MAX((ISNUMBER(SEARCH(Mapping!$A$5:$A$200,UPPER(C292&amp;""))))*ROW(Mapping!$A$5:$A$200)))-4),""))</f>
        <v/>
      </c>
      <c r="F292" s="98"/>
      <c r="G292" s="99" t="n">
        <f aca="false">IF(F292="",G291,G291+IF(D292="Income",F292,IF(D292="Expense",-F292,F292)))</f>
        <v>3408.09</v>
      </c>
      <c r="H292" s="100" t="str">
        <f aca="false">IF(C292="","",IFERROR(INDEX(Mapping!$A$5:$A$200,SUMPRODUCT(MAX((ISNUMBER(SEARCH(Mapping!$A$5:$A$200,UPPER(C292&amp;""))))*ROW(Mapping!$A$5:$A$200)))-4)&amp;" → "&amp;INDEX(Mapping!$B$5:$B$200,SUMPRODUCT(MAX((ISNUMBER(SEARCH(Mapping!$A$5:$A$200,UPPER(C292&amp;""))))*ROW(Mapping!$A$5:$A$200)))-4),"❓ no rule (add to Mapping)"))</f>
        <v/>
      </c>
      <c r="I292" s="79" t="str">
        <f aca="false">IF(B292="","",TEXT(B292,"mmm"))</f>
        <v/>
      </c>
      <c r="J292" s="80" t="str">
        <f aca="false">IF(B292="","",YEAR(B292))</f>
        <v/>
      </c>
    </row>
    <row r="293" customFormat="false" ht="18" hidden="false" customHeight="true" outlineLevel="0" collapsed="false">
      <c r="A293" s="81" t="n">
        <v>288</v>
      </c>
      <c r="B293" s="95"/>
      <c r="C293" s="96"/>
      <c r="D293" s="96" t="str">
        <f aca="false">IF(C293="","",IF(OR(ISNUMBER(SEARCH("PAYROLL",UPPER(C293))),ISNUMBER(SEARCH("PAYCHECK",UPPER(C293))),ISNUMBER(SEARCH("DEPOSIT",UPPER(C293)))),"Income",IF(ISNUMBER(SEARCH("TRANSFER",UPPER(C293))),"Transfer","Expense")))</f>
        <v/>
      </c>
      <c r="E293" s="97" t="str">
        <f aca="false">IF(C293="","",IFERROR(INDEX(Mapping!$B$5:$B$200,SUMPRODUCT(MAX((ISNUMBER(SEARCH(Mapping!$A$5:$A$200,UPPER(C293&amp;""))))*ROW(Mapping!$A$5:$A$200)))-4),""))</f>
        <v/>
      </c>
      <c r="F293" s="98"/>
      <c r="G293" s="99" t="n">
        <f aca="false">IF(F293="",G292,G292+IF(D293="Income",F293,IF(D293="Expense",-F293,F293)))</f>
        <v>3408.09</v>
      </c>
      <c r="H293" s="100" t="str">
        <f aca="false">IF(C293="","",IFERROR(INDEX(Mapping!$A$5:$A$200,SUMPRODUCT(MAX((ISNUMBER(SEARCH(Mapping!$A$5:$A$200,UPPER(C293&amp;""))))*ROW(Mapping!$A$5:$A$200)))-4)&amp;" → "&amp;INDEX(Mapping!$B$5:$B$200,SUMPRODUCT(MAX((ISNUMBER(SEARCH(Mapping!$A$5:$A$200,UPPER(C293&amp;""))))*ROW(Mapping!$A$5:$A$200)))-4),"❓ no rule (add to Mapping)"))</f>
        <v/>
      </c>
      <c r="I293" s="79" t="str">
        <f aca="false">IF(B293="","",TEXT(B293,"mmm"))</f>
        <v/>
      </c>
      <c r="J293" s="80" t="str">
        <f aca="false">IF(B293="","",YEAR(B293))</f>
        <v/>
      </c>
    </row>
    <row r="294" customFormat="false" ht="18" hidden="false" customHeight="true" outlineLevel="0" collapsed="false">
      <c r="A294" s="81" t="n">
        <v>289</v>
      </c>
      <c r="B294" s="95"/>
      <c r="C294" s="96"/>
      <c r="D294" s="96" t="str">
        <f aca="false">IF(C294="","",IF(OR(ISNUMBER(SEARCH("PAYROLL",UPPER(C294))),ISNUMBER(SEARCH("PAYCHECK",UPPER(C294))),ISNUMBER(SEARCH("DEPOSIT",UPPER(C294)))),"Income",IF(ISNUMBER(SEARCH("TRANSFER",UPPER(C294))),"Transfer","Expense")))</f>
        <v/>
      </c>
      <c r="E294" s="97" t="str">
        <f aca="false">IF(C294="","",IFERROR(INDEX(Mapping!$B$5:$B$200,SUMPRODUCT(MAX((ISNUMBER(SEARCH(Mapping!$A$5:$A$200,UPPER(C294&amp;""))))*ROW(Mapping!$A$5:$A$200)))-4),""))</f>
        <v/>
      </c>
      <c r="F294" s="98"/>
      <c r="G294" s="99" t="n">
        <f aca="false">IF(F294="",G293,G293+IF(D294="Income",F294,IF(D294="Expense",-F294,F294)))</f>
        <v>3408.09</v>
      </c>
      <c r="H294" s="100" t="str">
        <f aca="false">IF(C294="","",IFERROR(INDEX(Mapping!$A$5:$A$200,SUMPRODUCT(MAX((ISNUMBER(SEARCH(Mapping!$A$5:$A$200,UPPER(C294&amp;""))))*ROW(Mapping!$A$5:$A$200)))-4)&amp;" → "&amp;INDEX(Mapping!$B$5:$B$200,SUMPRODUCT(MAX((ISNUMBER(SEARCH(Mapping!$A$5:$A$200,UPPER(C294&amp;""))))*ROW(Mapping!$A$5:$A$200)))-4),"❓ no rule (add to Mapping)"))</f>
        <v/>
      </c>
      <c r="I294" s="79" t="str">
        <f aca="false">IF(B294="","",TEXT(B294,"mmm"))</f>
        <v/>
      </c>
      <c r="J294" s="80" t="str">
        <f aca="false">IF(B294="","",YEAR(B294))</f>
        <v/>
      </c>
    </row>
    <row r="295" customFormat="false" ht="18" hidden="false" customHeight="true" outlineLevel="0" collapsed="false">
      <c r="A295" s="81" t="n">
        <v>290</v>
      </c>
      <c r="B295" s="95"/>
      <c r="C295" s="96"/>
      <c r="D295" s="96" t="str">
        <f aca="false">IF(C295="","",IF(OR(ISNUMBER(SEARCH("PAYROLL",UPPER(C295))),ISNUMBER(SEARCH("PAYCHECK",UPPER(C295))),ISNUMBER(SEARCH("DEPOSIT",UPPER(C295)))),"Income",IF(ISNUMBER(SEARCH("TRANSFER",UPPER(C295))),"Transfer","Expense")))</f>
        <v/>
      </c>
      <c r="E295" s="97" t="str">
        <f aca="false">IF(C295="","",IFERROR(INDEX(Mapping!$B$5:$B$200,SUMPRODUCT(MAX((ISNUMBER(SEARCH(Mapping!$A$5:$A$200,UPPER(C295&amp;""))))*ROW(Mapping!$A$5:$A$200)))-4),""))</f>
        <v/>
      </c>
      <c r="F295" s="98"/>
      <c r="G295" s="99" t="n">
        <f aca="false">IF(F295="",G294,G294+IF(D295="Income",F295,IF(D295="Expense",-F295,F295)))</f>
        <v>3408.09</v>
      </c>
      <c r="H295" s="100" t="str">
        <f aca="false">IF(C295="","",IFERROR(INDEX(Mapping!$A$5:$A$200,SUMPRODUCT(MAX((ISNUMBER(SEARCH(Mapping!$A$5:$A$200,UPPER(C295&amp;""))))*ROW(Mapping!$A$5:$A$200)))-4)&amp;" → "&amp;INDEX(Mapping!$B$5:$B$200,SUMPRODUCT(MAX((ISNUMBER(SEARCH(Mapping!$A$5:$A$200,UPPER(C295&amp;""))))*ROW(Mapping!$A$5:$A$200)))-4),"❓ no rule (add to Mapping)"))</f>
        <v/>
      </c>
      <c r="I295" s="79" t="str">
        <f aca="false">IF(B295="","",TEXT(B295,"mmm"))</f>
        <v/>
      </c>
      <c r="J295" s="80" t="str">
        <f aca="false">IF(B295="","",YEAR(B295))</f>
        <v/>
      </c>
    </row>
    <row r="296" customFormat="false" ht="18" hidden="false" customHeight="true" outlineLevel="0" collapsed="false">
      <c r="A296" s="81" t="n">
        <v>291</v>
      </c>
      <c r="B296" s="95"/>
      <c r="C296" s="96"/>
      <c r="D296" s="96" t="str">
        <f aca="false">IF(C296="","",IF(OR(ISNUMBER(SEARCH("PAYROLL",UPPER(C296))),ISNUMBER(SEARCH("PAYCHECK",UPPER(C296))),ISNUMBER(SEARCH("DEPOSIT",UPPER(C296)))),"Income",IF(ISNUMBER(SEARCH("TRANSFER",UPPER(C296))),"Transfer","Expense")))</f>
        <v/>
      </c>
      <c r="E296" s="97" t="str">
        <f aca="false">IF(C296="","",IFERROR(INDEX(Mapping!$B$5:$B$200,SUMPRODUCT(MAX((ISNUMBER(SEARCH(Mapping!$A$5:$A$200,UPPER(C296&amp;""))))*ROW(Mapping!$A$5:$A$200)))-4),""))</f>
        <v/>
      </c>
      <c r="F296" s="98"/>
      <c r="G296" s="99" t="n">
        <f aca="false">IF(F296="",G295,G295+IF(D296="Income",F296,IF(D296="Expense",-F296,F296)))</f>
        <v>3408.09</v>
      </c>
      <c r="H296" s="100" t="str">
        <f aca="false">IF(C296="","",IFERROR(INDEX(Mapping!$A$5:$A$200,SUMPRODUCT(MAX((ISNUMBER(SEARCH(Mapping!$A$5:$A$200,UPPER(C296&amp;""))))*ROW(Mapping!$A$5:$A$200)))-4)&amp;" → "&amp;INDEX(Mapping!$B$5:$B$200,SUMPRODUCT(MAX((ISNUMBER(SEARCH(Mapping!$A$5:$A$200,UPPER(C296&amp;""))))*ROW(Mapping!$A$5:$A$200)))-4),"❓ no rule (add to Mapping)"))</f>
        <v/>
      </c>
      <c r="I296" s="79" t="str">
        <f aca="false">IF(B296="","",TEXT(B296,"mmm"))</f>
        <v/>
      </c>
      <c r="J296" s="80" t="str">
        <f aca="false">IF(B296="","",YEAR(B296))</f>
        <v/>
      </c>
    </row>
    <row r="297" customFormat="false" ht="18" hidden="false" customHeight="true" outlineLevel="0" collapsed="false">
      <c r="A297" s="81" t="n">
        <v>292</v>
      </c>
      <c r="B297" s="95"/>
      <c r="C297" s="96"/>
      <c r="D297" s="96" t="str">
        <f aca="false">IF(C297="","",IF(OR(ISNUMBER(SEARCH("PAYROLL",UPPER(C297))),ISNUMBER(SEARCH("PAYCHECK",UPPER(C297))),ISNUMBER(SEARCH("DEPOSIT",UPPER(C297)))),"Income",IF(ISNUMBER(SEARCH("TRANSFER",UPPER(C297))),"Transfer","Expense")))</f>
        <v/>
      </c>
      <c r="E297" s="97" t="str">
        <f aca="false">IF(C297="","",IFERROR(INDEX(Mapping!$B$5:$B$200,SUMPRODUCT(MAX((ISNUMBER(SEARCH(Mapping!$A$5:$A$200,UPPER(C297&amp;""))))*ROW(Mapping!$A$5:$A$200)))-4),""))</f>
        <v/>
      </c>
      <c r="F297" s="98"/>
      <c r="G297" s="99" t="n">
        <f aca="false">IF(F297="",G296,G296+IF(D297="Income",F297,IF(D297="Expense",-F297,F297)))</f>
        <v>3408.09</v>
      </c>
      <c r="H297" s="100" t="str">
        <f aca="false">IF(C297="","",IFERROR(INDEX(Mapping!$A$5:$A$200,SUMPRODUCT(MAX((ISNUMBER(SEARCH(Mapping!$A$5:$A$200,UPPER(C297&amp;""))))*ROW(Mapping!$A$5:$A$200)))-4)&amp;" → "&amp;INDEX(Mapping!$B$5:$B$200,SUMPRODUCT(MAX((ISNUMBER(SEARCH(Mapping!$A$5:$A$200,UPPER(C297&amp;""))))*ROW(Mapping!$A$5:$A$200)))-4),"❓ no rule (add to Mapping)"))</f>
        <v/>
      </c>
      <c r="I297" s="79" t="str">
        <f aca="false">IF(B297="","",TEXT(B297,"mmm"))</f>
        <v/>
      </c>
      <c r="J297" s="80" t="str">
        <f aca="false">IF(B297="","",YEAR(B297))</f>
        <v/>
      </c>
    </row>
    <row r="298" customFormat="false" ht="18" hidden="false" customHeight="true" outlineLevel="0" collapsed="false">
      <c r="A298" s="81" t="n">
        <v>293</v>
      </c>
      <c r="B298" s="95"/>
      <c r="C298" s="96"/>
      <c r="D298" s="96" t="str">
        <f aca="false">IF(C298="","",IF(OR(ISNUMBER(SEARCH("PAYROLL",UPPER(C298))),ISNUMBER(SEARCH("PAYCHECK",UPPER(C298))),ISNUMBER(SEARCH("DEPOSIT",UPPER(C298)))),"Income",IF(ISNUMBER(SEARCH("TRANSFER",UPPER(C298))),"Transfer","Expense")))</f>
        <v/>
      </c>
      <c r="E298" s="97" t="str">
        <f aca="false">IF(C298="","",IFERROR(INDEX(Mapping!$B$5:$B$200,SUMPRODUCT(MAX((ISNUMBER(SEARCH(Mapping!$A$5:$A$200,UPPER(C298&amp;""))))*ROW(Mapping!$A$5:$A$200)))-4),""))</f>
        <v/>
      </c>
      <c r="F298" s="98"/>
      <c r="G298" s="99" t="n">
        <f aca="false">IF(F298="",G297,G297+IF(D298="Income",F298,IF(D298="Expense",-F298,F298)))</f>
        <v>3408.09</v>
      </c>
      <c r="H298" s="100" t="str">
        <f aca="false">IF(C298="","",IFERROR(INDEX(Mapping!$A$5:$A$200,SUMPRODUCT(MAX((ISNUMBER(SEARCH(Mapping!$A$5:$A$200,UPPER(C298&amp;""))))*ROW(Mapping!$A$5:$A$200)))-4)&amp;" → "&amp;INDEX(Mapping!$B$5:$B$200,SUMPRODUCT(MAX((ISNUMBER(SEARCH(Mapping!$A$5:$A$200,UPPER(C298&amp;""))))*ROW(Mapping!$A$5:$A$200)))-4),"❓ no rule (add to Mapping)"))</f>
        <v/>
      </c>
      <c r="I298" s="79" t="str">
        <f aca="false">IF(B298="","",TEXT(B298,"mmm"))</f>
        <v/>
      </c>
      <c r="J298" s="80" t="str">
        <f aca="false">IF(B298="","",YEAR(B298))</f>
        <v/>
      </c>
    </row>
    <row r="299" customFormat="false" ht="18" hidden="false" customHeight="true" outlineLevel="0" collapsed="false">
      <c r="A299" s="81" t="n">
        <v>294</v>
      </c>
      <c r="B299" s="95"/>
      <c r="C299" s="96"/>
      <c r="D299" s="96" t="str">
        <f aca="false">IF(C299="","",IF(OR(ISNUMBER(SEARCH("PAYROLL",UPPER(C299))),ISNUMBER(SEARCH("PAYCHECK",UPPER(C299))),ISNUMBER(SEARCH("DEPOSIT",UPPER(C299)))),"Income",IF(ISNUMBER(SEARCH("TRANSFER",UPPER(C299))),"Transfer","Expense")))</f>
        <v/>
      </c>
      <c r="E299" s="97" t="str">
        <f aca="false">IF(C299="","",IFERROR(INDEX(Mapping!$B$5:$B$200,SUMPRODUCT(MAX((ISNUMBER(SEARCH(Mapping!$A$5:$A$200,UPPER(C299&amp;""))))*ROW(Mapping!$A$5:$A$200)))-4),""))</f>
        <v/>
      </c>
      <c r="F299" s="98"/>
      <c r="G299" s="99" t="n">
        <f aca="false">IF(F299="",G298,G298+IF(D299="Income",F299,IF(D299="Expense",-F299,F299)))</f>
        <v>3408.09</v>
      </c>
      <c r="H299" s="100" t="str">
        <f aca="false">IF(C299="","",IFERROR(INDEX(Mapping!$A$5:$A$200,SUMPRODUCT(MAX((ISNUMBER(SEARCH(Mapping!$A$5:$A$200,UPPER(C299&amp;""))))*ROW(Mapping!$A$5:$A$200)))-4)&amp;" → "&amp;INDEX(Mapping!$B$5:$B$200,SUMPRODUCT(MAX((ISNUMBER(SEARCH(Mapping!$A$5:$A$200,UPPER(C299&amp;""))))*ROW(Mapping!$A$5:$A$200)))-4),"❓ no rule (add to Mapping)"))</f>
        <v/>
      </c>
      <c r="I299" s="79" t="str">
        <f aca="false">IF(B299="","",TEXT(B299,"mmm"))</f>
        <v/>
      </c>
      <c r="J299" s="80" t="str">
        <f aca="false">IF(B299="","",YEAR(B299))</f>
        <v/>
      </c>
    </row>
    <row r="300" customFormat="false" ht="18" hidden="false" customHeight="true" outlineLevel="0" collapsed="false">
      <c r="A300" s="81" t="n">
        <v>295</v>
      </c>
      <c r="B300" s="95"/>
      <c r="C300" s="96"/>
      <c r="D300" s="96" t="str">
        <f aca="false">IF(C300="","",IF(OR(ISNUMBER(SEARCH("PAYROLL",UPPER(C300))),ISNUMBER(SEARCH("PAYCHECK",UPPER(C300))),ISNUMBER(SEARCH("DEPOSIT",UPPER(C300)))),"Income",IF(ISNUMBER(SEARCH("TRANSFER",UPPER(C300))),"Transfer","Expense")))</f>
        <v/>
      </c>
      <c r="E300" s="97" t="str">
        <f aca="false">IF(C300="","",IFERROR(INDEX(Mapping!$B$5:$B$200,SUMPRODUCT(MAX((ISNUMBER(SEARCH(Mapping!$A$5:$A$200,UPPER(C300&amp;""))))*ROW(Mapping!$A$5:$A$200)))-4),""))</f>
        <v/>
      </c>
      <c r="F300" s="98"/>
      <c r="G300" s="99" t="n">
        <f aca="false">IF(F300="",G299,G299+IF(D300="Income",F300,IF(D300="Expense",-F300,F300)))</f>
        <v>3408.09</v>
      </c>
      <c r="H300" s="100" t="str">
        <f aca="false">IF(C300="","",IFERROR(INDEX(Mapping!$A$5:$A$200,SUMPRODUCT(MAX((ISNUMBER(SEARCH(Mapping!$A$5:$A$200,UPPER(C300&amp;""))))*ROW(Mapping!$A$5:$A$200)))-4)&amp;" → "&amp;INDEX(Mapping!$B$5:$B$200,SUMPRODUCT(MAX((ISNUMBER(SEARCH(Mapping!$A$5:$A$200,UPPER(C300&amp;""))))*ROW(Mapping!$A$5:$A$200)))-4),"❓ no rule (add to Mapping)"))</f>
        <v/>
      </c>
      <c r="I300" s="79" t="str">
        <f aca="false">IF(B300="","",TEXT(B300,"mmm"))</f>
        <v/>
      </c>
      <c r="J300" s="80" t="str">
        <f aca="false">IF(B300="","",YEAR(B300))</f>
        <v/>
      </c>
    </row>
    <row r="301" customFormat="false" ht="18" hidden="false" customHeight="true" outlineLevel="0" collapsed="false">
      <c r="A301" s="81" t="n">
        <v>296</v>
      </c>
      <c r="B301" s="95"/>
      <c r="C301" s="96"/>
      <c r="D301" s="96" t="str">
        <f aca="false">IF(C301="","",IF(OR(ISNUMBER(SEARCH("PAYROLL",UPPER(C301))),ISNUMBER(SEARCH("PAYCHECK",UPPER(C301))),ISNUMBER(SEARCH("DEPOSIT",UPPER(C301)))),"Income",IF(ISNUMBER(SEARCH("TRANSFER",UPPER(C301))),"Transfer","Expense")))</f>
        <v/>
      </c>
      <c r="E301" s="97" t="str">
        <f aca="false">IF(C301="","",IFERROR(INDEX(Mapping!$B$5:$B$200,SUMPRODUCT(MAX((ISNUMBER(SEARCH(Mapping!$A$5:$A$200,UPPER(C301&amp;""))))*ROW(Mapping!$A$5:$A$200)))-4),""))</f>
        <v/>
      </c>
      <c r="F301" s="98"/>
      <c r="G301" s="99" t="n">
        <f aca="false">IF(F301="",G300,G300+IF(D301="Income",F301,IF(D301="Expense",-F301,F301)))</f>
        <v>3408.09</v>
      </c>
      <c r="H301" s="100" t="str">
        <f aca="false">IF(C301="","",IFERROR(INDEX(Mapping!$A$5:$A$200,SUMPRODUCT(MAX((ISNUMBER(SEARCH(Mapping!$A$5:$A$200,UPPER(C301&amp;""))))*ROW(Mapping!$A$5:$A$200)))-4)&amp;" → "&amp;INDEX(Mapping!$B$5:$B$200,SUMPRODUCT(MAX((ISNUMBER(SEARCH(Mapping!$A$5:$A$200,UPPER(C301&amp;""))))*ROW(Mapping!$A$5:$A$200)))-4),"❓ no rule (add to Mapping)"))</f>
        <v/>
      </c>
      <c r="I301" s="79" t="str">
        <f aca="false">IF(B301="","",TEXT(B301,"mmm"))</f>
        <v/>
      </c>
      <c r="J301" s="80" t="str">
        <f aca="false">IF(B301="","",YEAR(B301))</f>
        <v/>
      </c>
    </row>
    <row r="302" customFormat="false" ht="18" hidden="false" customHeight="true" outlineLevel="0" collapsed="false">
      <c r="A302" s="81" t="n">
        <v>297</v>
      </c>
      <c r="B302" s="95"/>
      <c r="C302" s="96"/>
      <c r="D302" s="96" t="str">
        <f aca="false">IF(C302="","",IF(OR(ISNUMBER(SEARCH("PAYROLL",UPPER(C302))),ISNUMBER(SEARCH("PAYCHECK",UPPER(C302))),ISNUMBER(SEARCH("DEPOSIT",UPPER(C302)))),"Income",IF(ISNUMBER(SEARCH("TRANSFER",UPPER(C302))),"Transfer","Expense")))</f>
        <v/>
      </c>
      <c r="E302" s="97" t="str">
        <f aca="false">IF(C302="","",IFERROR(INDEX(Mapping!$B$5:$B$200,SUMPRODUCT(MAX((ISNUMBER(SEARCH(Mapping!$A$5:$A$200,UPPER(C302&amp;""))))*ROW(Mapping!$A$5:$A$200)))-4),""))</f>
        <v/>
      </c>
      <c r="F302" s="98"/>
      <c r="G302" s="99" t="n">
        <f aca="false">IF(F302="",G301,G301+IF(D302="Income",F302,IF(D302="Expense",-F302,F302)))</f>
        <v>3408.09</v>
      </c>
      <c r="H302" s="100" t="str">
        <f aca="false">IF(C302="","",IFERROR(INDEX(Mapping!$A$5:$A$200,SUMPRODUCT(MAX((ISNUMBER(SEARCH(Mapping!$A$5:$A$200,UPPER(C302&amp;""))))*ROW(Mapping!$A$5:$A$200)))-4)&amp;" → "&amp;INDEX(Mapping!$B$5:$B$200,SUMPRODUCT(MAX((ISNUMBER(SEARCH(Mapping!$A$5:$A$200,UPPER(C302&amp;""))))*ROW(Mapping!$A$5:$A$200)))-4),"❓ no rule (add to Mapping)"))</f>
        <v/>
      </c>
      <c r="I302" s="79" t="str">
        <f aca="false">IF(B302="","",TEXT(B302,"mmm"))</f>
        <v/>
      </c>
      <c r="J302" s="80" t="str">
        <f aca="false">IF(B302="","",YEAR(B302))</f>
        <v/>
      </c>
    </row>
    <row r="303" customFormat="false" ht="18" hidden="false" customHeight="true" outlineLevel="0" collapsed="false">
      <c r="A303" s="81" t="n">
        <v>298</v>
      </c>
      <c r="B303" s="95"/>
      <c r="C303" s="96"/>
      <c r="D303" s="96" t="str">
        <f aca="false">IF(C303="","",IF(OR(ISNUMBER(SEARCH("PAYROLL",UPPER(C303))),ISNUMBER(SEARCH("PAYCHECK",UPPER(C303))),ISNUMBER(SEARCH("DEPOSIT",UPPER(C303)))),"Income",IF(ISNUMBER(SEARCH("TRANSFER",UPPER(C303))),"Transfer","Expense")))</f>
        <v/>
      </c>
      <c r="E303" s="97" t="str">
        <f aca="false">IF(C303="","",IFERROR(INDEX(Mapping!$B$5:$B$200,SUMPRODUCT(MAX((ISNUMBER(SEARCH(Mapping!$A$5:$A$200,UPPER(C303&amp;""))))*ROW(Mapping!$A$5:$A$200)))-4),""))</f>
        <v/>
      </c>
      <c r="F303" s="98"/>
      <c r="G303" s="99" t="n">
        <f aca="false">IF(F303="",G302,G302+IF(D303="Income",F303,IF(D303="Expense",-F303,F303)))</f>
        <v>3408.09</v>
      </c>
      <c r="H303" s="100" t="str">
        <f aca="false">IF(C303="","",IFERROR(INDEX(Mapping!$A$5:$A$200,SUMPRODUCT(MAX((ISNUMBER(SEARCH(Mapping!$A$5:$A$200,UPPER(C303&amp;""))))*ROW(Mapping!$A$5:$A$200)))-4)&amp;" → "&amp;INDEX(Mapping!$B$5:$B$200,SUMPRODUCT(MAX((ISNUMBER(SEARCH(Mapping!$A$5:$A$200,UPPER(C303&amp;""))))*ROW(Mapping!$A$5:$A$200)))-4),"❓ no rule (add to Mapping)"))</f>
        <v/>
      </c>
      <c r="I303" s="79" t="str">
        <f aca="false">IF(B303="","",TEXT(B303,"mmm"))</f>
        <v/>
      </c>
      <c r="J303" s="80" t="str">
        <f aca="false">IF(B303="","",YEAR(B303))</f>
        <v/>
      </c>
    </row>
    <row r="304" customFormat="false" ht="18" hidden="false" customHeight="true" outlineLevel="0" collapsed="false">
      <c r="A304" s="81" t="n">
        <v>299</v>
      </c>
      <c r="B304" s="95"/>
      <c r="C304" s="96"/>
      <c r="D304" s="96" t="str">
        <f aca="false">IF(C304="","",IF(OR(ISNUMBER(SEARCH("PAYROLL",UPPER(C304))),ISNUMBER(SEARCH("PAYCHECK",UPPER(C304))),ISNUMBER(SEARCH("DEPOSIT",UPPER(C304)))),"Income",IF(ISNUMBER(SEARCH("TRANSFER",UPPER(C304))),"Transfer","Expense")))</f>
        <v/>
      </c>
      <c r="E304" s="97" t="str">
        <f aca="false">IF(C304="","",IFERROR(INDEX(Mapping!$B$5:$B$200,SUMPRODUCT(MAX((ISNUMBER(SEARCH(Mapping!$A$5:$A$200,UPPER(C304&amp;""))))*ROW(Mapping!$A$5:$A$200)))-4),""))</f>
        <v/>
      </c>
      <c r="F304" s="98"/>
      <c r="G304" s="99" t="n">
        <f aca="false">IF(F304="",G303,G303+IF(D304="Income",F304,IF(D304="Expense",-F304,F304)))</f>
        <v>3408.09</v>
      </c>
      <c r="H304" s="100" t="str">
        <f aca="false">IF(C304="","",IFERROR(INDEX(Mapping!$A$5:$A$200,SUMPRODUCT(MAX((ISNUMBER(SEARCH(Mapping!$A$5:$A$200,UPPER(C304&amp;""))))*ROW(Mapping!$A$5:$A$200)))-4)&amp;" → "&amp;INDEX(Mapping!$B$5:$B$200,SUMPRODUCT(MAX((ISNUMBER(SEARCH(Mapping!$A$5:$A$200,UPPER(C304&amp;""))))*ROW(Mapping!$A$5:$A$200)))-4),"❓ no rule (add to Mapping)"))</f>
        <v/>
      </c>
      <c r="I304" s="79" t="str">
        <f aca="false">IF(B304="","",TEXT(B304,"mmm"))</f>
        <v/>
      </c>
      <c r="J304" s="80" t="str">
        <f aca="false">IF(B304="","",YEAR(B304))</f>
        <v/>
      </c>
    </row>
    <row r="305" customFormat="false" ht="18" hidden="false" customHeight="true" outlineLevel="0" collapsed="false">
      <c r="A305" s="81" t="n">
        <v>300</v>
      </c>
      <c r="B305" s="95"/>
      <c r="C305" s="96"/>
      <c r="D305" s="96" t="str">
        <f aca="false">IF(C305="","",IF(OR(ISNUMBER(SEARCH("PAYROLL",UPPER(C305))),ISNUMBER(SEARCH("PAYCHECK",UPPER(C305))),ISNUMBER(SEARCH("DEPOSIT",UPPER(C305)))),"Income",IF(ISNUMBER(SEARCH("TRANSFER",UPPER(C305))),"Transfer","Expense")))</f>
        <v/>
      </c>
      <c r="E305" s="97" t="str">
        <f aca="false">IF(C305="","",IFERROR(INDEX(Mapping!$B$5:$B$200,SUMPRODUCT(MAX((ISNUMBER(SEARCH(Mapping!$A$5:$A$200,UPPER(C305&amp;""))))*ROW(Mapping!$A$5:$A$200)))-4),""))</f>
        <v/>
      </c>
      <c r="F305" s="98"/>
      <c r="G305" s="99" t="n">
        <f aca="false">IF(F305="",G304,G304+IF(D305="Income",F305,IF(D305="Expense",-F305,F305)))</f>
        <v>3408.09</v>
      </c>
      <c r="H305" s="100" t="str">
        <f aca="false">IF(C305="","",IFERROR(INDEX(Mapping!$A$5:$A$200,SUMPRODUCT(MAX((ISNUMBER(SEARCH(Mapping!$A$5:$A$200,UPPER(C305&amp;""))))*ROW(Mapping!$A$5:$A$200)))-4)&amp;" → "&amp;INDEX(Mapping!$B$5:$B$200,SUMPRODUCT(MAX((ISNUMBER(SEARCH(Mapping!$A$5:$A$200,UPPER(C305&amp;""))))*ROW(Mapping!$A$5:$A$200)))-4),"❓ no rule (add to Mapping)"))</f>
        <v/>
      </c>
      <c r="I305" s="79" t="str">
        <f aca="false">IF(B305="","",TEXT(B305,"mmm"))</f>
        <v/>
      </c>
      <c r="J305" s="80" t="str">
        <f aca="false">IF(B305="","",YEAR(B305))</f>
        <v/>
      </c>
    </row>
    <row r="306" customFormat="false" ht="18" hidden="false" customHeight="true" outlineLevel="0" collapsed="false">
      <c r="A306" s="81" t="n">
        <v>301</v>
      </c>
      <c r="B306" s="95"/>
      <c r="C306" s="96"/>
      <c r="D306" s="96" t="str">
        <f aca="false">IF(C306="","",IF(OR(ISNUMBER(SEARCH("PAYROLL",UPPER(C306))),ISNUMBER(SEARCH("PAYCHECK",UPPER(C306))),ISNUMBER(SEARCH("DEPOSIT",UPPER(C306)))),"Income",IF(ISNUMBER(SEARCH("TRANSFER",UPPER(C306))),"Transfer","Expense")))</f>
        <v/>
      </c>
      <c r="E306" s="97" t="str">
        <f aca="false">IF(C306="","",IFERROR(INDEX(Mapping!$B$5:$B$200,SUMPRODUCT(MAX((ISNUMBER(SEARCH(Mapping!$A$5:$A$200,UPPER(C306&amp;""))))*ROW(Mapping!$A$5:$A$200)))-4),""))</f>
        <v/>
      </c>
      <c r="F306" s="98"/>
      <c r="G306" s="99" t="n">
        <f aca="false">IF(F306="",G305,G305+IF(D306="Income",F306,IF(D306="Expense",-F306,F306)))</f>
        <v>3408.09</v>
      </c>
      <c r="H306" s="100" t="str">
        <f aca="false">IF(C306="","",IFERROR(INDEX(Mapping!$A$5:$A$200,SUMPRODUCT(MAX((ISNUMBER(SEARCH(Mapping!$A$5:$A$200,UPPER(C306&amp;""))))*ROW(Mapping!$A$5:$A$200)))-4)&amp;" → "&amp;INDEX(Mapping!$B$5:$B$200,SUMPRODUCT(MAX((ISNUMBER(SEARCH(Mapping!$A$5:$A$200,UPPER(C306&amp;""))))*ROW(Mapping!$A$5:$A$200)))-4),"❓ no rule (add to Mapping)"))</f>
        <v/>
      </c>
      <c r="I306" s="79" t="str">
        <f aca="false">IF(B306="","",TEXT(B306,"mmm"))</f>
        <v/>
      </c>
      <c r="J306" s="80" t="str">
        <f aca="false">IF(B306="","",YEAR(B306))</f>
        <v/>
      </c>
    </row>
    <row r="307" customFormat="false" ht="18" hidden="false" customHeight="true" outlineLevel="0" collapsed="false">
      <c r="A307" s="81" t="n">
        <v>302</v>
      </c>
      <c r="B307" s="95"/>
      <c r="C307" s="96"/>
      <c r="D307" s="96" t="str">
        <f aca="false">IF(C307="","",IF(OR(ISNUMBER(SEARCH("PAYROLL",UPPER(C307))),ISNUMBER(SEARCH("PAYCHECK",UPPER(C307))),ISNUMBER(SEARCH("DEPOSIT",UPPER(C307)))),"Income",IF(ISNUMBER(SEARCH("TRANSFER",UPPER(C307))),"Transfer","Expense")))</f>
        <v/>
      </c>
      <c r="E307" s="97" t="str">
        <f aca="false">IF(C307="","",IFERROR(INDEX(Mapping!$B$5:$B$200,SUMPRODUCT(MAX((ISNUMBER(SEARCH(Mapping!$A$5:$A$200,UPPER(C307&amp;""))))*ROW(Mapping!$A$5:$A$200)))-4),""))</f>
        <v/>
      </c>
      <c r="F307" s="98"/>
      <c r="G307" s="99" t="n">
        <f aca="false">IF(F307="",G306,G306+IF(D307="Income",F307,IF(D307="Expense",-F307,F307)))</f>
        <v>3408.09</v>
      </c>
      <c r="H307" s="100" t="str">
        <f aca="false">IF(C307="","",IFERROR(INDEX(Mapping!$A$5:$A$200,SUMPRODUCT(MAX((ISNUMBER(SEARCH(Mapping!$A$5:$A$200,UPPER(C307&amp;""))))*ROW(Mapping!$A$5:$A$200)))-4)&amp;" → "&amp;INDEX(Mapping!$B$5:$B$200,SUMPRODUCT(MAX((ISNUMBER(SEARCH(Mapping!$A$5:$A$200,UPPER(C307&amp;""))))*ROW(Mapping!$A$5:$A$200)))-4),"❓ no rule (add to Mapping)"))</f>
        <v/>
      </c>
      <c r="I307" s="79" t="str">
        <f aca="false">IF(B307="","",TEXT(B307,"mmm"))</f>
        <v/>
      </c>
      <c r="J307" s="80" t="str">
        <f aca="false">IF(B307="","",YEAR(B307))</f>
        <v/>
      </c>
    </row>
    <row r="308" customFormat="false" ht="18" hidden="false" customHeight="true" outlineLevel="0" collapsed="false">
      <c r="A308" s="81" t="n">
        <v>303</v>
      </c>
      <c r="B308" s="95"/>
      <c r="C308" s="96"/>
      <c r="D308" s="96" t="str">
        <f aca="false">IF(C308="","",IF(OR(ISNUMBER(SEARCH("PAYROLL",UPPER(C308))),ISNUMBER(SEARCH("PAYCHECK",UPPER(C308))),ISNUMBER(SEARCH("DEPOSIT",UPPER(C308)))),"Income",IF(ISNUMBER(SEARCH("TRANSFER",UPPER(C308))),"Transfer","Expense")))</f>
        <v/>
      </c>
      <c r="E308" s="97" t="str">
        <f aca="false">IF(C308="","",IFERROR(INDEX(Mapping!$B$5:$B$200,SUMPRODUCT(MAX((ISNUMBER(SEARCH(Mapping!$A$5:$A$200,UPPER(C308&amp;""))))*ROW(Mapping!$A$5:$A$200)))-4),""))</f>
        <v/>
      </c>
      <c r="F308" s="98"/>
      <c r="G308" s="99" t="n">
        <f aca="false">IF(F308="",G307,G307+IF(D308="Income",F308,IF(D308="Expense",-F308,F308)))</f>
        <v>3408.09</v>
      </c>
      <c r="H308" s="100" t="str">
        <f aca="false">IF(C308="","",IFERROR(INDEX(Mapping!$A$5:$A$200,SUMPRODUCT(MAX((ISNUMBER(SEARCH(Mapping!$A$5:$A$200,UPPER(C308&amp;""))))*ROW(Mapping!$A$5:$A$200)))-4)&amp;" → "&amp;INDEX(Mapping!$B$5:$B$200,SUMPRODUCT(MAX((ISNUMBER(SEARCH(Mapping!$A$5:$A$200,UPPER(C308&amp;""))))*ROW(Mapping!$A$5:$A$200)))-4),"❓ no rule (add to Mapping)"))</f>
        <v/>
      </c>
      <c r="I308" s="79" t="str">
        <f aca="false">IF(B308="","",TEXT(B308,"mmm"))</f>
        <v/>
      </c>
      <c r="J308" s="80" t="str">
        <f aca="false">IF(B308="","",YEAR(B308))</f>
        <v/>
      </c>
    </row>
    <row r="309" customFormat="false" ht="18" hidden="false" customHeight="true" outlineLevel="0" collapsed="false">
      <c r="A309" s="81" t="n">
        <v>304</v>
      </c>
      <c r="B309" s="95"/>
      <c r="C309" s="96"/>
      <c r="D309" s="96" t="str">
        <f aca="false">IF(C309="","",IF(OR(ISNUMBER(SEARCH("PAYROLL",UPPER(C309))),ISNUMBER(SEARCH("PAYCHECK",UPPER(C309))),ISNUMBER(SEARCH("DEPOSIT",UPPER(C309)))),"Income",IF(ISNUMBER(SEARCH("TRANSFER",UPPER(C309))),"Transfer","Expense")))</f>
        <v/>
      </c>
      <c r="E309" s="97" t="str">
        <f aca="false">IF(C309="","",IFERROR(INDEX(Mapping!$B$5:$B$200,SUMPRODUCT(MAX((ISNUMBER(SEARCH(Mapping!$A$5:$A$200,UPPER(C309&amp;""))))*ROW(Mapping!$A$5:$A$200)))-4),""))</f>
        <v/>
      </c>
      <c r="F309" s="98"/>
      <c r="G309" s="99" t="n">
        <f aca="false">IF(F309="",G308,G308+IF(D309="Income",F309,IF(D309="Expense",-F309,F309)))</f>
        <v>3408.09</v>
      </c>
      <c r="H309" s="100" t="str">
        <f aca="false">IF(C309="","",IFERROR(INDEX(Mapping!$A$5:$A$200,SUMPRODUCT(MAX((ISNUMBER(SEARCH(Mapping!$A$5:$A$200,UPPER(C309&amp;""))))*ROW(Mapping!$A$5:$A$200)))-4)&amp;" → "&amp;INDEX(Mapping!$B$5:$B$200,SUMPRODUCT(MAX((ISNUMBER(SEARCH(Mapping!$A$5:$A$200,UPPER(C309&amp;""))))*ROW(Mapping!$A$5:$A$200)))-4),"❓ no rule (add to Mapping)"))</f>
        <v/>
      </c>
      <c r="I309" s="79" t="str">
        <f aca="false">IF(B309="","",TEXT(B309,"mmm"))</f>
        <v/>
      </c>
      <c r="J309" s="80" t="str">
        <f aca="false">IF(B309="","",YEAR(B309))</f>
        <v/>
      </c>
    </row>
    <row r="310" customFormat="false" ht="18" hidden="false" customHeight="true" outlineLevel="0" collapsed="false">
      <c r="A310" s="81" t="n">
        <v>305</v>
      </c>
      <c r="B310" s="95"/>
      <c r="C310" s="96"/>
      <c r="D310" s="96" t="str">
        <f aca="false">IF(C310="","",IF(OR(ISNUMBER(SEARCH("PAYROLL",UPPER(C310))),ISNUMBER(SEARCH("PAYCHECK",UPPER(C310))),ISNUMBER(SEARCH("DEPOSIT",UPPER(C310)))),"Income",IF(ISNUMBER(SEARCH("TRANSFER",UPPER(C310))),"Transfer","Expense")))</f>
        <v/>
      </c>
      <c r="E310" s="97" t="str">
        <f aca="false">IF(C310="","",IFERROR(INDEX(Mapping!$B$5:$B$200,SUMPRODUCT(MAX((ISNUMBER(SEARCH(Mapping!$A$5:$A$200,UPPER(C310&amp;""))))*ROW(Mapping!$A$5:$A$200)))-4),""))</f>
        <v/>
      </c>
      <c r="F310" s="98"/>
      <c r="G310" s="99" t="n">
        <f aca="false">IF(F310="",G309,G309+IF(D310="Income",F310,IF(D310="Expense",-F310,F310)))</f>
        <v>3408.09</v>
      </c>
      <c r="H310" s="100" t="str">
        <f aca="false">IF(C310="","",IFERROR(INDEX(Mapping!$A$5:$A$200,SUMPRODUCT(MAX((ISNUMBER(SEARCH(Mapping!$A$5:$A$200,UPPER(C310&amp;""))))*ROW(Mapping!$A$5:$A$200)))-4)&amp;" → "&amp;INDEX(Mapping!$B$5:$B$200,SUMPRODUCT(MAX((ISNUMBER(SEARCH(Mapping!$A$5:$A$200,UPPER(C310&amp;""))))*ROW(Mapping!$A$5:$A$200)))-4),"❓ no rule (add to Mapping)"))</f>
        <v/>
      </c>
      <c r="I310" s="79" t="str">
        <f aca="false">IF(B310="","",TEXT(B310,"mmm"))</f>
        <v/>
      </c>
      <c r="J310" s="80" t="str">
        <f aca="false">IF(B310="","",YEAR(B310))</f>
        <v/>
      </c>
    </row>
    <row r="311" customFormat="false" ht="18" hidden="false" customHeight="true" outlineLevel="0" collapsed="false">
      <c r="A311" s="81" t="n">
        <v>306</v>
      </c>
      <c r="B311" s="95"/>
      <c r="C311" s="96"/>
      <c r="D311" s="96" t="str">
        <f aca="false">IF(C311="","",IF(OR(ISNUMBER(SEARCH("PAYROLL",UPPER(C311))),ISNUMBER(SEARCH("PAYCHECK",UPPER(C311))),ISNUMBER(SEARCH("DEPOSIT",UPPER(C311)))),"Income",IF(ISNUMBER(SEARCH("TRANSFER",UPPER(C311))),"Transfer","Expense")))</f>
        <v/>
      </c>
      <c r="E311" s="97" t="str">
        <f aca="false">IF(C311="","",IFERROR(INDEX(Mapping!$B$5:$B$200,SUMPRODUCT(MAX((ISNUMBER(SEARCH(Mapping!$A$5:$A$200,UPPER(C311&amp;""))))*ROW(Mapping!$A$5:$A$200)))-4),""))</f>
        <v/>
      </c>
      <c r="F311" s="98"/>
      <c r="G311" s="99" t="n">
        <f aca="false">IF(F311="",G310,G310+IF(D311="Income",F311,IF(D311="Expense",-F311,F311)))</f>
        <v>3408.09</v>
      </c>
      <c r="H311" s="100" t="str">
        <f aca="false">IF(C311="","",IFERROR(INDEX(Mapping!$A$5:$A$200,SUMPRODUCT(MAX((ISNUMBER(SEARCH(Mapping!$A$5:$A$200,UPPER(C311&amp;""))))*ROW(Mapping!$A$5:$A$200)))-4)&amp;" → "&amp;INDEX(Mapping!$B$5:$B$200,SUMPRODUCT(MAX((ISNUMBER(SEARCH(Mapping!$A$5:$A$200,UPPER(C311&amp;""))))*ROW(Mapping!$A$5:$A$200)))-4),"❓ no rule (add to Mapping)"))</f>
        <v/>
      </c>
      <c r="I311" s="79" t="str">
        <f aca="false">IF(B311="","",TEXT(B311,"mmm"))</f>
        <v/>
      </c>
      <c r="J311" s="80" t="str">
        <f aca="false">IF(B311="","",YEAR(B311))</f>
        <v/>
      </c>
    </row>
    <row r="312" customFormat="false" ht="18" hidden="false" customHeight="true" outlineLevel="0" collapsed="false">
      <c r="A312" s="81" t="n">
        <v>307</v>
      </c>
      <c r="B312" s="95"/>
      <c r="C312" s="96"/>
      <c r="D312" s="96" t="str">
        <f aca="false">IF(C312="","",IF(OR(ISNUMBER(SEARCH("PAYROLL",UPPER(C312))),ISNUMBER(SEARCH("PAYCHECK",UPPER(C312))),ISNUMBER(SEARCH("DEPOSIT",UPPER(C312)))),"Income",IF(ISNUMBER(SEARCH("TRANSFER",UPPER(C312))),"Transfer","Expense")))</f>
        <v/>
      </c>
      <c r="E312" s="97" t="str">
        <f aca="false">IF(C312="","",IFERROR(INDEX(Mapping!$B$5:$B$200,SUMPRODUCT(MAX((ISNUMBER(SEARCH(Mapping!$A$5:$A$200,UPPER(C312&amp;""))))*ROW(Mapping!$A$5:$A$200)))-4),""))</f>
        <v/>
      </c>
      <c r="F312" s="98"/>
      <c r="G312" s="99" t="n">
        <f aca="false">IF(F312="",G311,G311+IF(D312="Income",F312,IF(D312="Expense",-F312,F312)))</f>
        <v>3408.09</v>
      </c>
      <c r="H312" s="100" t="str">
        <f aca="false">IF(C312="","",IFERROR(INDEX(Mapping!$A$5:$A$200,SUMPRODUCT(MAX((ISNUMBER(SEARCH(Mapping!$A$5:$A$200,UPPER(C312&amp;""))))*ROW(Mapping!$A$5:$A$200)))-4)&amp;" → "&amp;INDEX(Mapping!$B$5:$B$200,SUMPRODUCT(MAX((ISNUMBER(SEARCH(Mapping!$A$5:$A$200,UPPER(C312&amp;""))))*ROW(Mapping!$A$5:$A$200)))-4),"❓ no rule (add to Mapping)"))</f>
        <v/>
      </c>
      <c r="I312" s="79" t="str">
        <f aca="false">IF(B312="","",TEXT(B312,"mmm"))</f>
        <v/>
      </c>
      <c r="J312" s="80" t="str">
        <f aca="false">IF(B312="","",YEAR(B312))</f>
        <v/>
      </c>
    </row>
    <row r="313" customFormat="false" ht="18" hidden="false" customHeight="true" outlineLevel="0" collapsed="false">
      <c r="A313" s="81" t="n">
        <v>308</v>
      </c>
      <c r="B313" s="95"/>
      <c r="C313" s="96"/>
      <c r="D313" s="96" t="str">
        <f aca="false">IF(C313="","",IF(OR(ISNUMBER(SEARCH("PAYROLL",UPPER(C313))),ISNUMBER(SEARCH("PAYCHECK",UPPER(C313))),ISNUMBER(SEARCH("DEPOSIT",UPPER(C313)))),"Income",IF(ISNUMBER(SEARCH("TRANSFER",UPPER(C313))),"Transfer","Expense")))</f>
        <v/>
      </c>
      <c r="E313" s="97" t="str">
        <f aca="false">IF(C313="","",IFERROR(INDEX(Mapping!$B$5:$B$200,SUMPRODUCT(MAX((ISNUMBER(SEARCH(Mapping!$A$5:$A$200,UPPER(C313&amp;""))))*ROW(Mapping!$A$5:$A$200)))-4),""))</f>
        <v/>
      </c>
      <c r="F313" s="98"/>
      <c r="G313" s="99" t="n">
        <f aca="false">IF(F313="",G312,G312+IF(D313="Income",F313,IF(D313="Expense",-F313,F313)))</f>
        <v>3408.09</v>
      </c>
      <c r="H313" s="100" t="str">
        <f aca="false">IF(C313="","",IFERROR(INDEX(Mapping!$A$5:$A$200,SUMPRODUCT(MAX((ISNUMBER(SEARCH(Mapping!$A$5:$A$200,UPPER(C313&amp;""))))*ROW(Mapping!$A$5:$A$200)))-4)&amp;" → "&amp;INDEX(Mapping!$B$5:$B$200,SUMPRODUCT(MAX((ISNUMBER(SEARCH(Mapping!$A$5:$A$200,UPPER(C313&amp;""))))*ROW(Mapping!$A$5:$A$200)))-4),"❓ no rule (add to Mapping)"))</f>
        <v/>
      </c>
      <c r="I313" s="79" t="str">
        <f aca="false">IF(B313="","",TEXT(B313,"mmm"))</f>
        <v/>
      </c>
      <c r="J313" s="80" t="str">
        <f aca="false">IF(B313="","",YEAR(B313))</f>
        <v/>
      </c>
    </row>
    <row r="314" customFormat="false" ht="18" hidden="false" customHeight="true" outlineLevel="0" collapsed="false">
      <c r="A314" s="81" t="n">
        <v>309</v>
      </c>
      <c r="B314" s="95"/>
      <c r="C314" s="96"/>
      <c r="D314" s="96" t="str">
        <f aca="false">IF(C314="","",IF(OR(ISNUMBER(SEARCH("PAYROLL",UPPER(C314))),ISNUMBER(SEARCH("PAYCHECK",UPPER(C314))),ISNUMBER(SEARCH("DEPOSIT",UPPER(C314)))),"Income",IF(ISNUMBER(SEARCH("TRANSFER",UPPER(C314))),"Transfer","Expense")))</f>
        <v/>
      </c>
      <c r="E314" s="97" t="str">
        <f aca="false">IF(C314="","",IFERROR(INDEX(Mapping!$B$5:$B$200,SUMPRODUCT(MAX((ISNUMBER(SEARCH(Mapping!$A$5:$A$200,UPPER(C314&amp;""))))*ROW(Mapping!$A$5:$A$200)))-4),""))</f>
        <v/>
      </c>
      <c r="F314" s="98"/>
      <c r="G314" s="99" t="n">
        <f aca="false">IF(F314="",G313,G313+IF(D314="Income",F314,IF(D314="Expense",-F314,F314)))</f>
        <v>3408.09</v>
      </c>
      <c r="H314" s="100" t="str">
        <f aca="false">IF(C314="","",IFERROR(INDEX(Mapping!$A$5:$A$200,SUMPRODUCT(MAX((ISNUMBER(SEARCH(Mapping!$A$5:$A$200,UPPER(C314&amp;""))))*ROW(Mapping!$A$5:$A$200)))-4)&amp;" → "&amp;INDEX(Mapping!$B$5:$B$200,SUMPRODUCT(MAX((ISNUMBER(SEARCH(Mapping!$A$5:$A$200,UPPER(C314&amp;""))))*ROW(Mapping!$A$5:$A$200)))-4),"❓ no rule (add to Mapping)"))</f>
        <v/>
      </c>
      <c r="I314" s="79" t="str">
        <f aca="false">IF(B314="","",TEXT(B314,"mmm"))</f>
        <v/>
      </c>
      <c r="J314" s="80" t="str">
        <f aca="false">IF(B314="","",YEAR(B314))</f>
        <v/>
      </c>
    </row>
    <row r="315" customFormat="false" ht="18" hidden="false" customHeight="true" outlineLevel="0" collapsed="false">
      <c r="A315" s="81" t="n">
        <v>310</v>
      </c>
      <c r="B315" s="95"/>
      <c r="C315" s="96"/>
      <c r="D315" s="96" t="str">
        <f aca="false">IF(C315="","",IF(OR(ISNUMBER(SEARCH("PAYROLL",UPPER(C315))),ISNUMBER(SEARCH("PAYCHECK",UPPER(C315))),ISNUMBER(SEARCH("DEPOSIT",UPPER(C315)))),"Income",IF(ISNUMBER(SEARCH("TRANSFER",UPPER(C315))),"Transfer","Expense")))</f>
        <v/>
      </c>
      <c r="E315" s="97" t="str">
        <f aca="false">IF(C315="","",IFERROR(INDEX(Mapping!$B$5:$B$200,SUMPRODUCT(MAX((ISNUMBER(SEARCH(Mapping!$A$5:$A$200,UPPER(C315&amp;""))))*ROW(Mapping!$A$5:$A$200)))-4),""))</f>
        <v/>
      </c>
      <c r="F315" s="98"/>
      <c r="G315" s="99" t="n">
        <f aca="false">IF(F315="",G314,G314+IF(D315="Income",F315,IF(D315="Expense",-F315,F315)))</f>
        <v>3408.09</v>
      </c>
      <c r="H315" s="100" t="str">
        <f aca="false">IF(C315="","",IFERROR(INDEX(Mapping!$A$5:$A$200,SUMPRODUCT(MAX((ISNUMBER(SEARCH(Mapping!$A$5:$A$200,UPPER(C315&amp;""))))*ROW(Mapping!$A$5:$A$200)))-4)&amp;" → "&amp;INDEX(Mapping!$B$5:$B$200,SUMPRODUCT(MAX((ISNUMBER(SEARCH(Mapping!$A$5:$A$200,UPPER(C315&amp;""))))*ROW(Mapping!$A$5:$A$200)))-4),"❓ no rule (add to Mapping)"))</f>
        <v/>
      </c>
      <c r="I315" s="79" t="str">
        <f aca="false">IF(B315="","",TEXT(B315,"mmm"))</f>
        <v/>
      </c>
      <c r="J315" s="80" t="str">
        <f aca="false">IF(B315="","",YEAR(B315))</f>
        <v/>
      </c>
    </row>
    <row r="316" customFormat="false" ht="18" hidden="false" customHeight="true" outlineLevel="0" collapsed="false">
      <c r="A316" s="81" t="n">
        <v>311</v>
      </c>
      <c r="B316" s="95"/>
      <c r="C316" s="96"/>
      <c r="D316" s="96" t="str">
        <f aca="false">IF(C316="","",IF(OR(ISNUMBER(SEARCH("PAYROLL",UPPER(C316))),ISNUMBER(SEARCH("PAYCHECK",UPPER(C316))),ISNUMBER(SEARCH("DEPOSIT",UPPER(C316)))),"Income",IF(ISNUMBER(SEARCH("TRANSFER",UPPER(C316))),"Transfer","Expense")))</f>
        <v/>
      </c>
      <c r="E316" s="97" t="str">
        <f aca="false">IF(C316="","",IFERROR(INDEX(Mapping!$B$5:$B$200,SUMPRODUCT(MAX((ISNUMBER(SEARCH(Mapping!$A$5:$A$200,UPPER(C316&amp;""))))*ROW(Mapping!$A$5:$A$200)))-4),""))</f>
        <v/>
      </c>
      <c r="F316" s="98"/>
      <c r="G316" s="99" t="n">
        <f aca="false">IF(F316="",G315,G315+IF(D316="Income",F316,IF(D316="Expense",-F316,F316)))</f>
        <v>3408.09</v>
      </c>
      <c r="H316" s="100" t="str">
        <f aca="false">IF(C316="","",IFERROR(INDEX(Mapping!$A$5:$A$200,SUMPRODUCT(MAX((ISNUMBER(SEARCH(Mapping!$A$5:$A$200,UPPER(C316&amp;""))))*ROW(Mapping!$A$5:$A$200)))-4)&amp;" → "&amp;INDEX(Mapping!$B$5:$B$200,SUMPRODUCT(MAX((ISNUMBER(SEARCH(Mapping!$A$5:$A$200,UPPER(C316&amp;""))))*ROW(Mapping!$A$5:$A$200)))-4),"❓ no rule (add to Mapping)"))</f>
        <v/>
      </c>
      <c r="I316" s="79" t="str">
        <f aca="false">IF(B316="","",TEXT(B316,"mmm"))</f>
        <v/>
      </c>
      <c r="J316" s="80" t="str">
        <f aca="false">IF(B316="","",YEAR(B316))</f>
        <v/>
      </c>
    </row>
    <row r="317" customFormat="false" ht="18" hidden="false" customHeight="true" outlineLevel="0" collapsed="false">
      <c r="A317" s="81" t="n">
        <v>312</v>
      </c>
      <c r="B317" s="95"/>
      <c r="C317" s="96"/>
      <c r="D317" s="96" t="str">
        <f aca="false">IF(C317="","",IF(OR(ISNUMBER(SEARCH("PAYROLL",UPPER(C317))),ISNUMBER(SEARCH("PAYCHECK",UPPER(C317))),ISNUMBER(SEARCH("DEPOSIT",UPPER(C317)))),"Income",IF(ISNUMBER(SEARCH("TRANSFER",UPPER(C317))),"Transfer","Expense")))</f>
        <v/>
      </c>
      <c r="E317" s="97" t="str">
        <f aca="false">IF(C317="","",IFERROR(INDEX(Mapping!$B$5:$B$200,SUMPRODUCT(MAX((ISNUMBER(SEARCH(Mapping!$A$5:$A$200,UPPER(C317&amp;""))))*ROW(Mapping!$A$5:$A$200)))-4),""))</f>
        <v/>
      </c>
      <c r="F317" s="98"/>
      <c r="G317" s="99" t="n">
        <f aca="false">IF(F317="",G316,G316+IF(D317="Income",F317,IF(D317="Expense",-F317,F317)))</f>
        <v>3408.09</v>
      </c>
      <c r="H317" s="100" t="str">
        <f aca="false">IF(C317="","",IFERROR(INDEX(Mapping!$A$5:$A$200,SUMPRODUCT(MAX((ISNUMBER(SEARCH(Mapping!$A$5:$A$200,UPPER(C317&amp;""))))*ROW(Mapping!$A$5:$A$200)))-4)&amp;" → "&amp;INDEX(Mapping!$B$5:$B$200,SUMPRODUCT(MAX((ISNUMBER(SEARCH(Mapping!$A$5:$A$200,UPPER(C317&amp;""))))*ROW(Mapping!$A$5:$A$200)))-4),"❓ no rule (add to Mapping)"))</f>
        <v/>
      </c>
      <c r="I317" s="79" t="str">
        <f aca="false">IF(B317="","",TEXT(B317,"mmm"))</f>
        <v/>
      </c>
      <c r="J317" s="80" t="str">
        <f aca="false">IF(B317="","",YEAR(B317))</f>
        <v/>
      </c>
    </row>
    <row r="318" customFormat="false" ht="18" hidden="false" customHeight="true" outlineLevel="0" collapsed="false">
      <c r="A318" s="81" t="n">
        <v>313</v>
      </c>
      <c r="B318" s="95"/>
      <c r="C318" s="96"/>
      <c r="D318" s="96" t="str">
        <f aca="false">IF(C318="","",IF(OR(ISNUMBER(SEARCH("PAYROLL",UPPER(C318))),ISNUMBER(SEARCH("PAYCHECK",UPPER(C318))),ISNUMBER(SEARCH("DEPOSIT",UPPER(C318)))),"Income",IF(ISNUMBER(SEARCH("TRANSFER",UPPER(C318))),"Transfer","Expense")))</f>
        <v/>
      </c>
      <c r="E318" s="97" t="str">
        <f aca="false">IF(C318="","",IFERROR(INDEX(Mapping!$B$5:$B$200,SUMPRODUCT(MAX((ISNUMBER(SEARCH(Mapping!$A$5:$A$200,UPPER(C318&amp;""))))*ROW(Mapping!$A$5:$A$200)))-4),""))</f>
        <v/>
      </c>
      <c r="F318" s="98"/>
      <c r="G318" s="99" t="n">
        <f aca="false">IF(F318="",G317,G317+IF(D318="Income",F318,IF(D318="Expense",-F318,F318)))</f>
        <v>3408.09</v>
      </c>
      <c r="H318" s="100" t="str">
        <f aca="false">IF(C318="","",IFERROR(INDEX(Mapping!$A$5:$A$200,SUMPRODUCT(MAX((ISNUMBER(SEARCH(Mapping!$A$5:$A$200,UPPER(C318&amp;""))))*ROW(Mapping!$A$5:$A$200)))-4)&amp;" → "&amp;INDEX(Mapping!$B$5:$B$200,SUMPRODUCT(MAX((ISNUMBER(SEARCH(Mapping!$A$5:$A$200,UPPER(C318&amp;""))))*ROW(Mapping!$A$5:$A$200)))-4),"❓ no rule (add to Mapping)"))</f>
        <v/>
      </c>
      <c r="I318" s="79" t="str">
        <f aca="false">IF(B318="","",TEXT(B318,"mmm"))</f>
        <v/>
      </c>
      <c r="J318" s="80" t="str">
        <f aca="false">IF(B318="","",YEAR(B318))</f>
        <v/>
      </c>
    </row>
    <row r="319" customFormat="false" ht="18" hidden="false" customHeight="true" outlineLevel="0" collapsed="false">
      <c r="A319" s="81" t="n">
        <v>314</v>
      </c>
      <c r="B319" s="95"/>
      <c r="C319" s="96"/>
      <c r="D319" s="96" t="str">
        <f aca="false">IF(C319="","",IF(OR(ISNUMBER(SEARCH("PAYROLL",UPPER(C319))),ISNUMBER(SEARCH("PAYCHECK",UPPER(C319))),ISNUMBER(SEARCH("DEPOSIT",UPPER(C319)))),"Income",IF(ISNUMBER(SEARCH("TRANSFER",UPPER(C319))),"Transfer","Expense")))</f>
        <v/>
      </c>
      <c r="E319" s="97" t="str">
        <f aca="false">IF(C319="","",IFERROR(INDEX(Mapping!$B$5:$B$200,SUMPRODUCT(MAX((ISNUMBER(SEARCH(Mapping!$A$5:$A$200,UPPER(C319&amp;""))))*ROW(Mapping!$A$5:$A$200)))-4),""))</f>
        <v/>
      </c>
      <c r="F319" s="98"/>
      <c r="G319" s="99" t="n">
        <f aca="false">IF(F319="",G318,G318+IF(D319="Income",F319,IF(D319="Expense",-F319,F319)))</f>
        <v>3408.09</v>
      </c>
      <c r="H319" s="100" t="str">
        <f aca="false">IF(C319="","",IFERROR(INDEX(Mapping!$A$5:$A$200,SUMPRODUCT(MAX((ISNUMBER(SEARCH(Mapping!$A$5:$A$200,UPPER(C319&amp;""))))*ROW(Mapping!$A$5:$A$200)))-4)&amp;" → "&amp;INDEX(Mapping!$B$5:$B$200,SUMPRODUCT(MAX((ISNUMBER(SEARCH(Mapping!$A$5:$A$200,UPPER(C319&amp;""))))*ROW(Mapping!$A$5:$A$200)))-4),"❓ no rule (add to Mapping)"))</f>
        <v/>
      </c>
      <c r="I319" s="79" t="str">
        <f aca="false">IF(B319="","",TEXT(B319,"mmm"))</f>
        <v/>
      </c>
      <c r="J319" s="80" t="str">
        <f aca="false">IF(B319="","",YEAR(B319))</f>
        <v/>
      </c>
    </row>
    <row r="320" customFormat="false" ht="18" hidden="false" customHeight="true" outlineLevel="0" collapsed="false">
      <c r="A320" s="81" t="n">
        <v>315</v>
      </c>
      <c r="B320" s="95"/>
      <c r="C320" s="96"/>
      <c r="D320" s="96" t="str">
        <f aca="false">IF(C320="","",IF(OR(ISNUMBER(SEARCH("PAYROLL",UPPER(C320))),ISNUMBER(SEARCH("PAYCHECK",UPPER(C320))),ISNUMBER(SEARCH("DEPOSIT",UPPER(C320)))),"Income",IF(ISNUMBER(SEARCH("TRANSFER",UPPER(C320))),"Transfer","Expense")))</f>
        <v/>
      </c>
      <c r="E320" s="97" t="str">
        <f aca="false">IF(C320="","",IFERROR(INDEX(Mapping!$B$5:$B$200,SUMPRODUCT(MAX((ISNUMBER(SEARCH(Mapping!$A$5:$A$200,UPPER(C320&amp;""))))*ROW(Mapping!$A$5:$A$200)))-4),""))</f>
        <v/>
      </c>
      <c r="F320" s="98"/>
      <c r="G320" s="99" t="n">
        <f aca="false">IF(F320="",G319,G319+IF(D320="Income",F320,IF(D320="Expense",-F320,F320)))</f>
        <v>3408.09</v>
      </c>
      <c r="H320" s="100" t="str">
        <f aca="false">IF(C320="","",IFERROR(INDEX(Mapping!$A$5:$A$200,SUMPRODUCT(MAX((ISNUMBER(SEARCH(Mapping!$A$5:$A$200,UPPER(C320&amp;""))))*ROW(Mapping!$A$5:$A$200)))-4)&amp;" → "&amp;INDEX(Mapping!$B$5:$B$200,SUMPRODUCT(MAX((ISNUMBER(SEARCH(Mapping!$A$5:$A$200,UPPER(C320&amp;""))))*ROW(Mapping!$A$5:$A$200)))-4),"❓ no rule (add to Mapping)"))</f>
        <v/>
      </c>
      <c r="I320" s="79" t="str">
        <f aca="false">IF(B320="","",TEXT(B320,"mmm"))</f>
        <v/>
      </c>
      <c r="J320" s="80" t="str">
        <f aca="false">IF(B320="","",YEAR(B320))</f>
        <v/>
      </c>
    </row>
    <row r="321" customFormat="false" ht="18" hidden="false" customHeight="true" outlineLevel="0" collapsed="false">
      <c r="A321" s="81" t="n">
        <v>316</v>
      </c>
      <c r="B321" s="95"/>
      <c r="C321" s="96"/>
      <c r="D321" s="96" t="str">
        <f aca="false">IF(C321="","",IF(OR(ISNUMBER(SEARCH("PAYROLL",UPPER(C321))),ISNUMBER(SEARCH("PAYCHECK",UPPER(C321))),ISNUMBER(SEARCH("DEPOSIT",UPPER(C321)))),"Income",IF(ISNUMBER(SEARCH("TRANSFER",UPPER(C321))),"Transfer","Expense")))</f>
        <v/>
      </c>
      <c r="E321" s="97" t="str">
        <f aca="false">IF(C321="","",IFERROR(INDEX(Mapping!$B$5:$B$200,SUMPRODUCT(MAX((ISNUMBER(SEARCH(Mapping!$A$5:$A$200,UPPER(C321&amp;""))))*ROW(Mapping!$A$5:$A$200)))-4),""))</f>
        <v/>
      </c>
      <c r="F321" s="98"/>
      <c r="G321" s="99" t="n">
        <f aca="false">IF(F321="",G320,G320+IF(D321="Income",F321,IF(D321="Expense",-F321,F321)))</f>
        <v>3408.09</v>
      </c>
      <c r="H321" s="100" t="str">
        <f aca="false">IF(C321="","",IFERROR(INDEX(Mapping!$A$5:$A$200,SUMPRODUCT(MAX((ISNUMBER(SEARCH(Mapping!$A$5:$A$200,UPPER(C321&amp;""))))*ROW(Mapping!$A$5:$A$200)))-4)&amp;" → "&amp;INDEX(Mapping!$B$5:$B$200,SUMPRODUCT(MAX((ISNUMBER(SEARCH(Mapping!$A$5:$A$200,UPPER(C321&amp;""))))*ROW(Mapping!$A$5:$A$200)))-4),"❓ no rule (add to Mapping)"))</f>
        <v/>
      </c>
      <c r="I321" s="79" t="str">
        <f aca="false">IF(B321="","",TEXT(B321,"mmm"))</f>
        <v/>
      </c>
      <c r="J321" s="80" t="str">
        <f aca="false">IF(B321="","",YEAR(B321))</f>
        <v/>
      </c>
    </row>
    <row r="322" customFormat="false" ht="18" hidden="false" customHeight="true" outlineLevel="0" collapsed="false">
      <c r="A322" s="81" t="n">
        <v>317</v>
      </c>
      <c r="B322" s="95"/>
      <c r="C322" s="96"/>
      <c r="D322" s="96" t="str">
        <f aca="false">IF(C322="","",IF(OR(ISNUMBER(SEARCH("PAYROLL",UPPER(C322))),ISNUMBER(SEARCH("PAYCHECK",UPPER(C322))),ISNUMBER(SEARCH("DEPOSIT",UPPER(C322)))),"Income",IF(ISNUMBER(SEARCH("TRANSFER",UPPER(C322))),"Transfer","Expense")))</f>
        <v/>
      </c>
      <c r="E322" s="97" t="str">
        <f aca="false">IF(C322="","",IFERROR(INDEX(Mapping!$B$5:$B$200,SUMPRODUCT(MAX((ISNUMBER(SEARCH(Mapping!$A$5:$A$200,UPPER(C322&amp;""))))*ROW(Mapping!$A$5:$A$200)))-4),""))</f>
        <v/>
      </c>
      <c r="F322" s="98"/>
      <c r="G322" s="99" t="n">
        <f aca="false">IF(F322="",G321,G321+IF(D322="Income",F322,IF(D322="Expense",-F322,F322)))</f>
        <v>3408.09</v>
      </c>
      <c r="H322" s="100" t="str">
        <f aca="false">IF(C322="","",IFERROR(INDEX(Mapping!$A$5:$A$200,SUMPRODUCT(MAX((ISNUMBER(SEARCH(Mapping!$A$5:$A$200,UPPER(C322&amp;""))))*ROW(Mapping!$A$5:$A$200)))-4)&amp;" → "&amp;INDEX(Mapping!$B$5:$B$200,SUMPRODUCT(MAX((ISNUMBER(SEARCH(Mapping!$A$5:$A$200,UPPER(C322&amp;""))))*ROW(Mapping!$A$5:$A$200)))-4),"❓ no rule (add to Mapping)"))</f>
        <v/>
      </c>
      <c r="I322" s="79" t="str">
        <f aca="false">IF(B322="","",TEXT(B322,"mmm"))</f>
        <v/>
      </c>
      <c r="J322" s="80" t="str">
        <f aca="false">IF(B322="","",YEAR(B322))</f>
        <v/>
      </c>
    </row>
    <row r="323" customFormat="false" ht="18" hidden="false" customHeight="true" outlineLevel="0" collapsed="false">
      <c r="A323" s="81" t="n">
        <v>318</v>
      </c>
      <c r="B323" s="95"/>
      <c r="C323" s="96"/>
      <c r="D323" s="96" t="str">
        <f aca="false">IF(C323="","",IF(OR(ISNUMBER(SEARCH("PAYROLL",UPPER(C323))),ISNUMBER(SEARCH("PAYCHECK",UPPER(C323))),ISNUMBER(SEARCH("DEPOSIT",UPPER(C323)))),"Income",IF(ISNUMBER(SEARCH("TRANSFER",UPPER(C323))),"Transfer","Expense")))</f>
        <v/>
      </c>
      <c r="E323" s="97" t="str">
        <f aca="false">IF(C323="","",IFERROR(INDEX(Mapping!$B$5:$B$200,SUMPRODUCT(MAX((ISNUMBER(SEARCH(Mapping!$A$5:$A$200,UPPER(C323&amp;""))))*ROW(Mapping!$A$5:$A$200)))-4),""))</f>
        <v/>
      </c>
      <c r="F323" s="98"/>
      <c r="G323" s="99" t="n">
        <f aca="false">IF(F323="",G322,G322+IF(D323="Income",F323,IF(D323="Expense",-F323,F323)))</f>
        <v>3408.09</v>
      </c>
      <c r="H323" s="100" t="str">
        <f aca="false">IF(C323="","",IFERROR(INDEX(Mapping!$A$5:$A$200,SUMPRODUCT(MAX((ISNUMBER(SEARCH(Mapping!$A$5:$A$200,UPPER(C323&amp;""))))*ROW(Mapping!$A$5:$A$200)))-4)&amp;" → "&amp;INDEX(Mapping!$B$5:$B$200,SUMPRODUCT(MAX((ISNUMBER(SEARCH(Mapping!$A$5:$A$200,UPPER(C323&amp;""))))*ROW(Mapping!$A$5:$A$200)))-4),"❓ no rule (add to Mapping)"))</f>
        <v/>
      </c>
      <c r="I323" s="79" t="str">
        <f aca="false">IF(B323="","",TEXT(B323,"mmm"))</f>
        <v/>
      </c>
      <c r="J323" s="80" t="str">
        <f aca="false">IF(B323="","",YEAR(B323))</f>
        <v/>
      </c>
    </row>
    <row r="324" customFormat="false" ht="18" hidden="false" customHeight="true" outlineLevel="0" collapsed="false">
      <c r="A324" s="81" t="n">
        <v>319</v>
      </c>
      <c r="B324" s="95"/>
      <c r="C324" s="96"/>
      <c r="D324" s="96" t="str">
        <f aca="false">IF(C324="","",IF(OR(ISNUMBER(SEARCH("PAYROLL",UPPER(C324))),ISNUMBER(SEARCH("PAYCHECK",UPPER(C324))),ISNUMBER(SEARCH("DEPOSIT",UPPER(C324)))),"Income",IF(ISNUMBER(SEARCH("TRANSFER",UPPER(C324))),"Transfer","Expense")))</f>
        <v/>
      </c>
      <c r="E324" s="97" t="str">
        <f aca="false">IF(C324="","",IFERROR(INDEX(Mapping!$B$5:$B$200,SUMPRODUCT(MAX((ISNUMBER(SEARCH(Mapping!$A$5:$A$200,UPPER(C324&amp;""))))*ROW(Mapping!$A$5:$A$200)))-4),""))</f>
        <v/>
      </c>
      <c r="F324" s="98"/>
      <c r="G324" s="99" t="n">
        <f aca="false">IF(F324="",G323,G323+IF(D324="Income",F324,IF(D324="Expense",-F324,F324)))</f>
        <v>3408.09</v>
      </c>
      <c r="H324" s="100" t="str">
        <f aca="false">IF(C324="","",IFERROR(INDEX(Mapping!$A$5:$A$200,SUMPRODUCT(MAX((ISNUMBER(SEARCH(Mapping!$A$5:$A$200,UPPER(C324&amp;""))))*ROW(Mapping!$A$5:$A$200)))-4)&amp;" → "&amp;INDEX(Mapping!$B$5:$B$200,SUMPRODUCT(MAX((ISNUMBER(SEARCH(Mapping!$A$5:$A$200,UPPER(C324&amp;""))))*ROW(Mapping!$A$5:$A$200)))-4),"❓ no rule (add to Mapping)"))</f>
        <v/>
      </c>
      <c r="I324" s="79" t="str">
        <f aca="false">IF(B324="","",TEXT(B324,"mmm"))</f>
        <v/>
      </c>
      <c r="J324" s="80" t="str">
        <f aca="false">IF(B324="","",YEAR(B324))</f>
        <v/>
      </c>
    </row>
    <row r="325" customFormat="false" ht="18" hidden="false" customHeight="true" outlineLevel="0" collapsed="false">
      <c r="A325" s="81" t="n">
        <v>320</v>
      </c>
      <c r="B325" s="95"/>
      <c r="C325" s="96"/>
      <c r="D325" s="96" t="str">
        <f aca="false">IF(C325="","",IF(OR(ISNUMBER(SEARCH("PAYROLL",UPPER(C325))),ISNUMBER(SEARCH("PAYCHECK",UPPER(C325))),ISNUMBER(SEARCH("DEPOSIT",UPPER(C325)))),"Income",IF(ISNUMBER(SEARCH("TRANSFER",UPPER(C325))),"Transfer","Expense")))</f>
        <v/>
      </c>
      <c r="E325" s="97" t="str">
        <f aca="false">IF(C325="","",IFERROR(INDEX(Mapping!$B$5:$B$200,SUMPRODUCT(MAX((ISNUMBER(SEARCH(Mapping!$A$5:$A$200,UPPER(C325&amp;""))))*ROW(Mapping!$A$5:$A$200)))-4),""))</f>
        <v/>
      </c>
      <c r="F325" s="98"/>
      <c r="G325" s="99" t="n">
        <f aca="false">IF(F325="",G324,G324+IF(D325="Income",F325,IF(D325="Expense",-F325,F325)))</f>
        <v>3408.09</v>
      </c>
      <c r="H325" s="100" t="str">
        <f aca="false">IF(C325="","",IFERROR(INDEX(Mapping!$A$5:$A$200,SUMPRODUCT(MAX((ISNUMBER(SEARCH(Mapping!$A$5:$A$200,UPPER(C325&amp;""))))*ROW(Mapping!$A$5:$A$200)))-4)&amp;" → "&amp;INDEX(Mapping!$B$5:$B$200,SUMPRODUCT(MAX((ISNUMBER(SEARCH(Mapping!$A$5:$A$200,UPPER(C325&amp;""))))*ROW(Mapping!$A$5:$A$200)))-4),"❓ no rule (add to Mapping)"))</f>
        <v/>
      </c>
      <c r="I325" s="79" t="str">
        <f aca="false">IF(B325="","",TEXT(B325,"mmm"))</f>
        <v/>
      </c>
      <c r="J325" s="80" t="str">
        <f aca="false">IF(B325="","",YEAR(B325))</f>
        <v/>
      </c>
    </row>
    <row r="326" customFormat="false" ht="18" hidden="false" customHeight="true" outlineLevel="0" collapsed="false">
      <c r="A326" s="81" t="n">
        <v>321</v>
      </c>
      <c r="B326" s="95"/>
      <c r="C326" s="96"/>
      <c r="D326" s="96" t="str">
        <f aca="false">IF(C326="","",IF(OR(ISNUMBER(SEARCH("PAYROLL",UPPER(C326))),ISNUMBER(SEARCH("PAYCHECK",UPPER(C326))),ISNUMBER(SEARCH("DEPOSIT",UPPER(C326)))),"Income",IF(ISNUMBER(SEARCH("TRANSFER",UPPER(C326))),"Transfer","Expense")))</f>
        <v/>
      </c>
      <c r="E326" s="97" t="str">
        <f aca="false">IF(C326="","",IFERROR(INDEX(Mapping!$B$5:$B$200,SUMPRODUCT(MAX((ISNUMBER(SEARCH(Mapping!$A$5:$A$200,UPPER(C326&amp;""))))*ROW(Mapping!$A$5:$A$200)))-4),""))</f>
        <v/>
      </c>
      <c r="F326" s="98"/>
      <c r="G326" s="99" t="n">
        <f aca="false">IF(F326="",G325,G325+IF(D326="Income",F326,IF(D326="Expense",-F326,F326)))</f>
        <v>3408.09</v>
      </c>
      <c r="H326" s="100" t="str">
        <f aca="false">IF(C326="","",IFERROR(INDEX(Mapping!$A$5:$A$200,SUMPRODUCT(MAX((ISNUMBER(SEARCH(Mapping!$A$5:$A$200,UPPER(C326&amp;""))))*ROW(Mapping!$A$5:$A$200)))-4)&amp;" → "&amp;INDEX(Mapping!$B$5:$B$200,SUMPRODUCT(MAX((ISNUMBER(SEARCH(Mapping!$A$5:$A$200,UPPER(C326&amp;""))))*ROW(Mapping!$A$5:$A$200)))-4),"❓ no rule (add to Mapping)"))</f>
        <v/>
      </c>
      <c r="I326" s="79" t="str">
        <f aca="false">IF(B326="","",TEXT(B326,"mmm"))</f>
        <v/>
      </c>
      <c r="J326" s="80" t="str">
        <f aca="false">IF(B326="","",YEAR(B326))</f>
        <v/>
      </c>
    </row>
    <row r="327" customFormat="false" ht="18" hidden="false" customHeight="true" outlineLevel="0" collapsed="false">
      <c r="A327" s="81" t="n">
        <v>322</v>
      </c>
      <c r="B327" s="95"/>
      <c r="C327" s="96"/>
      <c r="D327" s="96" t="str">
        <f aca="false">IF(C327="","",IF(OR(ISNUMBER(SEARCH("PAYROLL",UPPER(C327))),ISNUMBER(SEARCH("PAYCHECK",UPPER(C327))),ISNUMBER(SEARCH("DEPOSIT",UPPER(C327)))),"Income",IF(ISNUMBER(SEARCH("TRANSFER",UPPER(C327))),"Transfer","Expense")))</f>
        <v/>
      </c>
      <c r="E327" s="97" t="str">
        <f aca="false">IF(C327="","",IFERROR(INDEX(Mapping!$B$5:$B$200,SUMPRODUCT(MAX((ISNUMBER(SEARCH(Mapping!$A$5:$A$200,UPPER(C327&amp;""))))*ROW(Mapping!$A$5:$A$200)))-4),""))</f>
        <v/>
      </c>
      <c r="F327" s="98"/>
      <c r="G327" s="99" t="n">
        <f aca="false">IF(F327="",G326,G326+IF(D327="Income",F327,IF(D327="Expense",-F327,F327)))</f>
        <v>3408.09</v>
      </c>
      <c r="H327" s="100" t="str">
        <f aca="false">IF(C327="","",IFERROR(INDEX(Mapping!$A$5:$A$200,SUMPRODUCT(MAX((ISNUMBER(SEARCH(Mapping!$A$5:$A$200,UPPER(C327&amp;""))))*ROW(Mapping!$A$5:$A$200)))-4)&amp;" → "&amp;INDEX(Mapping!$B$5:$B$200,SUMPRODUCT(MAX((ISNUMBER(SEARCH(Mapping!$A$5:$A$200,UPPER(C327&amp;""))))*ROW(Mapping!$A$5:$A$200)))-4),"❓ no rule (add to Mapping)"))</f>
        <v/>
      </c>
      <c r="I327" s="79" t="str">
        <f aca="false">IF(B327="","",TEXT(B327,"mmm"))</f>
        <v/>
      </c>
      <c r="J327" s="80" t="str">
        <f aca="false">IF(B327="","",YEAR(B327))</f>
        <v/>
      </c>
    </row>
    <row r="328" customFormat="false" ht="18" hidden="false" customHeight="true" outlineLevel="0" collapsed="false">
      <c r="A328" s="81" t="n">
        <v>323</v>
      </c>
      <c r="B328" s="95"/>
      <c r="C328" s="96"/>
      <c r="D328" s="96" t="str">
        <f aca="false">IF(C328="","",IF(OR(ISNUMBER(SEARCH("PAYROLL",UPPER(C328))),ISNUMBER(SEARCH("PAYCHECK",UPPER(C328))),ISNUMBER(SEARCH("DEPOSIT",UPPER(C328)))),"Income",IF(ISNUMBER(SEARCH("TRANSFER",UPPER(C328))),"Transfer","Expense")))</f>
        <v/>
      </c>
      <c r="E328" s="97" t="str">
        <f aca="false">IF(C328="","",IFERROR(INDEX(Mapping!$B$5:$B$200,SUMPRODUCT(MAX((ISNUMBER(SEARCH(Mapping!$A$5:$A$200,UPPER(C328&amp;""))))*ROW(Mapping!$A$5:$A$200)))-4),""))</f>
        <v/>
      </c>
      <c r="F328" s="98"/>
      <c r="G328" s="99" t="n">
        <f aca="false">IF(F328="",G327,G327+IF(D328="Income",F328,IF(D328="Expense",-F328,F328)))</f>
        <v>3408.09</v>
      </c>
      <c r="H328" s="100" t="str">
        <f aca="false">IF(C328="","",IFERROR(INDEX(Mapping!$A$5:$A$200,SUMPRODUCT(MAX((ISNUMBER(SEARCH(Mapping!$A$5:$A$200,UPPER(C328&amp;""))))*ROW(Mapping!$A$5:$A$200)))-4)&amp;" → "&amp;INDEX(Mapping!$B$5:$B$200,SUMPRODUCT(MAX((ISNUMBER(SEARCH(Mapping!$A$5:$A$200,UPPER(C328&amp;""))))*ROW(Mapping!$A$5:$A$200)))-4),"❓ no rule (add to Mapping)"))</f>
        <v/>
      </c>
      <c r="I328" s="79" t="str">
        <f aca="false">IF(B328="","",TEXT(B328,"mmm"))</f>
        <v/>
      </c>
      <c r="J328" s="80" t="str">
        <f aca="false">IF(B328="","",YEAR(B328))</f>
        <v/>
      </c>
    </row>
    <row r="329" customFormat="false" ht="18" hidden="false" customHeight="true" outlineLevel="0" collapsed="false">
      <c r="A329" s="81" t="n">
        <v>324</v>
      </c>
      <c r="B329" s="95"/>
      <c r="C329" s="96"/>
      <c r="D329" s="96" t="str">
        <f aca="false">IF(C329="","",IF(OR(ISNUMBER(SEARCH("PAYROLL",UPPER(C329))),ISNUMBER(SEARCH("PAYCHECK",UPPER(C329))),ISNUMBER(SEARCH("DEPOSIT",UPPER(C329)))),"Income",IF(ISNUMBER(SEARCH("TRANSFER",UPPER(C329))),"Transfer","Expense")))</f>
        <v/>
      </c>
      <c r="E329" s="97" t="str">
        <f aca="false">IF(C329="","",IFERROR(INDEX(Mapping!$B$5:$B$200,SUMPRODUCT(MAX((ISNUMBER(SEARCH(Mapping!$A$5:$A$200,UPPER(C329&amp;""))))*ROW(Mapping!$A$5:$A$200)))-4),""))</f>
        <v/>
      </c>
      <c r="F329" s="98"/>
      <c r="G329" s="99" t="n">
        <f aca="false">IF(F329="",G328,G328+IF(D329="Income",F329,IF(D329="Expense",-F329,F329)))</f>
        <v>3408.09</v>
      </c>
      <c r="H329" s="100" t="str">
        <f aca="false">IF(C329="","",IFERROR(INDEX(Mapping!$A$5:$A$200,SUMPRODUCT(MAX((ISNUMBER(SEARCH(Mapping!$A$5:$A$200,UPPER(C329&amp;""))))*ROW(Mapping!$A$5:$A$200)))-4)&amp;" → "&amp;INDEX(Mapping!$B$5:$B$200,SUMPRODUCT(MAX((ISNUMBER(SEARCH(Mapping!$A$5:$A$200,UPPER(C329&amp;""))))*ROW(Mapping!$A$5:$A$200)))-4),"❓ no rule (add to Mapping)"))</f>
        <v/>
      </c>
      <c r="I329" s="79" t="str">
        <f aca="false">IF(B329="","",TEXT(B329,"mmm"))</f>
        <v/>
      </c>
      <c r="J329" s="80" t="str">
        <f aca="false">IF(B329="","",YEAR(B329))</f>
        <v/>
      </c>
    </row>
    <row r="330" customFormat="false" ht="18" hidden="false" customHeight="true" outlineLevel="0" collapsed="false">
      <c r="A330" s="81" t="n">
        <v>325</v>
      </c>
      <c r="B330" s="95"/>
      <c r="C330" s="96"/>
      <c r="D330" s="96" t="str">
        <f aca="false">IF(C330="","",IF(OR(ISNUMBER(SEARCH("PAYROLL",UPPER(C330))),ISNUMBER(SEARCH("PAYCHECK",UPPER(C330))),ISNUMBER(SEARCH("DEPOSIT",UPPER(C330)))),"Income",IF(ISNUMBER(SEARCH("TRANSFER",UPPER(C330))),"Transfer","Expense")))</f>
        <v/>
      </c>
      <c r="E330" s="97" t="str">
        <f aca="false">IF(C330="","",IFERROR(INDEX(Mapping!$B$5:$B$200,SUMPRODUCT(MAX((ISNUMBER(SEARCH(Mapping!$A$5:$A$200,UPPER(C330&amp;""))))*ROW(Mapping!$A$5:$A$200)))-4),""))</f>
        <v/>
      </c>
      <c r="F330" s="98"/>
      <c r="G330" s="99" t="n">
        <f aca="false">IF(F330="",G329,G329+IF(D330="Income",F330,IF(D330="Expense",-F330,F330)))</f>
        <v>3408.09</v>
      </c>
      <c r="H330" s="100" t="str">
        <f aca="false">IF(C330="","",IFERROR(INDEX(Mapping!$A$5:$A$200,SUMPRODUCT(MAX((ISNUMBER(SEARCH(Mapping!$A$5:$A$200,UPPER(C330&amp;""))))*ROW(Mapping!$A$5:$A$200)))-4)&amp;" → "&amp;INDEX(Mapping!$B$5:$B$200,SUMPRODUCT(MAX((ISNUMBER(SEARCH(Mapping!$A$5:$A$200,UPPER(C330&amp;""))))*ROW(Mapping!$A$5:$A$200)))-4),"❓ no rule (add to Mapping)"))</f>
        <v/>
      </c>
      <c r="I330" s="79" t="str">
        <f aca="false">IF(B330="","",TEXT(B330,"mmm"))</f>
        <v/>
      </c>
      <c r="J330" s="80" t="str">
        <f aca="false">IF(B330="","",YEAR(B330))</f>
        <v/>
      </c>
    </row>
    <row r="331" customFormat="false" ht="18" hidden="false" customHeight="true" outlineLevel="0" collapsed="false">
      <c r="A331" s="81" t="n">
        <v>326</v>
      </c>
      <c r="B331" s="95"/>
      <c r="C331" s="96"/>
      <c r="D331" s="96" t="str">
        <f aca="false">IF(C331="","",IF(OR(ISNUMBER(SEARCH("PAYROLL",UPPER(C331))),ISNUMBER(SEARCH("PAYCHECK",UPPER(C331))),ISNUMBER(SEARCH("DEPOSIT",UPPER(C331)))),"Income",IF(ISNUMBER(SEARCH("TRANSFER",UPPER(C331))),"Transfer","Expense")))</f>
        <v/>
      </c>
      <c r="E331" s="97" t="str">
        <f aca="false">IF(C331="","",IFERROR(INDEX(Mapping!$B$5:$B$200,SUMPRODUCT(MAX((ISNUMBER(SEARCH(Mapping!$A$5:$A$200,UPPER(C331&amp;""))))*ROW(Mapping!$A$5:$A$200)))-4),""))</f>
        <v/>
      </c>
      <c r="F331" s="98"/>
      <c r="G331" s="99" t="n">
        <f aca="false">IF(F331="",G330,G330+IF(D331="Income",F331,IF(D331="Expense",-F331,F331)))</f>
        <v>3408.09</v>
      </c>
      <c r="H331" s="100" t="str">
        <f aca="false">IF(C331="","",IFERROR(INDEX(Mapping!$A$5:$A$200,SUMPRODUCT(MAX((ISNUMBER(SEARCH(Mapping!$A$5:$A$200,UPPER(C331&amp;""))))*ROW(Mapping!$A$5:$A$200)))-4)&amp;" → "&amp;INDEX(Mapping!$B$5:$B$200,SUMPRODUCT(MAX((ISNUMBER(SEARCH(Mapping!$A$5:$A$200,UPPER(C331&amp;""))))*ROW(Mapping!$A$5:$A$200)))-4),"❓ no rule (add to Mapping)"))</f>
        <v/>
      </c>
      <c r="I331" s="79" t="str">
        <f aca="false">IF(B331="","",TEXT(B331,"mmm"))</f>
        <v/>
      </c>
      <c r="J331" s="80" t="str">
        <f aca="false">IF(B331="","",YEAR(B331))</f>
        <v/>
      </c>
    </row>
    <row r="332" customFormat="false" ht="18" hidden="false" customHeight="true" outlineLevel="0" collapsed="false">
      <c r="A332" s="81" t="n">
        <v>327</v>
      </c>
      <c r="B332" s="95"/>
      <c r="C332" s="96"/>
      <c r="D332" s="96" t="str">
        <f aca="false">IF(C332="","",IF(OR(ISNUMBER(SEARCH("PAYROLL",UPPER(C332))),ISNUMBER(SEARCH("PAYCHECK",UPPER(C332))),ISNUMBER(SEARCH("DEPOSIT",UPPER(C332)))),"Income",IF(ISNUMBER(SEARCH("TRANSFER",UPPER(C332))),"Transfer","Expense")))</f>
        <v/>
      </c>
      <c r="E332" s="97" t="str">
        <f aca="false">IF(C332="","",IFERROR(INDEX(Mapping!$B$5:$B$200,SUMPRODUCT(MAX((ISNUMBER(SEARCH(Mapping!$A$5:$A$200,UPPER(C332&amp;""))))*ROW(Mapping!$A$5:$A$200)))-4),""))</f>
        <v/>
      </c>
      <c r="F332" s="98"/>
      <c r="G332" s="99" t="n">
        <f aca="false">IF(F332="",G331,G331+IF(D332="Income",F332,IF(D332="Expense",-F332,F332)))</f>
        <v>3408.09</v>
      </c>
      <c r="H332" s="100" t="str">
        <f aca="false">IF(C332="","",IFERROR(INDEX(Mapping!$A$5:$A$200,SUMPRODUCT(MAX((ISNUMBER(SEARCH(Mapping!$A$5:$A$200,UPPER(C332&amp;""))))*ROW(Mapping!$A$5:$A$200)))-4)&amp;" → "&amp;INDEX(Mapping!$B$5:$B$200,SUMPRODUCT(MAX((ISNUMBER(SEARCH(Mapping!$A$5:$A$200,UPPER(C332&amp;""))))*ROW(Mapping!$A$5:$A$200)))-4),"❓ no rule (add to Mapping)"))</f>
        <v/>
      </c>
      <c r="I332" s="79" t="str">
        <f aca="false">IF(B332="","",TEXT(B332,"mmm"))</f>
        <v/>
      </c>
      <c r="J332" s="80" t="str">
        <f aca="false">IF(B332="","",YEAR(B332))</f>
        <v/>
      </c>
    </row>
    <row r="333" customFormat="false" ht="18" hidden="false" customHeight="true" outlineLevel="0" collapsed="false">
      <c r="A333" s="81" t="n">
        <v>328</v>
      </c>
      <c r="B333" s="95"/>
      <c r="C333" s="96"/>
      <c r="D333" s="96" t="str">
        <f aca="false">IF(C333="","",IF(OR(ISNUMBER(SEARCH("PAYROLL",UPPER(C333))),ISNUMBER(SEARCH("PAYCHECK",UPPER(C333))),ISNUMBER(SEARCH("DEPOSIT",UPPER(C333)))),"Income",IF(ISNUMBER(SEARCH("TRANSFER",UPPER(C333))),"Transfer","Expense")))</f>
        <v/>
      </c>
      <c r="E333" s="97" t="str">
        <f aca="false">IF(C333="","",IFERROR(INDEX(Mapping!$B$5:$B$200,SUMPRODUCT(MAX((ISNUMBER(SEARCH(Mapping!$A$5:$A$200,UPPER(C333&amp;""))))*ROW(Mapping!$A$5:$A$200)))-4),""))</f>
        <v/>
      </c>
      <c r="F333" s="98"/>
      <c r="G333" s="99" t="n">
        <f aca="false">IF(F333="",G332,G332+IF(D333="Income",F333,IF(D333="Expense",-F333,F333)))</f>
        <v>3408.09</v>
      </c>
      <c r="H333" s="100" t="str">
        <f aca="false">IF(C333="","",IFERROR(INDEX(Mapping!$A$5:$A$200,SUMPRODUCT(MAX((ISNUMBER(SEARCH(Mapping!$A$5:$A$200,UPPER(C333&amp;""))))*ROW(Mapping!$A$5:$A$200)))-4)&amp;" → "&amp;INDEX(Mapping!$B$5:$B$200,SUMPRODUCT(MAX((ISNUMBER(SEARCH(Mapping!$A$5:$A$200,UPPER(C333&amp;""))))*ROW(Mapping!$A$5:$A$200)))-4),"❓ no rule (add to Mapping)"))</f>
        <v/>
      </c>
      <c r="I333" s="79" t="str">
        <f aca="false">IF(B333="","",TEXT(B333,"mmm"))</f>
        <v/>
      </c>
      <c r="J333" s="80" t="str">
        <f aca="false">IF(B333="","",YEAR(B333))</f>
        <v/>
      </c>
    </row>
    <row r="334" customFormat="false" ht="18" hidden="false" customHeight="true" outlineLevel="0" collapsed="false">
      <c r="A334" s="81" t="n">
        <v>329</v>
      </c>
      <c r="B334" s="95"/>
      <c r="C334" s="96"/>
      <c r="D334" s="96" t="str">
        <f aca="false">IF(C334="","",IF(OR(ISNUMBER(SEARCH("PAYROLL",UPPER(C334))),ISNUMBER(SEARCH("PAYCHECK",UPPER(C334))),ISNUMBER(SEARCH("DEPOSIT",UPPER(C334)))),"Income",IF(ISNUMBER(SEARCH("TRANSFER",UPPER(C334))),"Transfer","Expense")))</f>
        <v/>
      </c>
      <c r="E334" s="97" t="str">
        <f aca="false">IF(C334="","",IFERROR(INDEX(Mapping!$B$5:$B$200,SUMPRODUCT(MAX((ISNUMBER(SEARCH(Mapping!$A$5:$A$200,UPPER(C334&amp;""))))*ROW(Mapping!$A$5:$A$200)))-4),""))</f>
        <v/>
      </c>
      <c r="F334" s="98"/>
      <c r="G334" s="99" t="n">
        <f aca="false">IF(F334="",G333,G333+IF(D334="Income",F334,IF(D334="Expense",-F334,F334)))</f>
        <v>3408.09</v>
      </c>
      <c r="H334" s="100" t="str">
        <f aca="false">IF(C334="","",IFERROR(INDEX(Mapping!$A$5:$A$200,SUMPRODUCT(MAX((ISNUMBER(SEARCH(Mapping!$A$5:$A$200,UPPER(C334&amp;""))))*ROW(Mapping!$A$5:$A$200)))-4)&amp;" → "&amp;INDEX(Mapping!$B$5:$B$200,SUMPRODUCT(MAX((ISNUMBER(SEARCH(Mapping!$A$5:$A$200,UPPER(C334&amp;""))))*ROW(Mapping!$A$5:$A$200)))-4),"❓ no rule (add to Mapping)"))</f>
        <v/>
      </c>
      <c r="I334" s="79" t="str">
        <f aca="false">IF(B334="","",TEXT(B334,"mmm"))</f>
        <v/>
      </c>
      <c r="J334" s="80" t="str">
        <f aca="false">IF(B334="","",YEAR(B334))</f>
        <v/>
      </c>
    </row>
    <row r="335" customFormat="false" ht="18" hidden="false" customHeight="true" outlineLevel="0" collapsed="false">
      <c r="A335" s="81" t="n">
        <v>330</v>
      </c>
      <c r="B335" s="95"/>
      <c r="C335" s="96"/>
      <c r="D335" s="96" t="str">
        <f aca="false">IF(C335="","",IF(OR(ISNUMBER(SEARCH("PAYROLL",UPPER(C335))),ISNUMBER(SEARCH("PAYCHECK",UPPER(C335))),ISNUMBER(SEARCH("DEPOSIT",UPPER(C335)))),"Income",IF(ISNUMBER(SEARCH("TRANSFER",UPPER(C335))),"Transfer","Expense")))</f>
        <v/>
      </c>
      <c r="E335" s="97" t="str">
        <f aca="false">IF(C335="","",IFERROR(INDEX(Mapping!$B$5:$B$200,SUMPRODUCT(MAX((ISNUMBER(SEARCH(Mapping!$A$5:$A$200,UPPER(C335&amp;""))))*ROW(Mapping!$A$5:$A$200)))-4),""))</f>
        <v/>
      </c>
      <c r="F335" s="98"/>
      <c r="G335" s="99" t="n">
        <f aca="false">IF(F335="",G334,G334+IF(D335="Income",F335,IF(D335="Expense",-F335,F335)))</f>
        <v>3408.09</v>
      </c>
      <c r="H335" s="100" t="str">
        <f aca="false">IF(C335="","",IFERROR(INDEX(Mapping!$A$5:$A$200,SUMPRODUCT(MAX((ISNUMBER(SEARCH(Mapping!$A$5:$A$200,UPPER(C335&amp;""))))*ROW(Mapping!$A$5:$A$200)))-4)&amp;" → "&amp;INDEX(Mapping!$B$5:$B$200,SUMPRODUCT(MAX((ISNUMBER(SEARCH(Mapping!$A$5:$A$200,UPPER(C335&amp;""))))*ROW(Mapping!$A$5:$A$200)))-4),"❓ no rule (add to Mapping)"))</f>
        <v/>
      </c>
      <c r="I335" s="79" t="str">
        <f aca="false">IF(B335="","",TEXT(B335,"mmm"))</f>
        <v/>
      </c>
      <c r="J335" s="80" t="str">
        <f aca="false">IF(B335="","",YEAR(B335))</f>
        <v/>
      </c>
    </row>
    <row r="336" customFormat="false" ht="18" hidden="false" customHeight="true" outlineLevel="0" collapsed="false">
      <c r="A336" s="81" t="n">
        <v>331</v>
      </c>
      <c r="B336" s="95"/>
      <c r="C336" s="96"/>
      <c r="D336" s="96" t="str">
        <f aca="false">IF(C336="","",IF(OR(ISNUMBER(SEARCH("PAYROLL",UPPER(C336))),ISNUMBER(SEARCH("PAYCHECK",UPPER(C336))),ISNUMBER(SEARCH("DEPOSIT",UPPER(C336)))),"Income",IF(ISNUMBER(SEARCH("TRANSFER",UPPER(C336))),"Transfer","Expense")))</f>
        <v/>
      </c>
      <c r="E336" s="97" t="str">
        <f aca="false">IF(C336="","",IFERROR(INDEX(Mapping!$B$5:$B$200,SUMPRODUCT(MAX((ISNUMBER(SEARCH(Mapping!$A$5:$A$200,UPPER(C336&amp;""))))*ROW(Mapping!$A$5:$A$200)))-4),""))</f>
        <v/>
      </c>
      <c r="F336" s="98"/>
      <c r="G336" s="99" t="n">
        <f aca="false">IF(F336="",G335,G335+IF(D336="Income",F336,IF(D336="Expense",-F336,F336)))</f>
        <v>3408.09</v>
      </c>
      <c r="H336" s="100" t="str">
        <f aca="false">IF(C336="","",IFERROR(INDEX(Mapping!$A$5:$A$200,SUMPRODUCT(MAX((ISNUMBER(SEARCH(Mapping!$A$5:$A$200,UPPER(C336&amp;""))))*ROW(Mapping!$A$5:$A$200)))-4)&amp;" → "&amp;INDEX(Mapping!$B$5:$B$200,SUMPRODUCT(MAX((ISNUMBER(SEARCH(Mapping!$A$5:$A$200,UPPER(C336&amp;""))))*ROW(Mapping!$A$5:$A$200)))-4),"❓ no rule (add to Mapping)"))</f>
        <v/>
      </c>
      <c r="I336" s="79" t="str">
        <f aca="false">IF(B336="","",TEXT(B336,"mmm"))</f>
        <v/>
      </c>
      <c r="J336" s="80" t="str">
        <f aca="false">IF(B336="","",YEAR(B336))</f>
        <v/>
      </c>
    </row>
    <row r="337" customFormat="false" ht="18" hidden="false" customHeight="true" outlineLevel="0" collapsed="false">
      <c r="A337" s="81" t="n">
        <v>332</v>
      </c>
      <c r="B337" s="95"/>
      <c r="C337" s="96"/>
      <c r="D337" s="96" t="str">
        <f aca="false">IF(C337="","",IF(OR(ISNUMBER(SEARCH("PAYROLL",UPPER(C337))),ISNUMBER(SEARCH("PAYCHECK",UPPER(C337))),ISNUMBER(SEARCH("DEPOSIT",UPPER(C337)))),"Income",IF(ISNUMBER(SEARCH("TRANSFER",UPPER(C337))),"Transfer","Expense")))</f>
        <v/>
      </c>
      <c r="E337" s="97" t="str">
        <f aca="false">IF(C337="","",IFERROR(INDEX(Mapping!$B$5:$B$200,SUMPRODUCT(MAX((ISNUMBER(SEARCH(Mapping!$A$5:$A$200,UPPER(C337&amp;""))))*ROW(Mapping!$A$5:$A$200)))-4),""))</f>
        <v/>
      </c>
      <c r="F337" s="98"/>
      <c r="G337" s="99" t="n">
        <f aca="false">IF(F337="",G336,G336+IF(D337="Income",F337,IF(D337="Expense",-F337,F337)))</f>
        <v>3408.09</v>
      </c>
      <c r="H337" s="100" t="str">
        <f aca="false">IF(C337="","",IFERROR(INDEX(Mapping!$A$5:$A$200,SUMPRODUCT(MAX((ISNUMBER(SEARCH(Mapping!$A$5:$A$200,UPPER(C337&amp;""))))*ROW(Mapping!$A$5:$A$200)))-4)&amp;" → "&amp;INDEX(Mapping!$B$5:$B$200,SUMPRODUCT(MAX((ISNUMBER(SEARCH(Mapping!$A$5:$A$200,UPPER(C337&amp;""))))*ROW(Mapping!$A$5:$A$200)))-4),"❓ no rule (add to Mapping)"))</f>
        <v/>
      </c>
      <c r="I337" s="79" t="str">
        <f aca="false">IF(B337="","",TEXT(B337,"mmm"))</f>
        <v/>
      </c>
      <c r="J337" s="80" t="str">
        <f aca="false">IF(B337="","",YEAR(B337))</f>
        <v/>
      </c>
    </row>
    <row r="338" customFormat="false" ht="18" hidden="false" customHeight="true" outlineLevel="0" collapsed="false">
      <c r="A338" s="81" t="n">
        <v>333</v>
      </c>
      <c r="B338" s="95"/>
      <c r="C338" s="96"/>
      <c r="D338" s="96" t="str">
        <f aca="false">IF(C338="","",IF(OR(ISNUMBER(SEARCH("PAYROLL",UPPER(C338))),ISNUMBER(SEARCH("PAYCHECK",UPPER(C338))),ISNUMBER(SEARCH("DEPOSIT",UPPER(C338)))),"Income",IF(ISNUMBER(SEARCH("TRANSFER",UPPER(C338))),"Transfer","Expense")))</f>
        <v/>
      </c>
      <c r="E338" s="97" t="str">
        <f aca="false">IF(C338="","",IFERROR(INDEX(Mapping!$B$5:$B$200,SUMPRODUCT(MAX((ISNUMBER(SEARCH(Mapping!$A$5:$A$200,UPPER(C338&amp;""))))*ROW(Mapping!$A$5:$A$200)))-4),""))</f>
        <v/>
      </c>
      <c r="F338" s="98"/>
      <c r="G338" s="99" t="n">
        <f aca="false">IF(F338="",G337,G337+IF(D338="Income",F338,IF(D338="Expense",-F338,F338)))</f>
        <v>3408.09</v>
      </c>
      <c r="H338" s="100" t="str">
        <f aca="false">IF(C338="","",IFERROR(INDEX(Mapping!$A$5:$A$200,SUMPRODUCT(MAX((ISNUMBER(SEARCH(Mapping!$A$5:$A$200,UPPER(C338&amp;""))))*ROW(Mapping!$A$5:$A$200)))-4)&amp;" → "&amp;INDEX(Mapping!$B$5:$B$200,SUMPRODUCT(MAX((ISNUMBER(SEARCH(Mapping!$A$5:$A$200,UPPER(C338&amp;""))))*ROW(Mapping!$A$5:$A$200)))-4),"❓ no rule (add to Mapping)"))</f>
        <v/>
      </c>
      <c r="I338" s="79" t="str">
        <f aca="false">IF(B338="","",TEXT(B338,"mmm"))</f>
        <v/>
      </c>
      <c r="J338" s="80" t="str">
        <f aca="false">IF(B338="","",YEAR(B338))</f>
        <v/>
      </c>
    </row>
    <row r="339" customFormat="false" ht="18" hidden="false" customHeight="true" outlineLevel="0" collapsed="false">
      <c r="A339" s="81" t="n">
        <v>334</v>
      </c>
      <c r="B339" s="95"/>
      <c r="C339" s="96"/>
      <c r="D339" s="96" t="str">
        <f aca="false">IF(C339="","",IF(OR(ISNUMBER(SEARCH("PAYROLL",UPPER(C339))),ISNUMBER(SEARCH("PAYCHECK",UPPER(C339))),ISNUMBER(SEARCH("DEPOSIT",UPPER(C339)))),"Income",IF(ISNUMBER(SEARCH("TRANSFER",UPPER(C339))),"Transfer","Expense")))</f>
        <v/>
      </c>
      <c r="E339" s="97" t="str">
        <f aca="false">IF(C339="","",IFERROR(INDEX(Mapping!$B$5:$B$200,SUMPRODUCT(MAX((ISNUMBER(SEARCH(Mapping!$A$5:$A$200,UPPER(C339&amp;""))))*ROW(Mapping!$A$5:$A$200)))-4),""))</f>
        <v/>
      </c>
      <c r="F339" s="98"/>
      <c r="G339" s="99" t="n">
        <f aca="false">IF(F339="",G338,G338+IF(D339="Income",F339,IF(D339="Expense",-F339,F339)))</f>
        <v>3408.09</v>
      </c>
      <c r="H339" s="100" t="str">
        <f aca="false">IF(C339="","",IFERROR(INDEX(Mapping!$A$5:$A$200,SUMPRODUCT(MAX((ISNUMBER(SEARCH(Mapping!$A$5:$A$200,UPPER(C339&amp;""))))*ROW(Mapping!$A$5:$A$200)))-4)&amp;" → "&amp;INDEX(Mapping!$B$5:$B$200,SUMPRODUCT(MAX((ISNUMBER(SEARCH(Mapping!$A$5:$A$200,UPPER(C339&amp;""))))*ROW(Mapping!$A$5:$A$200)))-4),"❓ no rule (add to Mapping)"))</f>
        <v/>
      </c>
      <c r="I339" s="79" t="str">
        <f aca="false">IF(B339="","",TEXT(B339,"mmm"))</f>
        <v/>
      </c>
      <c r="J339" s="80" t="str">
        <f aca="false">IF(B339="","",YEAR(B339))</f>
        <v/>
      </c>
    </row>
    <row r="340" customFormat="false" ht="18" hidden="false" customHeight="true" outlineLevel="0" collapsed="false">
      <c r="A340" s="81" t="n">
        <v>335</v>
      </c>
      <c r="B340" s="95"/>
      <c r="C340" s="96"/>
      <c r="D340" s="96" t="str">
        <f aca="false">IF(C340="","",IF(OR(ISNUMBER(SEARCH("PAYROLL",UPPER(C340))),ISNUMBER(SEARCH("PAYCHECK",UPPER(C340))),ISNUMBER(SEARCH("DEPOSIT",UPPER(C340)))),"Income",IF(ISNUMBER(SEARCH("TRANSFER",UPPER(C340))),"Transfer","Expense")))</f>
        <v/>
      </c>
      <c r="E340" s="97" t="str">
        <f aca="false">IF(C340="","",IFERROR(INDEX(Mapping!$B$5:$B$200,SUMPRODUCT(MAX((ISNUMBER(SEARCH(Mapping!$A$5:$A$200,UPPER(C340&amp;""))))*ROW(Mapping!$A$5:$A$200)))-4),""))</f>
        <v/>
      </c>
      <c r="F340" s="98"/>
      <c r="G340" s="99" t="n">
        <f aca="false">IF(F340="",G339,G339+IF(D340="Income",F340,IF(D340="Expense",-F340,F340)))</f>
        <v>3408.09</v>
      </c>
      <c r="H340" s="100" t="str">
        <f aca="false">IF(C340="","",IFERROR(INDEX(Mapping!$A$5:$A$200,SUMPRODUCT(MAX((ISNUMBER(SEARCH(Mapping!$A$5:$A$200,UPPER(C340&amp;""))))*ROW(Mapping!$A$5:$A$200)))-4)&amp;" → "&amp;INDEX(Mapping!$B$5:$B$200,SUMPRODUCT(MAX((ISNUMBER(SEARCH(Mapping!$A$5:$A$200,UPPER(C340&amp;""))))*ROW(Mapping!$A$5:$A$200)))-4),"❓ no rule (add to Mapping)"))</f>
        <v/>
      </c>
      <c r="I340" s="79" t="str">
        <f aca="false">IF(B340="","",TEXT(B340,"mmm"))</f>
        <v/>
      </c>
      <c r="J340" s="80" t="str">
        <f aca="false">IF(B340="","",YEAR(B340))</f>
        <v/>
      </c>
    </row>
    <row r="341" customFormat="false" ht="18" hidden="false" customHeight="true" outlineLevel="0" collapsed="false">
      <c r="A341" s="81" t="n">
        <v>336</v>
      </c>
      <c r="B341" s="95"/>
      <c r="C341" s="96"/>
      <c r="D341" s="96" t="str">
        <f aca="false">IF(C341="","",IF(OR(ISNUMBER(SEARCH("PAYROLL",UPPER(C341))),ISNUMBER(SEARCH("PAYCHECK",UPPER(C341))),ISNUMBER(SEARCH("DEPOSIT",UPPER(C341)))),"Income",IF(ISNUMBER(SEARCH("TRANSFER",UPPER(C341))),"Transfer","Expense")))</f>
        <v/>
      </c>
      <c r="E341" s="97" t="str">
        <f aca="false">IF(C341="","",IFERROR(INDEX(Mapping!$B$5:$B$200,SUMPRODUCT(MAX((ISNUMBER(SEARCH(Mapping!$A$5:$A$200,UPPER(C341&amp;""))))*ROW(Mapping!$A$5:$A$200)))-4),""))</f>
        <v/>
      </c>
      <c r="F341" s="98"/>
      <c r="G341" s="99" t="n">
        <f aca="false">IF(F341="",G340,G340+IF(D341="Income",F341,IF(D341="Expense",-F341,F341)))</f>
        <v>3408.09</v>
      </c>
      <c r="H341" s="100" t="str">
        <f aca="false">IF(C341="","",IFERROR(INDEX(Mapping!$A$5:$A$200,SUMPRODUCT(MAX((ISNUMBER(SEARCH(Mapping!$A$5:$A$200,UPPER(C341&amp;""))))*ROW(Mapping!$A$5:$A$200)))-4)&amp;" → "&amp;INDEX(Mapping!$B$5:$B$200,SUMPRODUCT(MAX((ISNUMBER(SEARCH(Mapping!$A$5:$A$200,UPPER(C341&amp;""))))*ROW(Mapping!$A$5:$A$200)))-4),"❓ no rule (add to Mapping)"))</f>
        <v/>
      </c>
      <c r="I341" s="79" t="str">
        <f aca="false">IF(B341="","",TEXT(B341,"mmm"))</f>
        <v/>
      </c>
      <c r="J341" s="80" t="str">
        <f aca="false">IF(B341="","",YEAR(B341))</f>
        <v/>
      </c>
    </row>
    <row r="342" customFormat="false" ht="18" hidden="false" customHeight="true" outlineLevel="0" collapsed="false">
      <c r="A342" s="81" t="n">
        <v>337</v>
      </c>
      <c r="B342" s="95"/>
      <c r="C342" s="96"/>
      <c r="D342" s="96" t="str">
        <f aca="false">IF(C342="","",IF(OR(ISNUMBER(SEARCH("PAYROLL",UPPER(C342))),ISNUMBER(SEARCH("PAYCHECK",UPPER(C342))),ISNUMBER(SEARCH("DEPOSIT",UPPER(C342)))),"Income",IF(ISNUMBER(SEARCH("TRANSFER",UPPER(C342))),"Transfer","Expense")))</f>
        <v/>
      </c>
      <c r="E342" s="97" t="str">
        <f aca="false">IF(C342="","",IFERROR(INDEX(Mapping!$B$5:$B$200,SUMPRODUCT(MAX((ISNUMBER(SEARCH(Mapping!$A$5:$A$200,UPPER(C342&amp;""))))*ROW(Mapping!$A$5:$A$200)))-4),""))</f>
        <v/>
      </c>
      <c r="F342" s="98"/>
      <c r="G342" s="99" t="n">
        <f aca="false">IF(F342="",G341,G341+IF(D342="Income",F342,IF(D342="Expense",-F342,F342)))</f>
        <v>3408.09</v>
      </c>
      <c r="H342" s="100" t="str">
        <f aca="false">IF(C342="","",IFERROR(INDEX(Mapping!$A$5:$A$200,SUMPRODUCT(MAX((ISNUMBER(SEARCH(Mapping!$A$5:$A$200,UPPER(C342&amp;""))))*ROW(Mapping!$A$5:$A$200)))-4)&amp;" → "&amp;INDEX(Mapping!$B$5:$B$200,SUMPRODUCT(MAX((ISNUMBER(SEARCH(Mapping!$A$5:$A$200,UPPER(C342&amp;""))))*ROW(Mapping!$A$5:$A$200)))-4),"❓ no rule (add to Mapping)"))</f>
        <v/>
      </c>
      <c r="I342" s="79" t="str">
        <f aca="false">IF(B342="","",TEXT(B342,"mmm"))</f>
        <v/>
      </c>
      <c r="J342" s="80" t="str">
        <f aca="false">IF(B342="","",YEAR(B342))</f>
        <v/>
      </c>
    </row>
    <row r="343" customFormat="false" ht="18" hidden="false" customHeight="true" outlineLevel="0" collapsed="false">
      <c r="A343" s="81" t="n">
        <v>338</v>
      </c>
      <c r="B343" s="95"/>
      <c r="C343" s="96"/>
      <c r="D343" s="96" t="str">
        <f aca="false">IF(C343="","",IF(OR(ISNUMBER(SEARCH("PAYROLL",UPPER(C343))),ISNUMBER(SEARCH("PAYCHECK",UPPER(C343))),ISNUMBER(SEARCH("DEPOSIT",UPPER(C343)))),"Income",IF(ISNUMBER(SEARCH("TRANSFER",UPPER(C343))),"Transfer","Expense")))</f>
        <v/>
      </c>
      <c r="E343" s="97" t="str">
        <f aca="false">IF(C343="","",IFERROR(INDEX(Mapping!$B$5:$B$200,SUMPRODUCT(MAX((ISNUMBER(SEARCH(Mapping!$A$5:$A$200,UPPER(C343&amp;""))))*ROW(Mapping!$A$5:$A$200)))-4),""))</f>
        <v/>
      </c>
      <c r="F343" s="98"/>
      <c r="G343" s="99" t="n">
        <f aca="false">IF(F343="",G342,G342+IF(D343="Income",F343,IF(D343="Expense",-F343,F343)))</f>
        <v>3408.09</v>
      </c>
      <c r="H343" s="100" t="str">
        <f aca="false">IF(C343="","",IFERROR(INDEX(Mapping!$A$5:$A$200,SUMPRODUCT(MAX((ISNUMBER(SEARCH(Mapping!$A$5:$A$200,UPPER(C343&amp;""))))*ROW(Mapping!$A$5:$A$200)))-4)&amp;" → "&amp;INDEX(Mapping!$B$5:$B$200,SUMPRODUCT(MAX((ISNUMBER(SEARCH(Mapping!$A$5:$A$200,UPPER(C343&amp;""))))*ROW(Mapping!$A$5:$A$200)))-4),"❓ no rule (add to Mapping)"))</f>
        <v/>
      </c>
      <c r="I343" s="79" t="str">
        <f aca="false">IF(B343="","",TEXT(B343,"mmm"))</f>
        <v/>
      </c>
      <c r="J343" s="80" t="str">
        <f aca="false">IF(B343="","",YEAR(B343))</f>
        <v/>
      </c>
    </row>
    <row r="344" customFormat="false" ht="18" hidden="false" customHeight="true" outlineLevel="0" collapsed="false">
      <c r="A344" s="81" t="n">
        <v>339</v>
      </c>
      <c r="B344" s="95"/>
      <c r="C344" s="96"/>
      <c r="D344" s="96" t="str">
        <f aca="false">IF(C344="","",IF(OR(ISNUMBER(SEARCH("PAYROLL",UPPER(C344))),ISNUMBER(SEARCH("PAYCHECK",UPPER(C344))),ISNUMBER(SEARCH("DEPOSIT",UPPER(C344)))),"Income",IF(ISNUMBER(SEARCH("TRANSFER",UPPER(C344))),"Transfer","Expense")))</f>
        <v/>
      </c>
      <c r="E344" s="97" t="str">
        <f aca="false">IF(C344="","",IFERROR(INDEX(Mapping!$B$5:$B$200,SUMPRODUCT(MAX((ISNUMBER(SEARCH(Mapping!$A$5:$A$200,UPPER(C344&amp;""))))*ROW(Mapping!$A$5:$A$200)))-4),""))</f>
        <v/>
      </c>
      <c r="F344" s="98"/>
      <c r="G344" s="99" t="n">
        <f aca="false">IF(F344="",G343,G343+IF(D344="Income",F344,IF(D344="Expense",-F344,F344)))</f>
        <v>3408.09</v>
      </c>
      <c r="H344" s="100" t="str">
        <f aca="false">IF(C344="","",IFERROR(INDEX(Mapping!$A$5:$A$200,SUMPRODUCT(MAX((ISNUMBER(SEARCH(Mapping!$A$5:$A$200,UPPER(C344&amp;""))))*ROW(Mapping!$A$5:$A$200)))-4)&amp;" → "&amp;INDEX(Mapping!$B$5:$B$200,SUMPRODUCT(MAX((ISNUMBER(SEARCH(Mapping!$A$5:$A$200,UPPER(C344&amp;""))))*ROW(Mapping!$A$5:$A$200)))-4),"❓ no rule (add to Mapping)"))</f>
        <v/>
      </c>
      <c r="I344" s="79" t="str">
        <f aca="false">IF(B344="","",TEXT(B344,"mmm"))</f>
        <v/>
      </c>
      <c r="J344" s="80" t="str">
        <f aca="false">IF(B344="","",YEAR(B344))</f>
        <v/>
      </c>
    </row>
    <row r="345" customFormat="false" ht="18" hidden="false" customHeight="true" outlineLevel="0" collapsed="false">
      <c r="A345" s="81" t="n">
        <v>340</v>
      </c>
      <c r="B345" s="95"/>
      <c r="C345" s="96"/>
      <c r="D345" s="96" t="str">
        <f aca="false">IF(C345="","",IF(OR(ISNUMBER(SEARCH("PAYROLL",UPPER(C345))),ISNUMBER(SEARCH("PAYCHECK",UPPER(C345))),ISNUMBER(SEARCH("DEPOSIT",UPPER(C345)))),"Income",IF(ISNUMBER(SEARCH("TRANSFER",UPPER(C345))),"Transfer","Expense")))</f>
        <v/>
      </c>
      <c r="E345" s="97" t="str">
        <f aca="false">IF(C345="","",IFERROR(INDEX(Mapping!$B$5:$B$200,SUMPRODUCT(MAX((ISNUMBER(SEARCH(Mapping!$A$5:$A$200,UPPER(C345&amp;""))))*ROW(Mapping!$A$5:$A$200)))-4),""))</f>
        <v/>
      </c>
      <c r="F345" s="98"/>
      <c r="G345" s="99" t="n">
        <f aca="false">IF(F345="",G344,G344+IF(D345="Income",F345,IF(D345="Expense",-F345,F345)))</f>
        <v>3408.09</v>
      </c>
      <c r="H345" s="100" t="str">
        <f aca="false">IF(C345="","",IFERROR(INDEX(Mapping!$A$5:$A$200,SUMPRODUCT(MAX((ISNUMBER(SEARCH(Mapping!$A$5:$A$200,UPPER(C345&amp;""))))*ROW(Mapping!$A$5:$A$200)))-4)&amp;" → "&amp;INDEX(Mapping!$B$5:$B$200,SUMPRODUCT(MAX((ISNUMBER(SEARCH(Mapping!$A$5:$A$200,UPPER(C345&amp;""))))*ROW(Mapping!$A$5:$A$200)))-4),"❓ no rule (add to Mapping)"))</f>
        <v/>
      </c>
      <c r="I345" s="79" t="str">
        <f aca="false">IF(B345="","",TEXT(B345,"mmm"))</f>
        <v/>
      </c>
      <c r="J345" s="80" t="str">
        <f aca="false">IF(B345="","",YEAR(B345))</f>
        <v/>
      </c>
    </row>
    <row r="346" customFormat="false" ht="18" hidden="false" customHeight="true" outlineLevel="0" collapsed="false">
      <c r="A346" s="81" t="n">
        <v>341</v>
      </c>
      <c r="B346" s="95"/>
      <c r="C346" s="96"/>
      <c r="D346" s="96" t="str">
        <f aca="false">IF(C346="","",IF(OR(ISNUMBER(SEARCH("PAYROLL",UPPER(C346))),ISNUMBER(SEARCH("PAYCHECK",UPPER(C346))),ISNUMBER(SEARCH("DEPOSIT",UPPER(C346)))),"Income",IF(ISNUMBER(SEARCH("TRANSFER",UPPER(C346))),"Transfer","Expense")))</f>
        <v/>
      </c>
      <c r="E346" s="97" t="str">
        <f aca="false">IF(C346="","",IFERROR(INDEX(Mapping!$B$5:$B$200,SUMPRODUCT(MAX((ISNUMBER(SEARCH(Mapping!$A$5:$A$200,UPPER(C346&amp;""))))*ROW(Mapping!$A$5:$A$200)))-4),""))</f>
        <v/>
      </c>
      <c r="F346" s="98"/>
      <c r="G346" s="99" t="n">
        <f aca="false">IF(F346="",G345,G345+IF(D346="Income",F346,IF(D346="Expense",-F346,F346)))</f>
        <v>3408.09</v>
      </c>
      <c r="H346" s="100" t="str">
        <f aca="false">IF(C346="","",IFERROR(INDEX(Mapping!$A$5:$A$200,SUMPRODUCT(MAX((ISNUMBER(SEARCH(Mapping!$A$5:$A$200,UPPER(C346&amp;""))))*ROW(Mapping!$A$5:$A$200)))-4)&amp;" → "&amp;INDEX(Mapping!$B$5:$B$200,SUMPRODUCT(MAX((ISNUMBER(SEARCH(Mapping!$A$5:$A$200,UPPER(C346&amp;""))))*ROW(Mapping!$A$5:$A$200)))-4),"❓ no rule (add to Mapping)"))</f>
        <v/>
      </c>
      <c r="I346" s="79" t="str">
        <f aca="false">IF(B346="","",TEXT(B346,"mmm"))</f>
        <v/>
      </c>
      <c r="J346" s="80" t="str">
        <f aca="false">IF(B346="","",YEAR(B346))</f>
        <v/>
      </c>
    </row>
    <row r="347" customFormat="false" ht="18" hidden="false" customHeight="true" outlineLevel="0" collapsed="false">
      <c r="A347" s="81" t="n">
        <v>342</v>
      </c>
      <c r="B347" s="95"/>
      <c r="C347" s="96"/>
      <c r="D347" s="96" t="str">
        <f aca="false">IF(C347="","",IF(OR(ISNUMBER(SEARCH("PAYROLL",UPPER(C347))),ISNUMBER(SEARCH("PAYCHECK",UPPER(C347))),ISNUMBER(SEARCH("DEPOSIT",UPPER(C347)))),"Income",IF(ISNUMBER(SEARCH("TRANSFER",UPPER(C347))),"Transfer","Expense")))</f>
        <v/>
      </c>
      <c r="E347" s="97" t="str">
        <f aca="false">IF(C347="","",IFERROR(INDEX(Mapping!$B$5:$B$200,SUMPRODUCT(MAX((ISNUMBER(SEARCH(Mapping!$A$5:$A$200,UPPER(C347&amp;""))))*ROW(Mapping!$A$5:$A$200)))-4),""))</f>
        <v/>
      </c>
      <c r="F347" s="98"/>
      <c r="G347" s="99" t="n">
        <f aca="false">IF(F347="",G346,G346+IF(D347="Income",F347,IF(D347="Expense",-F347,F347)))</f>
        <v>3408.09</v>
      </c>
      <c r="H347" s="100" t="str">
        <f aca="false">IF(C347="","",IFERROR(INDEX(Mapping!$A$5:$A$200,SUMPRODUCT(MAX((ISNUMBER(SEARCH(Mapping!$A$5:$A$200,UPPER(C347&amp;""))))*ROW(Mapping!$A$5:$A$200)))-4)&amp;" → "&amp;INDEX(Mapping!$B$5:$B$200,SUMPRODUCT(MAX((ISNUMBER(SEARCH(Mapping!$A$5:$A$200,UPPER(C347&amp;""))))*ROW(Mapping!$A$5:$A$200)))-4),"❓ no rule (add to Mapping)"))</f>
        <v/>
      </c>
      <c r="I347" s="79" t="str">
        <f aca="false">IF(B347="","",TEXT(B347,"mmm"))</f>
        <v/>
      </c>
      <c r="J347" s="80" t="str">
        <f aca="false">IF(B347="","",YEAR(B347))</f>
        <v/>
      </c>
    </row>
    <row r="348" customFormat="false" ht="18" hidden="false" customHeight="true" outlineLevel="0" collapsed="false">
      <c r="A348" s="81" t="n">
        <v>343</v>
      </c>
      <c r="B348" s="95"/>
      <c r="C348" s="96"/>
      <c r="D348" s="96" t="str">
        <f aca="false">IF(C348="","",IF(OR(ISNUMBER(SEARCH("PAYROLL",UPPER(C348))),ISNUMBER(SEARCH("PAYCHECK",UPPER(C348))),ISNUMBER(SEARCH("DEPOSIT",UPPER(C348)))),"Income",IF(ISNUMBER(SEARCH("TRANSFER",UPPER(C348))),"Transfer","Expense")))</f>
        <v/>
      </c>
      <c r="E348" s="97" t="str">
        <f aca="false">IF(C348="","",IFERROR(INDEX(Mapping!$B$5:$B$200,SUMPRODUCT(MAX((ISNUMBER(SEARCH(Mapping!$A$5:$A$200,UPPER(C348&amp;""))))*ROW(Mapping!$A$5:$A$200)))-4),""))</f>
        <v/>
      </c>
      <c r="F348" s="98"/>
      <c r="G348" s="99" t="n">
        <f aca="false">IF(F348="",G347,G347+IF(D348="Income",F348,IF(D348="Expense",-F348,F348)))</f>
        <v>3408.09</v>
      </c>
      <c r="H348" s="100" t="str">
        <f aca="false">IF(C348="","",IFERROR(INDEX(Mapping!$A$5:$A$200,SUMPRODUCT(MAX((ISNUMBER(SEARCH(Mapping!$A$5:$A$200,UPPER(C348&amp;""))))*ROW(Mapping!$A$5:$A$200)))-4)&amp;" → "&amp;INDEX(Mapping!$B$5:$B$200,SUMPRODUCT(MAX((ISNUMBER(SEARCH(Mapping!$A$5:$A$200,UPPER(C348&amp;""))))*ROW(Mapping!$A$5:$A$200)))-4),"❓ no rule (add to Mapping)"))</f>
        <v/>
      </c>
      <c r="I348" s="79" t="str">
        <f aca="false">IF(B348="","",TEXT(B348,"mmm"))</f>
        <v/>
      </c>
      <c r="J348" s="80" t="str">
        <f aca="false">IF(B348="","",YEAR(B348))</f>
        <v/>
      </c>
    </row>
    <row r="349" customFormat="false" ht="18" hidden="false" customHeight="true" outlineLevel="0" collapsed="false">
      <c r="A349" s="81" t="n">
        <v>344</v>
      </c>
      <c r="B349" s="95"/>
      <c r="C349" s="96"/>
      <c r="D349" s="96" t="str">
        <f aca="false">IF(C349="","",IF(OR(ISNUMBER(SEARCH("PAYROLL",UPPER(C349))),ISNUMBER(SEARCH("PAYCHECK",UPPER(C349))),ISNUMBER(SEARCH("DEPOSIT",UPPER(C349)))),"Income",IF(ISNUMBER(SEARCH("TRANSFER",UPPER(C349))),"Transfer","Expense")))</f>
        <v/>
      </c>
      <c r="E349" s="97" t="str">
        <f aca="false">IF(C349="","",IFERROR(INDEX(Mapping!$B$5:$B$200,SUMPRODUCT(MAX((ISNUMBER(SEARCH(Mapping!$A$5:$A$200,UPPER(C349&amp;""))))*ROW(Mapping!$A$5:$A$200)))-4),""))</f>
        <v/>
      </c>
      <c r="F349" s="98"/>
      <c r="G349" s="99" t="n">
        <f aca="false">IF(F349="",G348,G348+IF(D349="Income",F349,IF(D349="Expense",-F349,F349)))</f>
        <v>3408.09</v>
      </c>
      <c r="H349" s="100" t="str">
        <f aca="false">IF(C349="","",IFERROR(INDEX(Mapping!$A$5:$A$200,SUMPRODUCT(MAX((ISNUMBER(SEARCH(Mapping!$A$5:$A$200,UPPER(C349&amp;""))))*ROW(Mapping!$A$5:$A$200)))-4)&amp;" → "&amp;INDEX(Mapping!$B$5:$B$200,SUMPRODUCT(MAX((ISNUMBER(SEARCH(Mapping!$A$5:$A$200,UPPER(C349&amp;""))))*ROW(Mapping!$A$5:$A$200)))-4),"❓ no rule (add to Mapping)"))</f>
        <v/>
      </c>
      <c r="I349" s="79" t="str">
        <f aca="false">IF(B349="","",TEXT(B349,"mmm"))</f>
        <v/>
      </c>
      <c r="J349" s="80" t="str">
        <f aca="false">IF(B349="","",YEAR(B349))</f>
        <v/>
      </c>
    </row>
    <row r="350" customFormat="false" ht="18" hidden="false" customHeight="true" outlineLevel="0" collapsed="false">
      <c r="A350" s="81" t="n">
        <v>345</v>
      </c>
      <c r="B350" s="95"/>
      <c r="C350" s="96"/>
      <c r="D350" s="96" t="str">
        <f aca="false">IF(C350="","",IF(OR(ISNUMBER(SEARCH("PAYROLL",UPPER(C350))),ISNUMBER(SEARCH("PAYCHECK",UPPER(C350))),ISNUMBER(SEARCH("DEPOSIT",UPPER(C350)))),"Income",IF(ISNUMBER(SEARCH("TRANSFER",UPPER(C350))),"Transfer","Expense")))</f>
        <v/>
      </c>
      <c r="E350" s="97" t="str">
        <f aca="false">IF(C350="","",IFERROR(INDEX(Mapping!$B$5:$B$200,SUMPRODUCT(MAX((ISNUMBER(SEARCH(Mapping!$A$5:$A$200,UPPER(C350&amp;""))))*ROW(Mapping!$A$5:$A$200)))-4),""))</f>
        <v/>
      </c>
      <c r="F350" s="98"/>
      <c r="G350" s="99" t="n">
        <f aca="false">IF(F350="",G349,G349+IF(D350="Income",F350,IF(D350="Expense",-F350,F350)))</f>
        <v>3408.09</v>
      </c>
      <c r="H350" s="100" t="str">
        <f aca="false">IF(C350="","",IFERROR(INDEX(Mapping!$A$5:$A$200,SUMPRODUCT(MAX((ISNUMBER(SEARCH(Mapping!$A$5:$A$200,UPPER(C350&amp;""))))*ROW(Mapping!$A$5:$A$200)))-4)&amp;" → "&amp;INDEX(Mapping!$B$5:$B$200,SUMPRODUCT(MAX((ISNUMBER(SEARCH(Mapping!$A$5:$A$200,UPPER(C350&amp;""))))*ROW(Mapping!$A$5:$A$200)))-4),"❓ no rule (add to Mapping)"))</f>
        <v/>
      </c>
      <c r="I350" s="79" t="str">
        <f aca="false">IF(B350="","",TEXT(B350,"mmm"))</f>
        <v/>
      </c>
      <c r="J350" s="80" t="str">
        <f aca="false">IF(B350="","",YEAR(B350))</f>
        <v/>
      </c>
    </row>
    <row r="351" customFormat="false" ht="18" hidden="false" customHeight="true" outlineLevel="0" collapsed="false">
      <c r="A351" s="81" t="n">
        <v>346</v>
      </c>
      <c r="B351" s="95"/>
      <c r="C351" s="96"/>
      <c r="D351" s="96" t="str">
        <f aca="false">IF(C351="","",IF(OR(ISNUMBER(SEARCH("PAYROLL",UPPER(C351))),ISNUMBER(SEARCH("PAYCHECK",UPPER(C351))),ISNUMBER(SEARCH("DEPOSIT",UPPER(C351)))),"Income",IF(ISNUMBER(SEARCH("TRANSFER",UPPER(C351))),"Transfer","Expense")))</f>
        <v/>
      </c>
      <c r="E351" s="97" t="str">
        <f aca="false">IF(C351="","",IFERROR(INDEX(Mapping!$B$5:$B$200,SUMPRODUCT(MAX((ISNUMBER(SEARCH(Mapping!$A$5:$A$200,UPPER(C351&amp;""))))*ROW(Mapping!$A$5:$A$200)))-4),""))</f>
        <v/>
      </c>
      <c r="F351" s="98"/>
      <c r="G351" s="99" t="n">
        <f aca="false">IF(F351="",G350,G350+IF(D351="Income",F351,IF(D351="Expense",-F351,F351)))</f>
        <v>3408.09</v>
      </c>
      <c r="H351" s="100" t="str">
        <f aca="false">IF(C351="","",IFERROR(INDEX(Mapping!$A$5:$A$200,SUMPRODUCT(MAX((ISNUMBER(SEARCH(Mapping!$A$5:$A$200,UPPER(C351&amp;""))))*ROW(Mapping!$A$5:$A$200)))-4)&amp;" → "&amp;INDEX(Mapping!$B$5:$B$200,SUMPRODUCT(MAX((ISNUMBER(SEARCH(Mapping!$A$5:$A$200,UPPER(C351&amp;""))))*ROW(Mapping!$A$5:$A$200)))-4),"❓ no rule (add to Mapping)"))</f>
        <v/>
      </c>
      <c r="I351" s="79" t="str">
        <f aca="false">IF(B351="","",TEXT(B351,"mmm"))</f>
        <v/>
      </c>
      <c r="J351" s="80" t="str">
        <f aca="false">IF(B351="","",YEAR(B351))</f>
        <v/>
      </c>
    </row>
    <row r="352" customFormat="false" ht="18" hidden="false" customHeight="true" outlineLevel="0" collapsed="false">
      <c r="A352" s="81" t="n">
        <v>347</v>
      </c>
      <c r="B352" s="95"/>
      <c r="C352" s="96"/>
      <c r="D352" s="96" t="str">
        <f aca="false">IF(C352="","",IF(OR(ISNUMBER(SEARCH("PAYROLL",UPPER(C352))),ISNUMBER(SEARCH("PAYCHECK",UPPER(C352))),ISNUMBER(SEARCH("DEPOSIT",UPPER(C352)))),"Income",IF(ISNUMBER(SEARCH("TRANSFER",UPPER(C352))),"Transfer","Expense")))</f>
        <v/>
      </c>
      <c r="E352" s="97" t="str">
        <f aca="false">IF(C352="","",IFERROR(INDEX(Mapping!$B$5:$B$200,SUMPRODUCT(MAX((ISNUMBER(SEARCH(Mapping!$A$5:$A$200,UPPER(C352&amp;""))))*ROW(Mapping!$A$5:$A$200)))-4),""))</f>
        <v/>
      </c>
      <c r="F352" s="98"/>
      <c r="G352" s="99" t="n">
        <f aca="false">IF(F352="",G351,G351+IF(D352="Income",F352,IF(D352="Expense",-F352,F352)))</f>
        <v>3408.09</v>
      </c>
      <c r="H352" s="100" t="str">
        <f aca="false">IF(C352="","",IFERROR(INDEX(Mapping!$A$5:$A$200,SUMPRODUCT(MAX((ISNUMBER(SEARCH(Mapping!$A$5:$A$200,UPPER(C352&amp;""))))*ROW(Mapping!$A$5:$A$200)))-4)&amp;" → "&amp;INDEX(Mapping!$B$5:$B$200,SUMPRODUCT(MAX((ISNUMBER(SEARCH(Mapping!$A$5:$A$200,UPPER(C352&amp;""))))*ROW(Mapping!$A$5:$A$200)))-4),"❓ no rule (add to Mapping)"))</f>
        <v/>
      </c>
      <c r="I352" s="79" t="str">
        <f aca="false">IF(B352="","",TEXT(B352,"mmm"))</f>
        <v/>
      </c>
      <c r="J352" s="80" t="str">
        <f aca="false">IF(B352="","",YEAR(B352))</f>
        <v/>
      </c>
    </row>
    <row r="353" customFormat="false" ht="18" hidden="false" customHeight="true" outlineLevel="0" collapsed="false">
      <c r="A353" s="81" t="n">
        <v>348</v>
      </c>
      <c r="B353" s="95"/>
      <c r="C353" s="96"/>
      <c r="D353" s="96" t="str">
        <f aca="false">IF(C353="","",IF(OR(ISNUMBER(SEARCH("PAYROLL",UPPER(C353))),ISNUMBER(SEARCH("PAYCHECK",UPPER(C353))),ISNUMBER(SEARCH("DEPOSIT",UPPER(C353)))),"Income",IF(ISNUMBER(SEARCH("TRANSFER",UPPER(C353))),"Transfer","Expense")))</f>
        <v/>
      </c>
      <c r="E353" s="97" t="str">
        <f aca="false">IF(C353="","",IFERROR(INDEX(Mapping!$B$5:$B$200,SUMPRODUCT(MAX((ISNUMBER(SEARCH(Mapping!$A$5:$A$200,UPPER(C353&amp;""))))*ROW(Mapping!$A$5:$A$200)))-4),""))</f>
        <v/>
      </c>
      <c r="F353" s="98"/>
      <c r="G353" s="99" t="n">
        <f aca="false">IF(F353="",G352,G352+IF(D353="Income",F353,IF(D353="Expense",-F353,F353)))</f>
        <v>3408.09</v>
      </c>
      <c r="H353" s="100" t="str">
        <f aca="false">IF(C353="","",IFERROR(INDEX(Mapping!$A$5:$A$200,SUMPRODUCT(MAX((ISNUMBER(SEARCH(Mapping!$A$5:$A$200,UPPER(C353&amp;""))))*ROW(Mapping!$A$5:$A$200)))-4)&amp;" → "&amp;INDEX(Mapping!$B$5:$B$200,SUMPRODUCT(MAX((ISNUMBER(SEARCH(Mapping!$A$5:$A$200,UPPER(C353&amp;""))))*ROW(Mapping!$A$5:$A$200)))-4),"❓ no rule (add to Mapping)"))</f>
        <v/>
      </c>
      <c r="I353" s="79" t="str">
        <f aca="false">IF(B353="","",TEXT(B353,"mmm"))</f>
        <v/>
      </c>
      <c r="J353" s="80" t="str">
        <f aca="false">IF(B353="","",YEAR(B353))</f>
        <v/>
      </c>
    </row>
    <row r="354" customFormat="false" ht="18" hidden="false" customHeight="true" outlineLevel="0" collapsed="false">
      <c r="A354" s="81" t="n">
        <v>349</v>
      </c>
      <c r="B354" s="95"/>
      <c r="C354" s="96"/>
      <c r="D354" s="96" t="str">
        <f aca="false">IF(C354="","",IF(OR(ISNUMBER(SEARCH("PAYROLL",UPPER(C354))),ISNUMBER(SEARCH("PAYCHECK",UPPER(C354))),ISNUMBER(SEARCH("DEPOSIT",UPPER(C354)))),"Income",IF(ISNUMBER(SEARCH("TRANSFER",UPPER(C354))),"Transfer","Expense")))</f>
        <v/>
      </c>
      <c r="E354" s="97" t="str">
        <f aca="false">IF(C354="","",IFERROR(INDEX(Mapping!$B$5:$B$200,SUMPRODUCT(MAX((ISNUMBER(SEARCH(Mapping!$A$5:$A$200,UPPER(C354&amp;""))))*ROW(Mapping!$A$5:$A$200)))-4),""))</f>
        <v/>
      </c>
      <c r="F354" s="98"/>
      <c r="G354" s="99" t="n">
        <f aca="false">IF(F354="",G353,G353+IF(D354="Income",F354,IF(D354="Expense",-F354,F354)))</f>
        <v>3408.09</v>
      </c>
      <c r="H354" s="100" t="str">
        <f aca="false">IF(C354="","",IFERROR(INDEX(Mapping!$A$5:$A$200,SUMPRODUCT(MAX((ISNUMBER(SEARCH(Mapping!$A$5:$A$200,UPPER(C354&amp;""))))*ROW(Mapping!$A$5:$A$200)))-4)&amp;" → "&amp;INDEX(Mapping!$B$5:$B$200,SUMPRODUCT(MAX((ISNUMBER(SEARCH(Mapping!$A$5:$A$200,UPPER(C354&amp;""))))*ROW(Mapping!$A$5:$A$200)))-4),"❓ no rule (add to Mapping)"))</f>
        <v/>
      </c>
      <c r="I354" s="79" t="str">
        <f aca="false">IF(B354="","",TEXT(B354,"mmm"))</f>
        <v/>
      </c>
      <c r="J354" s="80" t="str">
        <f aca="false">IF(B354="","",YEAR(B354))</f>
        <v/>
      </c>
    </row>
    <row r="355" customFormat="false" ht="18" hidden="false" customHeight="true" outlineLevel="0" collapsed="false">
      <c r="A355" s="81" t="n">
        <v>350</v>
      </c>
      <c r="B355" s="95"/>
      <c r="C355" s="96"/>
      <c r="D355" s="96" t="str">
        <f aca="false">IF(C355="","",IF(OR(ISNUMBER(SEARCH("PAYROLL",UPPER(C355))),ISNUMBER(SEARCH("PAYCHECK",UPPER(C355))),ISNUMBER(SEARCH("DEPOSIT",UPPER(C355)))),"Income",IF(ISNUMBER(SEARCH("TRANSFER",UPPER(C355))),"Transfer","Expense")))</f>
        <v/>
      </c>
      <c r="E355" s="97" t="str">
        <f aca="false">IF(C355="","",IFERROR(INDEX(Mapping!$B$5:$B$200,SUMPRODUCT(MAX((ISNUMBER(SEARCH(Mapping!$A$5:$A$200,UPPER(C355&amp;""))))*ROW(Mapping!$A$5:$A$200)))-4),""))</f>
        <v/>
      </c>
      <c r="F355" s="98"/>
      <c r="G355" s="99" t="n">
        <f aca="false">IF(F355="",G354,G354+IF(D355="Income",F355,IF(D355="Expense",-F355,F355)))</f>
        <v>3408.09</v>
      </c>
      <c r="H355" s="100" t="str">
        <f aca="false">IF(C355="","",IFERROR(INDEX(Mapping!$A$5:$A$200,SUMPRODUCT(MAX((ISNUMBER(SEARCH(Mapping!$A$5:$A$200,UPPER(C355&amp;""))))*ROW(Mapping!$A$5:$A$200)))-4)&amp;" → "&amp;INDEX(Mapping!$B$5:$B$200,SUMPRODUCT(MAX((ISNUMBER(SEARCH(Mapping!$A$5:$A$200,UPPER(C355&amp;""))))*ROW(Mapping!$A$5:$A$200)))-4),"❓ no rule (add to Mapping)"))</f>
        <v/>
      </c>
      <c r="I355" s="79" t="str">
        <f aca="false">IF(B355="","",TEXT(B355,"mmm"))</f>
        <v/>
      </c>
      <c r="J355" s="80" t="str">
        <f aca="false">IF(B355="","",YEAR(B355))</f>
        <v/>
      </c>
    </row>
    <row r="356" customFormat="false" ht="18" hidden="false" customHeight="true" outlineLevel="0" collapsed="false">
      <c r="A356" s="81" t="n">
        <v>351</v>
      </c>
      <c r="B356" s="95"/>
      <c r="C356" s="96"/>
      <c r="D356" s="96" t="str">
        <f aca="false">IF(C356="","",IF(OR(ISNUMBER(SEARCH("PAYROLL",UPPER(C356))),ISNUMBER(SEARCH("PAYCHECK",UPPER(C356))),ISNUMBER(SEARCH("DEPOSIT",UPPER(C356)))),"Income",IF(ISNUMBER(SEARCH("TRANSFER",UPPER(C356))),"Transfer","Expense")))</f>
        <v/>
      </c>
      <c r="E356" s="97" t="str">
        <f aca="false">IF(C356="","",IFERROR(INDEX(Mapping!$B$5:$B$200,SUMPRODUCT(MAX((ISNUMBER(SEARCH(Mapping!$A$5:$A$200,UPPER(C356&amp;""))))*ROW(Mapping!$A$5:$A$200)))-4),""))</f>
        <v/>
      </c>
      <c r="F356" s="98"/>
      <c r="G356" s="99" t="n">
        <f aca="false">IF(F356="",G355,G355+IF(D356="Income",F356,IF(D356="Expense",-F356,F356)))</f>
        <v>3408.09</v>
      </c>
      <c r="H356" s="100" t="str">
        <f aca="false">IF(C356="","",IFERROR(INDEX(Mapping!$A$5:$A$200,SUMPRODUCT(MAX((ISNUMBER(SEARCH(Mapping!$A$5:$A$200,UPPER(C356&amp;""))))*ROW(Mapping!$A$5:$A$200)))-4)&amp;" → "&amp;INDEX(Mapping!$B$5:$B$200,SUMPRODUCT(MAX((ISNUMBER(SEARCH(Mapping!$A$5:$A$200,UPPER(C356&amp;""))))*ROW(Mapping!$A$5:$A$200)))-4),"❓ no rule (add to Mapping)"))</f>
        <v/>
      </c>
      <c r="I356" s="79" t="str">
        <f aca="false">IF(B356="","",TEXT(B356,"mmm"))</f>
        <v/>
      </c>
      <c r="J356" s="80" t="str">
        <f aca="false">IF(B356="","",YEAR(B356))</f>
        <v/>
      </c>
    </row>
    <row r="357" customFormat="false" ht="18" hidden="false" customHeight="true" outlineLevel="0" collapsed="false">
      <c r="A357" s="81" t="n">
        <v>352</v>
      </c>
      <c r="B357" s="95"/>
      <c r="C357" s="96"/>
      <c r="D357" s="96" t="str">
        <f aca="false">IF(C357="","",IF(OR(ISNUMBER(SEARCH("PAYROLL",UPPER(C357))),ISNUMBER(SEARCH("PAYCHECK",UPPER(C357))),ISNUMBER(SEARCH("DEPOSIT",UPPER(C357)))),"Income",IF(ISNUMBER(SEARCH("TRANSFER",UPPER(C357))),"Transfer","Expense")))</f>
        <v/>
      </c>
      <c r="E357" s="97" t="str">
        <f aca="false">IF(C357="","",IFERROR(INDEX(Mapping!$B$5:$B$200,SUMPRODUCT(MAX((ISNUMBER(SEARCH(Mapping!$A$5:$A$200,UPPER(C357&amp;""))))*ROW(Mapping!$A$5:$A$200)))-4),""))</f>
        <v/>
      </c>
      <c r="F357" s="98"/>
      <c r="G357" s="99" t="n">
        <f aca="false">IF(F357="",G356,G356+IF(D357="Income",F357,IF(D357="Expense",-F357,F357)))</f>
        <v>3408.09</v>
      </c>
      <c r="H357" s="100" t="str">
        <f aca="false">IF(C357="","",IFERROR(INDEX(Mapping!$A$5:$A$200,SUMPRODUCT(MAX((ISNUMBER(SEARCH(Mapping!$A$5:$A$200,UPPER(C357&amp;""))))*ROW(Mapping!$A$5:$A$200)))-4)&amp;" → "&amp;INDEX(Mapping!$B$5:$B$200,SUMPRODUCT(MAX((ISNUMBER(SEARCH(Mapping!$A$5:$A$200,UPPER(C357&amp;""))))*ROW(Mapping!$A$5:$A$200)))-4),"❓ no rule (add to Mapping)"))</f>
        <v/>
      </c>
      <c r="I357" s="79" t="str">
        <f aca="false">IF(B357="","",TEXT(B357,"mmm"))</f>
        <v/>
      </c>
      <c r="J357" s="80" t="str">
        <f aca="false">IF(B357="","",YEAR(B357))</f>
        <v/>
      </c>
    </row>
    <row r="358" customFormat="false" ht="18" hidden="false" customHeight="true" outlineLevel="0" collapsed="false">
      <c r="A358" s="81" t="n">
        <v>353</v>
      </c>
      <c r="B358" s="95"/>
      <c r="C358" s="96"/>
      <c r="D358" s="96" t="str">
        <f aca="false">IF(C358="","",IF(OR(ISNUMBER(SEARCH("PAYROLL",UPPER(C358))),ISNUMBER(SEARCH("PAYCHECK",UPPER(C358))),ISNUMBER(SEARCH("DEPOSIT",UPPER(C358)))),"Income",IF(ISNUMBER(SEARCH("TRANSFER",UPPER(C358))),"Transfer","Expense")))</f>
        <v/>
      </c>
      <c r="E358" s="97" t="str">
        <f aca="false">IF(C358="","",IFERROR(INDEX(Mapping!$B$5:$B$200,SUMPRODUCT(MAX((ISNUMBER(SEARCH(Mapping!$A$5:$A$200,UPPER(C358&amp;""))))*ROW(Mapping!$A$5:$A$200)))-4),""))</f>
        <v/>
      </c>
      <c r="F358" s="98"/>
      <c r="G358" s="99" t="n">
        <f aca="false">IF(F358="",G357,G357+IF(D358="Income",F358,IF(D358="Expense",-F358,F358)))</f>
        <v>3408.09</v>
      </c>
      <c r="H358" s="100" t="str">
        <f aca="false">IF(C358="","",IFERROR(INDEX(Mapping!$A$5:$A$200,SUMPRODUCT(MAX((ISNUMBER(SEARCH(Mapping!$A$5:$A$200,UPPER(C358&amp;""))))*ROW(Mapping!$A$5:$A$200)))-4)&amp;" → "&amp;INDEX(Mapping!$B$5:$B$200,SUMPRODUCT(MAX((ISNUMBER(SEARCH(Mapping!$A$5:$A$200,UPPER(C358&amp;""))))*ROW(Mapping!$A$5:$A$200)))-4),"❓ no rule (add to Mapping)"))</f>
        <v/>
      </c>
      <c r="I358" s="79" t="str">
        <f aca="false">IF(B358="","",TEXT(B358,"mmm"))</f>
        <v/>
      </c>
      <c r="J358" s="80" t="str">
        <f aca="false">IF(B358="","",YEAR(B358))</f>
        <v/>
      </c>
    </row>
    <row r="359" customFormat="false" ht="18" hidden="false" customHeight="true" outlineLevel="0" collapsed="false">
      <c r="A359" s="81" t="n">
        <v>354</v>
      </c>
      <c r="B359" s="95"/>
      <c r="C359" s="96"/>
      <c r="D359" s="96" t="str">
        <f aca="false">IF(C359="","",IF(OR(ISNUMBER(SEARCH("PAYROLL",UPPER(C359))),ISNUMBER(SEARCH("PAYCHECK",UPPER(C359))),ISNUMBER(SEARCH("DEPOSIT",UPPER(C359)))),"Income",IF(ISNUMBER(SEARCH("TRANSFER",UPPER(C359))),"Transfer","Expense")))</f>
        <v/>
      </c>
      <c r="E359" s="97" t="str">
        <f aca="false">IF(C359="","",IFERROR(INDEX(Mapping!$B$5:$B$200,SUMPRODUCT(MAX((ISNUMBER(SEARCH(Mapping!$A$5:$A$200,UPPER(C359&amp;""))))*ROW(Mapping!$A$5:$A$200)))-4),""))</f>
        <v/>
      </c>
      <c r="F359" s="98"/>
      <c r="G359" s="99" t="n">
        <f aca="false">IF(F359="",G358,G358+IF(D359="Income",F359,IF(D359="Expense",-F359,F359)))</f>
        <v>3408.09</v>
      </c>
      <c r="H359" s="100" t="str">
        <f aca="false">IF(C359="","",IFERROR(INDEX(Mapping!$A$5:$A$200,SUMPRODUCT(MAX((ISNUMBER(SEARCH(Mapping!$A$5:$A$200,UPPER(C359&amp;""))))*ROW(Mapping!$A$5:$A$200)))-4)&amp;" → "&amp;INDEX(Mapping!$B$5:$B$200,SUMPRODUCT(MAX((ISNUMBER(SEARCH(Mapping!$A$5:$A$200,UPPER(C359&amp;""))))*ROW(Mapping!$A$5:$A$200)))-4),"❓ no rule (add to Mapping)"))</f>
        <v/>
      </c>
      <c r="I359" s="79" t="str">
        <f aca="false">IF(B359="","",TEXT(B359,"mmm"))</f>
        <v/>
      </c>
      <c r="J359" s="80" t="str">
        <f aca="false">IF(B359="","",YEAR(B359))</f>
        <v/>
      </c>
    </row>
    <row r="360" customFormat="false" ht="18" hidden="false" customHeight="true" outlineLevel="0" collapsed="false">
      <c r="A360" s="81" t="n">
        <v>355</v>
      </c>
      <c r="B360" s="95"/>
      <c r="C360" s="96"/>
      <c r="D360" s="96" t="str">
        <f aca="false">IF(C360="","",IF(OR(ISNUMBER(SEARCH("PAYROLL",UPPER(C360))),ISNUMBER(SEARCH("PAYCHECK",UPPER(C360))),ISNUMBER(SEARCH("DEPOSIT",UPPER(C360)))),"Income",IF(ISNUMBER(SEARCH("TRANSFER",UPPER(C360))),"Transfer","Expense")))</f>
        <v/>
      </c>
      <c r="E360" s="97" t="str">
        <f aca="false">IF(C360="","",IFERROR(INDEX(Mapping!$B$5:$B$200,SUMPRODUCT(MAX((ISNUMBER(SEARCH(Mapping!$A$5:$A$200,UPPER(C360&amp;""))))*ROW(Mapping!$A$5:$A$200)))-4),""))</f>
        <v/>
      </c>
      <c r="F360" s="98"/>
      <c r="G360" s="99" t="n">
        <f aca="false">IF(F360="",G359,G359+IF(D360="Income",F360,IF(D360="Expense",-F360,F360)))</f>
        <v>3408.09</v>
      </c>
      <c r="H360" s="100" t="str">
        <f aca="false">IF(C360="","",IFERROR(INDEX(Mapping!$A$5:$A$200,SUMPRODUCT(MAX((ISNUMBER(SEARCH(Mapping!$A$5:$A$200,UPPER(C360&amp;""))))*ROW(Mapping!$A$5:$A$200)))-4)&amp;" → "&amp;INDEX(Mapping!$B$5:$B$200,SUMPRODUCT(MAX((ISNUMBER(SEARCH(Mapping!$A$5:$A$200,UPPER(C360&amp;""))))*ROW(Mapping!$A$5:$A$200)))-4),"❓ no rule (add to Mapping)"))</f>
        <v/>
      </c>
      <c r="I360" s="79" t="str">
        <f aca="false">IF(B360="","",TEXT(B360,"mmm"))</f>
        <v/>
      </c>
      <c r="J360" s="80" t="str">
        <f aca="false">IF(B360="","",YEAR(B360))</f>
        <v/>
      </c>
    </row>
    <row r="361" customFormat="false" ht="18" hidden="false" customHeight="true" outlineLevel="0" collapsed="false">
      <c r="A361" s="81" t="n">
        <v>356</v>
      </c>
      <c r="B361" s="95"/>
      <c r="C361" s="96"/>
      <c r="D361" s="96" t="str">
        <f aca="false">IF(C361="","",IF(OR(ISNUMBER(SEARCH("PAYROLL",UPPER(C361))),ISNUMBER(SEARCH("PAYCHECK",UPPER(C361))),ISNUMBER(SEARCH("DEPOSIT",UPPER(C361)))),"Income",IF(ISNUMBER(SEARCH("TRANSFER",UPPER(C361))),"Transfer","Expense")))</f>
        <v/>
      </c>
      <c r="E361" s="97" t="str">
        <f aca="false">IF(C361="","",IFERROR(INDEX(Mapping!$B$5:$B$200,SUMPRODUCT(MAX((ISNUMBER(SEARCH(Mapping!$A$5:$A$200,UPPER(C361&amp;""))))*ROW(Mapping!$A$5:$A$200)))-4),""))</f>
        <v/>
      </c>
      <c r="F361" s="98"/>
      <c r="G361" s="99" t="n">
        <f aca="false">IF(F361="",G360,G360+IF(D361="Income",F361,IF(D361="Expense",-F361,F361)))</f>
        <v>3408.09</v>
      </c>
      <c r="H361" s="100" t="str">
        <f aca="false">IF(C361="","",IFERROR(INDEX(Mapping!$A$5:$A$200,SUMPRODUCT(MAX((ISNUMBER(SEARCH(Mapping!$A$5:$A$200,UPPER(C361&amp;""))))*ROW(Mapping!$A$5:$A$200)))-4)&amp;" → "&amp;INDEX(Mapping!$B$5:$B$200,SUMPRODUCT(MAX((ISNUMBER(SEARCH(Mapping!$A$5:$A$200,UPPER(C361&amp;""))))*ROW(Mapping!$A$5:$A$200)))-4),"❓ no rule (add to Mapping)"))</f>
        <v/>
      </c>
      <c r="I361" s="79" t="str">
        <f aca="false">IF(B361="","",TEXT(B361,"mmm"))</f>
        <v/>
      </c>
      <c r="J361" s="80" t="str">
        <f aca="false">IF(B361="","",YEAR(B361))</f>
        <v/>
      </c>
    </row>
    <row r="362" customFormat="false" ht="18" hidden="false" customHeight="true" outlineLevel="0" collapsed="false">
      <c r="A362" s="81" t="n">
        <v>357</v>
      </c>
      <c r="B362" s="95"/>
      <c r="C362" s="96"/>
      <c r="D362" s="96" t="str">
        <f aca="false">IF(C362="","",IF(OR(ISNUMBER(SEARCH("PAYROLL",UPPER(C362))),ISNUMBER(SEARCH("PAYCHECK",UPPER(C362))),ISNUMBER(SEARCH("DEPOSIT",UPPER(C362)))),"Income",IF(ISNUMBER(SEARCH("TRANSFER",UPPER(C362))),"Transfer","Expense")))</f>
        <v/>
      </c>
      <c r="E362" s="97" t="str">
        <f aca="false">IF(C362="","",IFERROR(INDEX(Mapping!$B$5:$B$200,SUMPRODUCT(MAX((ISNUMBER(SEARCH(Mapping!$A$5:$A$200,UPPER(C362&amp;""))))*ROW(Mapping!$A$5:$A$200)))-4),""))</f>
        <v/>
      </c>
      <c r="F362" s="98"/>
      <c r="G362" s="99" t="n">
        <f aca="false">IF(F362="",G361,G361+IF(D362="Income",F362,IF(D362="Expense",-F362,F362)))</f>
        <v>3408.09</v>
      </c>
      <c r="H362" s="100" t="str">
        <f aca="false">IF(C362="","",IFERROR(INDEX(Mapping!$A$5:$A$200,SUMPRODUCT(MAX((ISNUMBER(SEARCH(Mapping!$A$5:$A$200,UPPER(C362&amp;""))))*ROW(Mapping!$A$5:$A$200)))-4)&amp;" → "&amp;INDEX(Mapping!$B$5:$B$200,SUMPRODUCT(MAX((ISNUMBER(SEARCH(Mapping!$A$5:$A$200,UPPER(C362&amp;""))))*ROW(Mapping!$A$5:$A$200)))-4),"❓ no rule (add to Mapping)"))</f>
        <v/>
      </c>
      <c r="I362" s="79" t="str">
        <f aca="false">IF(B362="","",TEXT(B362,"mmm"))</f>
        <v/>
      </c>
      <c r="J362" s="80" t="str">
        <f aca="false">IF(B362="","",YEAR(B362))</f>
        <v/>
      </c>
    </row>
    <row r="363" customFormat="false" ht="18" hidden="false" customHeight="true" outlineLevel="0" collapsed="false">
      <c r="A363" s="81" t="n">
        <v>358</v>
      </c>
      <c r="B363" s="95"/>
      <c r="C363" s="96"/>
      <c r="D363" s="96" t="str">
        <f aca="false">IF(C363="","",IF(OR(ISNUMBER(SEARCH("PAYROLL",UPPER(C363))),ISNUMBER(SEARCH("PAYCHECK",UPPER(C363))),ISNUMBER(SEARCH("DEPOSIT",UPPER(C363)))),"Income",IF(ISNUMBER(SEARCH("TRANSFER",UPPER(C363))),"Transfer","Expense")))</f>
        <v/>
      </c>
      <c r="E363" s="97" t="str">
        <f aca="false">IF(C363="","",IFERROR(INDEX(Mapping!$B$5:$B$200,SUMPRODUCT(MAX((ISNUMBER(SEARCH(Mapping!$A$5:$A$200,UPPER(C363&amp;""))))*ROW(Mapping!$A$5:$A$200)))-4),""))</f>
        <v/>
      </c>
      <c r="F363" s="98"/>
      <c r="G363" s="99" t="n">
        <f aca="false">IF(F363="",G362,G362+IF(D363="Income",F363,IF(D363="Expense",-F363,F363)))</f>
        <v>3408.09</v>
      </c>
      <c r="H363" s="100" t="str">
        <f aca="false">IF(C363="","",IFERROR(INDEX(Mapping!$A$5:$A$200,SUMPRODUCT(MAX((ISNUMBER(SEARCH(Mapping!$A$5:$A$200,UPPER(C363&amp;""))))*ROW(Mapping!$A$5:$A$200)))-4)&amp;" → "&amp;INDEX(Mapping!$B$5:$B$200,SUMPRODUCT(MAX((ISNUMBER(SEARCH(Mapping!$A$5:$A$200,UPPER(C363&amp;""))))*ROW(Mapping!$A$5:$A$200)))-4),"❓ no rule (add to Mapping)"))</f>
        <v/>
      </c>
      <c r="I363" s="79" t="str">
        <f aca="false">IF(B363="","",TEXT(B363,"mmm"))</f>
        <v/>
      </c>
      <c r="J363" s="80" t="str">
        <f aca="false">IF(B363="","",YEAR(B363))</f>
        <v/>
      </c>
    </row>
    <row r="364" customFormat="false" ht="18" hidden="false" customHeight="true" outlineLevel="0" collapsed="false">
      <c r="A364" s="81" t="n">
        <v>359</v>
      </c>
      <c r="B364" s="95"/>
      <c r="C364" s="96"/>
      <c r="D364" s="96" t="str">
        <f aca="false">IF(C364="","",IF(OR(ISNUMBER(SEARCH("PAYROLL",UPPER(C364))),ISNUMBER(SEARCH("PAYCHECK",UPPER(C364))),ISNUMBER(SEARCH("DEPOSIT",UPPER(C364)))),"Income",IF(ISNUMBER(SEARCH("TRANSFER",UPPER(C364))),"Transfer","Expense")))</f>
        <v/>
      </c>
      <c r="E364" s="97" t="str">
        <f aca="false">IF(C364="","",IFERROR(INDEX(Mapping!$B$5:$B$200,SUMPRODUCT(MAX((ISNUMBER(SEARCH(Mapping!$A$5:$A$200,UPPER(C364&amp;""))))*ROW(Mapping!$A$5:$A$200)))-4),""))</f>
        <v/>
      </c>
      <c r="F364" s="98"/>
      <c r="G364" s="99" t="n">
        <f aca="false">IF(F364="",G363,G363+IF(D364="Income",F364,IF(D364="Expense",-F364,F364)))</f>
        <v>3408.09</v>
      </c>
      <c r="H364" s="100" t="str">
        <f aca="false">IF(C364="","",IFERROR(INDEX(Mapping!$A$5:$A$200,SUMPRODUCT(MAX((ISNUMBER(SEARCH(Mapping!$A$5:$A$200,UPPER(C364&amp;""))))*ROW(Mapping!$A$5:$A$200)))-4)&amp;" → "&amp;INDEX(Mapping!$B$5:$B$200,SUMPRODUCT(MAX((ISNUMBER(SEARCH(Mapping!$A$5:$A$200,UPPER(C364&amp;""))))*ROW(Mapping!$A$5:$A$200)))-4),"❓ no rule (add to Mapping)"))</f>
        <v/>
      </c>
      <c r="I364" s="79" t="str">
        <f aca="false">IF(B364="","",TEXT(B364,"mmm"))</f>
        <v/>
      </c>
      <c r="J364" s="80" t="str">
        <f aca="false">IF(B364="","",YEAR(B364))</f>
        <v/>
      </c>
    </row>
    <row r="365" customFormat="false" ht="18" hidden="false" customHeight="true" outlineLevel="0" collapsed="false">
      <c r="A365" s="81" t="n">
        <v>360</v>
      </c>
      <c r="B365" s="95"/>
      <c r="C365" s="96"/>
      <c r="D365" s="96" t="str">
        <f aca="false">IF(C365="","",IF(OR(ISNUMBER(SEARCH("PAYROLL",UPPER(C365))),ISNUMBER(SEARCH("PAYCHECK",UPPER(C365))),ISNUMBER(SEARCH("DEPOSIT",UPPER(C365)))),"Income",IF(ISNUMBER(SEARCH("TRANSFER",UPPER(C365))),"Transfer","Expense")))</f>
        <v/>
      </c>
      <c r="E365" s="97" t="str">
        <f aca="false">IF(C365="","",IFERROR(INDEX(Mapping!$B$5:$B$200,SUMPRODUCT(MAX((ISNUMBER(SEARCH(Mapping!$A$5:$A$200,UPPER(C365&amp;""))))*ROW(Mapping!$A$5:$A$200)))-4),""))</f>
        <v/>
      </c>
      <c r="F365" s="98"/>
      <c r="G365" s="99" t="n">
        <f aca="false">IF(F365="",G364,G364+IF(D365="Income",F365,IF(D365="Expense",-F365,F365)))</f>
        <v>3408.09</v>
      </c>
      <c r="H365" s="100" t="str">
        <f aca="false">IF(C365="","",IFERROR(INDEX(Mapping!$A$5:$A$200,SUMPRODUCT(MAX((ISNUMBER(SEARCH(Mapping!$A$5:$A$200,UPPER(C365&amp;""))))*ROW(Mapping!$A$5:$A$200)))-4)&amp;" → "&amp;INDEX(Mapping!$B$5:$B$200,SUMPRODUCT(MAX((ISNUMBER(SEARCH(Mapping!$A$5:$A$200,UPPER(C365&amp;""))))*ROW(Mapping!$A$5:$A$200)))-4),"❓ no rule (add to Mapping)"))</f>
        <v/>
      </c>
      <c r="I365" s="79" t="str">
        <f aca="false">IF(B365="","",TEXT(B365,"mmm"))</f>
        <v/>
      </c>
      <c r="J365" s="80" t="str">
        <f aca="false">IF(B365="","",YEAR(B365))</f>
        <v/>
      </c>
    </row>
    <row r="366" customFormat="false" ht="18" hidden="false" customHeight="true" outlineLevel="0" collapsed="false">
      <c r="A366" s="81" t="n">
        <v>361</v>
      </c>
      <c r="B366" s="95"/>
      <c r="C366" s="96"/>
      <c r="D366" s="96" t="str">
        <f aca="false">IF(C366="","",IF(OR(ISNUMBER(SEARCH("PAYROLL",UPPER(C366))),ISNUMBER(SEARCH("PAYCHECK",UPPER(C366))),ISNUMBER(SEARCH("DEPOSIT",UPPER(C366)))),"Income",IF(ISNUMBER(SEARCH("TRANSFER",UPPER(C366))),"Transfer","Expense")))</f>
        <v/>
      </c>
      <c r="E366" s="97" t="str">
        <f aca="false">IF(C366="","",IFERROR(INDEX(Mapping!$B$5:$B$200,SUMPRODUCT(MAX((ISNUMBER(SEARCH(Mapping!$A$5:$A$200,UPPER(C366&amp;""))))*ROW(Mapping!$A$5:$A$200)))-4),""))</f>
        <v/>
      </c>
      <c r="F366" s="98"/>
      <c r="G366" s="99" t="n">
        <f aca="false">IF(F366="",G365,G365+IF(D366="Income",F366,IF(D366="Expense",-F366,F366)))</f>
        <v>3408.09</v>
      </c>
      <c r="H366" s="100" t="str">
        <f aca="false">IF(C366="","",IFERROR(INDEX(Mapping!$A$5:$A$200,SUMPRODUCT(MAX((ISNUMBER(SEARCH(Mapping!$A$5:$A$200,UPPER(C366&amp;""))))*ROW(Mapping!$A$5:$A$200)))-4)&amp;" → "&amp;INDEX(Mapping!$B$5:$B$200,SUMPRODUCT(MAX((ISNUMBER(SEARCH(Mapping!$A$5:$A$200,UPPER(C366&amp;""))))*ROW(Mapping!$A$5:$A$200)))-4),"❓ no rule (add to Mapping)"))</f>
        <v/>
      </c>
      <c r="I366" s="79" t="str">
        <f aca="false">IF(B366="","",TEXT(B366,"mmm"))</f>
        <v/>
      </c>
      <c r="J366" s="80" t="str">
        <f aca="false">IF(B366="","",YEAR(B366))</f>
        <v/>
      </c>
    </row>
    <row r="367" customFormat="false" ht="18" hidden="false" customHeight="true" outlineLevel="0" collapsed="false">
      <c r="A367" s="81" t="n">
        <v>362</v>
      </c>
      <c r="B367" s="95"/>
      <c r="C367" s="96"/>
      <c r="D367" s="96" t="str">
        <f aca="false">IF(C367="","",IF(OR(ISNUMBER(SEARCH("PAYROLL",UPPER(C367))),ISNUMBER(SEARCH("PAYCHECK",UPPER(C367))),ISNUMBER(SEARCH("DEPOSIT",UPPER(C367)))),"Income",IF(ISNUMBER(SEARCH("TRANSFER",UPPER(C367))),"Transfer","Expense")))</f>
        <v/>
      </c>
      <c r="E367" s="97" t="str">
        <f aca="false">IF(C367="","",IFERROR(INDEX(Mapping!$B$5:$B$200,SUMPRODUCT(MAX((ISNUMBER(SEARCH(Mapping!$A$5:$A$200,UPPER(C367&amp;""))))*ROW(Mapping!$A$5:$A$200)))-4),""))</f>
        <v/>
      </c>
      <c r="F367" s="98"/>
      <c r="G367" s="99" t="n">
        <f aca="false">IF(F367="",G366,G366+IF(D367="Income",F367,IF(D367="Expense",-F367,F367)))</f>
        <v>3408.09</v>
      </c>
      <c r="H367" s="100" t="str">
        <f aca="false">IF(C367="","",IFERROR(INDEX(Mapping!$A$5:$A$200,SUMPRODUCT(MAX((ISNUMBER(SEARCH(Mapping!$A$5:$A$200,UPPER(C367&amp;""))))*ROW(Mapping!$A$5:$A$200)))-4)&amp;" → "&amp;INDEX(Mapping!$B$5:$B$200,SUMPRODUCT(MAX((ISNUMBER(SEARCH(Mapping!$A$5:$A$200,UPPER(C367&amp;""))))*ROW(Mapping!$A$5:$A$200)))-4),"❓ no rule (add to Mapping)"))</f>
        <v/>
      </c>
      <c r="I367" s="79" t="str">
        <f aca="false">IF(B367="","",TEXT(B367,"mmm"))</f>
        <v/>
      </c>
      <c r="J367" s="80" t="str">
        <f aca="false">IF(B367="","",YEAR(B367))</f>
        <v/>
      </c>
    </row>
    <row r="368" customFormat="false" ht="18" hidden="false" customHeight="true" outlineLevel="0" collapsed="false">
      <c r="A368" s="81" t="n">
        <v>363</v>
      </c>
      <c r="B368" s="95"/>
      <c r="C368" s="96"/>
      <c r="D368" s="96" t="str">
        <f aca="false">IF(C368="","",IF(OR(ISNUMBER(SEARCH("PAYROLL",UPPER(C368))),ISNUMBER(SEARCH("PAYCHECK",UPPER(C368))),ISNUMBER(SEARCH("DEPOSIT",UPPER(C368)))),"Income",IF(ISNUMBER(SEARCH("TRANSFER",UPPER(C368))),"Transfer","Expense")))</f>
        <v/>
      </c>
      <c r="E368" s="97" t="str">
        <f aca="false">IF(C368="","",IFERROR(INDEX(Mapping!$B$5:$B$200,SUMPRODUCT(MAX((ISNUMBER(SEARCH(Mapping!$A$5:$A$200,UPPER(C368&amp;""))))*ROW(Mapping!$A$5:$A$200)))-4),""))</f>
        <v/>
      </c>
      <c r="F368" s="98"/>
      <c r="G368" s="99" t="n">
        <f aca="false">IF(F368="",G367,G367+IF(D368="Income",F368,IF(D368="Expense",-F368,F368)))</f>
        <v>3408.09</v>
      </c>
      <c r="H368" s="100" t="str">
        <f aca="false">IF(C368="","",IFERROR(INDEX(Mapping!$A$5:$A$200,SUMPRODUCT(MAX((ISNUMBER(SEARCH(Mapping!$A$5:$A$200,UPPER(C368&amp;""))))*ROW(Mapping!$A$5:$A$200)))-4)&amp;" → "&amp;INDEX(Mapping!$B$5:$B$200,SUMPRODUCT(MAX((ISNUMBER(SEARCH(Mapping!$A$5:$A$200,UPPER(C368&amp;""))))*ROW(Mapping!$A$5:$A$200)))-4),"❓ no rule (add to Mapping)"))</f>
        <v/>
      </c>
      <c r="I368" s="79" t="str">
        <f aca="false">IF(B368="","",TEXT(B368,"mmm"))</f>
        <v/>
      </c>
      <c r="J368" s="80" t="str">
        <f aca="false">IF(B368="","",YEAR(B368))</f>
        <v/>
      </c>
    </row>
    <row r="369" customFormat="false" ht="18" hidden="false" customHeight="true" outlineLevel="0" collapsed="false">
      <c r="A369" s="81" t="n">
        <v>364</v>
      </c>
      <c r="B369" s="95"/>
      <c r="C369" s="96"/>
      <c r="D369" s="96" t="str">
        <f aca="false">IF(C369="","",IF(OR(ISNUMBER(SEARCH("PAYROLL",UPPER(C369))),ISNUMBER(SEARCH("PAYCHECK",UPPER(C369))),ISNUMBER(SEARCH("DEPOSIT",UPPER(C369)))),"Income",IF(ISNUMBER(SEARCH("TRANSFER",UPPER(C369))),"Transfer","Expense")))</f>
        <v/>
      </c>
      <c r="E369" s="97" t="str">
        <f aca="false">IF(C369="","",IFERROR(INDEX(Mapping!$B$5:$B$200,SUMPRODUCT(MAX((ISNUMBER(SEARCH(Mapping!$A$5:$A$200,UPPER(C369&amp;""))))*ROW(Mapping!$A$5:$A$200)))-4),""))</f>
        <v/>
      </c>
      <c r="F369" s="98"/>
      <c r="G369" s="99" t="n">
        <f aca="false">IF(F369="",G368,G368+IF(D369="Income",F369,IF(D369="Expense",-F369,F369)))</f>
        <v>3408.09</v>
      </c>
      <c r="H369" s="100" t="str">
        <f aca="false">IF(C369="","",IFERROR(INDEX(Mapping!$A$5:$A$200,SUMPRODUCT(MAX((ISNUMBER(SEARCH(Mapping!$A$5:$A$200,UPPER(C369&amp;""))))*ROW(Mapping!$A$5:$A$200)))-4)&amp;" → "&amp;INDEX(Mapping!$B$5:$B$200,SUMPRODUCT(MAX((ISNUMBER(SEARCH(Mapping!$A$5:$A$200,UPPER(C369&amp;""))))*ROW(Mapping!$A$5:$A$200)))-4),"❓ no rule (add to Mapping)"))</f>
        <v/>
      </c>
      <c r="I369" s="79" t="str">
        <f aca="false">IF(B369="","",TEXT(B369,"mmm"))</f>
        <v/>
      </c>
      <c r="J369" s="80" t="str">
        <f aca="false">IF(B369="","",YEAR(B369))</f>
        <v/>
      </c>
    </row>
    <row r="370" customFormat="false" ht="18" hidden="false" customHeight="true" outlineLevel="0" collapsed="false">
      <c r="A370" s="81" t="n">
        <v>365</v>
      </c>
      <c r="B370" s="95"/>
      <c r="C370" s="96"/>
      <c r="D370" s="96" t="str">
        <f aca="false">IF(C370="","",IF(OR(ISNUMBER(SEARCH("PAYROLL",UPPER(C370))),ISNUMBER(SEARCH("PAYCHECK",UPPER(C370))),ISNUMBER(SEARCH("DEPOSIT",UPPER(C370)))),"Income",IF(ISNUMBER(SEARCH("TRANSFER",UPPER(C370))),"Transfer","Expense")))</f>
        <v/>
      </c>
      <c r="E370" s="97" t="str">
        <f aca="false">IF(C370="","",IFERROR(INDEX(Mapping!$B$5:$B$200,SUMPRODUCT(MAX((ISNUMBER(SEARCH(Mapping!$A$5:$A$200,UPPER(C370&amp;""))))*ROW(Mapping!$A$5:$A$200)))-4),""))</f>
        <v/>
      </c>
      <c r="F370" s="98"/>
      <c r="G370" s="99" t="n">
        <f aca="false">IF(F370="",G369,G369+IF(D370="Income",F370,IF(D370="Expense",-F370,F370)))</f>
        <v>3408.09</v>
      </c>
      <c r="H370" s="100" t="str">
        <f aca="false">IF(C370="","",IFERROR(INDEX(Mapping!$A$5:$A$200,SUMPRODUCT(MAX((ISNUMBER(SEARCH(Mapping!$A$5:$A$200,UPPER(C370&amp;""))))*ROW(Mapping!$A$5:$A$200)))-4)&amp;" → "&amp;INDEX(Mapping!$B$5:$B$200,SUMPRODUCT(MAX((ISNUMBER(SEARCH(Mapping!$A$5:$A$200,UPPER(C370&amp;""))))*ROW(Mapping!$A$5:$A$200)))-4),"❓ no rule (add to Mapping)"))</f>
        <v/>
      </c>
      <c r="I370" s="79" t="str">
        <f aca="false">IF(B370="","",TEXT(B370,"mmm"))</f>
        <v/>
      </c>
      <c r="J370" s="80" t="str">
        <f aca="false">IF(B370="","",YEAR(B370))</f>
        <v/>
      </c>
    </row>
    <row r="371" customFormat="false" ht="18" hidden="false" customHeight="true" outlineLevel="0" collapsed="false">
      <c r="A371" s="81" t="n">
        <v>366</v>
      </c>
      <c r="B371" s="95"/>
      <c r="C371" s="96"/>
      <c r="D371" s="96" t="str">
        <f aca="false">IF(C371="","",IF(OR(ISNUMBER(SEARCH("PAYROLL",UPPER(C371))),ISNUMBER(SEARCH("PAYCHECK",UPPER(C371))),ISNUMBER(SEARCH("DEPOSIT",UPPER(C371)))),"Income",IF(ISNUMBER(SEARCH("TRANSFER",UPPER(C371))),"Transfer","Expense")))</f>
        <v/>
      </c>
      <c r="E371" s="97" t="str">
        <f aca="false">IF(C371="","",IFERROR(INDEX(Mapping!$B$5:$B$200,SUMPRODUCT(MAX((ISNUMBER(SEARCH(Mapping!$A$5:$A$200,UPPER(C371&amp;""))))*ROW(Mapping!$A$5:$A$200)))-4),""))</f>
        <v/>
      </c>
      <c r="F371" s="98"/>
      <c r="G371" s="99" t="n">
        <f aca="false">IF(F371="",G370,G370+IF(D371="Income",F371,IF(D371="Expense",-F371,F371)))</f>
        <v>3408.09</v>
      </c>
      <c r="H371" s="100" t="str">
        <f aca="false">IF(C371="","",IFERROR(INDEX(Mapping!$A$5:$A$200,SUMPRODUCT(MAX((ISNUMBER(SEARCH(Mapping!$A$5:$A$200,UPPER(C371&amp;""))))*ROW(Mapping!$A$5:$A$200)))-4)&amp;" → "&amp;INDEX(Mapping!$B$5:$B$200,SUMPRODUCT(MAX((ISNUMBER(SEARCH(Mapping!$A$5:$A$200,UPPER(C371&amp;""))))*ROW(Mapping!$A$5:$A$200)))-4),"❓ no rule (add to Mapping)"))</f>
        <v/>
      </c>
      <c r="I371" s="79" t="str">
        <f aca="false">IF(B371="","",TEXT(B371,"mmm"))</f>
        <v/>
      </c>
      <c r="J371" s="80" t="str">
        <f aca="false">IF(B371="","",YEAR(B371))</f>
        <v/>
      </c>
    </row>
    <row r="372" customFormat="false" ht="18" hidden="false" customHeight="true" outlineLevel="0" collapsed="false">
      <c r="A372" s="81" t="n">
        <v>367</v>
      </c>
      <c r="B372" s="95"/>
      <c r="C372" s="96"/>
      <c r="D372" s="96" t="str">
        <f aca="false">IF(C372="","",IF(OR(ISNUMBER(SEARCH("PAYROLL",UPPER(C372))),ISNUMBER(SEARCH("PAYCHECK",UPPER(C372))),ISNUMBER(SEARCH("DEPOSIT",UPPER(C372)))),"Income",IF(ISNUMBER(SEARCH("TRANSFER",UPPER(C372))),"Transfer","Expense")))</f>
        <v/>
      </c>
      <c r="E372" s="97" t="str">
        <f aca="false">IF(C372="","",IFERROR(INDEX(Mapping!$B$5:$B$200,SUMPRODUCT(MAX((ISNUMBER(SEARCH(Mapping!$A$5:$A$200,UPPER(C372&amp;""))))*ROW(Mapping!$A$5:$A$200)))-4),""))</f>
        <v/>
      </c>
      <c r="F372" s="98"/>
      <c r="G372" s="99" t="n">
        <f aca="false">IF(F372="",G371,G371+IF(D372="Income",F372,IF(D372="Expense",-F372,F372)))</f>
        <v>3408.09</v>
      </c>
      <c r="H372" s="100" t="str">
        <f aca="false">IF(C372="","",IFERROR(INDEX(Mapping!$A$5:$A$200,SUMPRODUCT(MAX((ISNUMBER(SEARCH(Mapping!$A$5:$A$200,UPPER(C372&amp;""))))*ROW(Mapping!$A$5:$A$200)))-4)&amp;" → "&amp;INDEX(Mapping!$B$5:$B$200,SUMPRODUCT(MAX((ISNUMBER(SEARCH(Mapping!$A$5:$A$200,UPPER(C372&amp;""))))*ROW(Mapping!$A$5:$A$200)))-4),"❓ no rule (add to Mapping)"))</f>
        <v/>
      </c>
      <c r="I372" s="79" t="str">
        <f aca="false">IF(B372="","",TEXT(B372,"mmm"))</f>
        <v/>
      </c>
      <c r="J372" s="80" t="str">
        <f aca="false">IF(B372="","",YEAR(B372))</f>
        <v/>
      </c>
    </row>
    <row r="373" customFormat="false" ht="18" hidden="false" customHeight="true" outlineLevel="0" collapsed="false">
      <c r="A373" s="81" t="n">
        <v>368</v>
      </c>
      <c r="B373" s="95"/>
      <c r="C373" s="96"/>
      <c r="D373" s="96" t="str">
        <f aca="false">IF(C373="","",IF(OR(ISNUMBER(SEARCH("PAYROLL",UPPER(C373))),ISNUMBER(SEARCH("PAYCHECK",UPPER(C373))),ISNUMBER(SEARCH("DEPOSIT",UPPER(C373)))),"Income",IF(ISNUMBER(SEARCH("TRANSFER",UPPER(C373))),"Transfer","Expense")))</f>
        <v/>
      </c>
      <c r="E373" s="97" t="str">
        <f aca="false">IF(C373="","",IFERROR(INDEX(Mapping!$B$5:$B$200,SUMPRODUCT(MAX((ISNUMBER(SEARCH(Mapping!$A$5:$A$200,UPPER(C373&amp;""))))*ROW(Mapping!$A$5:$A$200)))-4),""))</f>
        <v/>
      </c>
      <c r="F373" s="98"/>
      <c r="G373" s="99" t="n">
        <f aca="false">IF(F373="",G372,G372+IF(D373="Income",F373,IF(D373="Expense",-F373,F373)))</f>
        <v>3408.09</v>
      </c>
      <c r="H373" s="100" t="str">
        <f aca="false">IF(C373="","",IFERROR(INDEX(Mapping!$A$5:$A$200,SUMPRODUCT(MAX((ISNUMBER(SEARCH(Mapping!$A$5:$A$200,UPPER(C373&amp;""))))*ROW(Mapping!$A$5:$A$200)))-4)&amp;" → "&amp;INDEX(Mapping!$B$5:$B$200,SUMPRODUCT(MAX((ISNUMBER(SEARCH(Mapping!$A$5:$A$200,UPPER(C373&amp;""))))*ROW(Mapping!$A$5:$A$200)))-4),"❓ no rule (add to Mapping)"))</f>
        <v/>
      </c>
      <c r="I373" s="79" t="str">
        <f aca="false">IF(B373="","",TEXT(B373,"mmm"))</f>
        <v/>
      </c>
      <c r="J373" s="80" t="str">
        <f aca="false">IF(B373="","",YEAR(B373))</f>
        <v/>
      </c>
    </row>
    <row r="374" customFormat="false" ht="18" hidden="false" customHeight="true" outlineLevel="0" collapsed="false">
      <c r="A374" s="81" t="n">
        <v>369</v>
      </c>
      <c r="B374" s="95"/>
      <c r="C374" s="96"/>
      <c r="D374" s="96" t="str">
        <f aca="false">IF(C374="","",IF(OR(ISNUMBER(SEARCH("PAYROLL",UPPER(C374))),ISNUMBER(SEARCH("PAYCHECK",UPPER(C374))),ISNUMBER(SEARCH("DEPOSIT",UPPER(C374)))),"Income",IF(ISNUMBER(SEARCH("TRANSFER",UPPER(C374))),"Transfer","Expense")))</f>
        <v/>
      </c>
      <c r="E374" s="97" t="str">
        <f aca="false">IF(C374="","",IFERROR(INDEX(Mapping!$B$5:$B$200,SUMPRODUCT(MAX((ISNUMBER(SEARCH(Mapping!$A$5:$A$200,UPPER(C374&amp;""))))*ROW(Mapping!$A$5:$A$200)))-4),""))</f>
        <v/>
      </c>
      <c r="F374" s="98"/>
      <c r="G374" s="99" t="n">
        <f aca="false">IF(F374="",G373,G373+IF(D374="Income",F374,IF(D374="Expense",-F374,F374)))</f>
        <v>3408.09</v>
      </c>
      <c r="H374" s="100" t="str">
        <f aca="false">IF(C374="","",IFERROR(INDEX(Mapping!$A$5:$A$200,SUMPRODUCT(MAX((ISNUMBER(SEARCH(Mapping!$A$5:$A$200,UPPER(C374&amp;""))))*ROW(Mapping!$A$5:$A$200)))-4)&amp;" → "&amp;INDEX(Mapping!$B$5:$B$200,SUMPRODUCT(MAX((ISNUMBER(SEARCH(Mapping!$A$5:$A$200,UPPER(C374&amp;""))))*ROW(Mapping!$A$5:$A$200)))-4),"❓ no rule (add to Mapping)"))</f>
        <v/>
      </c>
      <c r="I374" s="79" t="str">
        <f aca="false">IF(B374="","",TEXT(B374,"mmm"))</f>
        <v/>
      </c>
      <c r="J374" s="80" t="str">
        <f aca="false">IF(B374="","",YEAR(B374))</f>
        <v/>
      </c>
    </row>
    <row r="375" customFormat="false" ht="18" hidden="false" customHeight="true" outlineLevel="0" collapsed="false">
      <c r="A375" s="81" t="n">
        <v>370</v>
      </c>
      <c r="B375" s="95"/>
      <c r="C375" s="96"/>
      <c r="D375" s="96" t="str">
        <f aca="false">IF(C375="","",IF(OR(ISNUMBER(SEARCH("PAYROLL",UPPER(C375))),ISNUMBER(SEARCH("PAYCHECK",UPPER(C375))),ISNUMBER(SEARCH("DEPOSIT",UPPER(C375)))),"Income",IF(ISNUMBER(SEARCH("TRANSFER",UPPER(C375))),"Transfer","Expense")))</f>
        <v/>
      </c>
      <c r="E375" s="97" t="str">
        <f aca="false">IF(C375="","",IFERROR(INDEX(Mapping!$B$5:$B$200,SUMPRODUCT(MAX((ISNUMBER(SEARCH(Mapping!$A$5:$A$200,UPPER(C375&amp;""))))*ROW(Mapping!$A$5:$A$200)))-4),""))</f>
        <v/>
      </c>
      <c r="F375" s="98"/>
      <c r="G375" s="99" t="n">
        <f aca="false">IF(F375="",G374,G374+IF(D375="Income",F375,IF(D375="Expense",-F375,F375)))</f>
        <v>3408.09</v>
      </c>
      <c r="H375" s="100" t="str">
        <f aca="false">IF(C375="","",IFERROR(INDEX(Mapping!$A$5:$A$200,SUMPRODUCT(MAX((ISNUMBER(SEARCH(Mapping!$A$5:$A$200,UPPER(C375&amp;""))))*ROW(Mapping!$A$5:$A$200)))-4)&amp;" → "&amp;INDEX(Mapping!$B$5:$B$200,SUMPRODUCT(MAX((ISNUMBER(SEARCH(Mapping!$A$5:$A$200,UPPER(C375&amp;""))))*ROW(Mapping!$A$5:$A$200)))-4),"❓ no rule (add to Mapping)"))</f>
        <v/>
      </c>
      <c r="I375" s="79" t="str">
        <f aca="false">IF(B375="","",TEXT(B375,"mmm"))</f>
        <v/>
      </c>
      <c r="J375" s="80" t="str">
        <f aca="false">IF(B375="","",YEAR(B375))</f>
        <v/>
      </c>
    </row>
    <row r="376" customFormat="false" ht="18" hidden="false" customHeight="true" outlineLevel="0" collapsed="false">
      <c r="A376" s="81" t="n">
        <v>371</v>
      </c>
      <c r="B376" s="95"/>
      <c r="C376" s="96"/>
      <c r="D376" s="96" t="str">
        <f aca="false">IF(C376="","",IF(OR(ISNUMBER(SEARCH("PAYROLL",UPPER(C376))),ISNUMBER(SEARCH("PAYCHECK",UPPER(C376))),ISNUMBER(SEARCH("DEPOSIT",UPPER(C376)))),"Income",IF(ISNUMBER(SEARCH("TRANSFER",UPPER(C376))),"Transfer","Expense")))</f>
        <v/>
      </c>
      <c r="E376" s="97" t="str">
        <f aca="false">IF(C376="","",IFERROR(INDEX(Mapping!$B$5:$B$200,SUMPRODUCT(MAX((ISNUMBER(SEARCH(Mapping!$A$5:$A$200,UPPER(C376&amp;""))))*ROW(Mapping!$A$5:$A$200)))-4),""))</f>
        <v/>
      </c>
      <c r="F376" s="98"/>
      <c r="G376" s="99" t="n">
        <f aca="false">IF(F376="",G375,G375+IF(D376="Income",F376,IF(D376="Expense",-F376,F376)))</f>
        <v>3408.09</v>
      </c>
      <c r="H376" s="100" t="str">
        <f aca="false">IF(C376="","",IFERROR(INDEX(Mapping!$A$5:$A$200,SUMPRODUCT(MAX((ISNUMBER(SEARCH(Mapping!$A$5:$A$200,UPPER(C376&amp;""))))*ROW(Mapping!$A$5:$A$200)))-4)&amp;" → "&amp;INDEX(Mapping!$B$5:$B$200,SUMPRODUCT(MAX((ISNUMBER(SEARCH(Mapping!$A$5:$A$200,UPPER(C376&amp;""))))*ROW(Mapping!$A$5:$A$200)))-4),"❓ no rule (add to Mapping)"))</f>
        <v/>
      </c>
      <c r="I376" s="79" t="str">
        <f aca="false">IF(B376="","",TEXT(B376,"mmm"))</f>
        <v/>
      </c>
      <c r="J376" s="80" t="str">
        <f aca="false">IF(B376="","",YEAR(B376))</f>
        <v/>
      </c>
    </row>
    <row r="377" customFormat="false" ht="18" hidden="false" customHeight="true" outlineLevel="0" collapsed="false">
      <c r="A377" s="81" t="n">
        <v>372</v>
      </c>
      <c r="B377" s="95"/>
      <c r="C377" s="96"/>
      <c r="D377" s="96" t="str">
        <f aca="false">IF(C377="","",IF(OR(ISNUMBER(SEARCH("PAYROLL",UPPER(C377))),ISNUMBER(SEARCH("PAYCHECK",UPPER(C377))),ISNUMBER(SEARCH("DEPOSIT",UPPER(C377)))),"Income",IF(ISNUMBER(SEARCH("TRANSFER",UPPER(C377))),"Transfer","Expense")))</f>
        <v/>
      </c>
      <c r="E377" s="97" t="str">
        <f aca="false">IF(C377="","",IFERROR(INDEX(Mapping!$B$5:$B$200,SUMPRODUCT(MAX((ISNUMBER(SEARCH(Mapping!$A$5:$A$200,UPPER(C377&amp;""))))*ROW(Mapping!$A$5:$A$200)))-4),""))</f>
        <v/>
      </c>
      <c r="F377" s="98"/>
      <c r="G377" s="99" t="n">
        <f aca="false">IF(F377="",G376,G376+IF(D377="Income",F377,IF(D377="Expense",-F377,F377)))</f>
        <v>3408.09</v>
      </c>
      <c r="H377" s="100" t="str">
        <f aca="false">IF(C377="","",IFERROR(INDEX(Mapping!$A$5:$A$200,SUMPRODUCT(MAX((ISNUMBER(SEARCH(Mapping!$A$5:$A$200,UPPER(C377&amp;""))))*ROW(Mapping!$A$5:$A$200)))-4)&amp;" → "&amp;INDEX(Mapping!$B$5:$B$200,SUMPRODUCT(MAX((ISNUMBER(SEARCH(Mapping!$A$5:$A$200,UPPER(C377&amp;""))))*ROW(Mapping!$A$5:$A$200)))-4),"❓ no rule (add to Mapping)"))</f>
        <v/>
      </c>
      <c r="I377" s="79" t="str">
        <f aca="false">IF(B377="","",TEXT(B377,"mmm"))</f>
        <v/>
      </c>
      <c r="J377" s="80" t="str">
        <f aca="false">IF(B377="","",YEAR(B377))</f>
        <v/>
      </c>
    </row>
    <row r="378" customFormat="false" ht="18" hidden="false" customHeight="true" outlineLevel="0" collapsed="false">
      <c r="A378" s="81" t="n">
        <v>373</v>
      </c>
      <c r="B378" s="95"/>
      <c r="C378" s="96"/>
      <c r="D378" s="96" t="str">
        <f aca="false">IF(C378="","",IF(OR(ISNUMBER(SEARCH("PAYROLL",UPPER(C378))),ISNUMBER(SEARCH("PAYCHECK",UPPER(C378))),ISNUMBER(SEARCH("DEPOSIT",UPPER(C378)))),"Income",IF(ISNUMBER(SEARCH("TRANSFER",UPPER(C378))),"Transfer","Expense")))</f>
        <v/>
      </c>
      <c r="E378" s="97" t="str">
        <f aca="false">IF(C378="","",IFERROR(INDEX(Mapping!$B$5:$B$200,SUMPRODUCT(MAX((ISNUMBER(SEARCH(Mapping!$A$5:$A$200,UPPER(C378&amp;""))))*ROW(Mapping!$A$5:$A$200)))-4),""))</f>
        <v/>
      </c>
      <c r="F378" s="98"/>
      <c r="G378" s="99" t="n">
        <f aca="false">IF(F378="",G377,G377+IF(D378="Income",F378,IF(D378="Expense",-F378,F378)))</f>
        <v>3408.09</v>
      </c>
      <c r="H378" s="100" t="str">
        <f aca="false">IF(C378="","",IFERROR(INDEX(Mapping!$A$5:$A$200,SUMPRODUCT(MAX((ISNUMBER(SEARCH(Mapping!$A$5:$A$200,UPPER(C378&amp;""))))*ROW(Mapping!$A$5:$A$200)))-4)&amp;" → "&amp;INDEX(Mapping!$B$5:$B$200,SUMPRODUCT(MAX((ISNUMBER(SEARCH(Mapping!$A$5:$A$200,UPPER(C378&amp;""))))*ROW(Mapping!$A$5:$A$200)))-4),"❓ no rule (add to Mapping)"))</f>
        <v/>
      </c>
      <c r="I378" s="79" t="str">
        <f aca="false">IF(B378="","",TEXT(B378,"mmm"))</f>
        <v/>
      </c>
      <c r="J378" s="80" t="str">
        <f aca="false">IF(B378="","",YEAR(B378))</f>
        <v/>
      </c>
    </row>
    <row r="379" customFormat="false" ht="18" hidden="false" customHeight="true" outlineLevel="0" collapsed="false">
      <c r="A379" s="81" t="n">
        <v>374</v>
      </c>
      <c r="B379" s="95"/>
      <c r="C379" s="96"/>
      <c r="D379" s="96" t="str">
        <f aca="false">IF(C379="","",IF(OR(ISNUMBER(SEARCH("PAYROLL",UPPER(C379))),ISNUMBER(SEARCH("PAYCHECK",UPPER(C379))),ISNUMBER(SEARCH("DEPOSIT",UPPER(C379)))),"Income",IF(ISNUMBER(SEARCH("TRANSFER",UPPER(C379))),"Transfer","Expense")))</f>
        <v/>
      </c>
      <c r="E379" s="97" t="str">
        <f aca="false">IF(C379="","",IFERROR(INDEX(Mapping!$B$5:$B$200,SUMPRODUCT(MAX((ISNUMBER(SEARCH(Mapping!$A$5:$A$200,UPPER(C379&amp;""))))*ROW(Mapping!$A$5:$A$200)))-4),""))</f>
        <v/>
      </c>
      <c r="F379" s="98"/>
      <c r="G379" s="99" t="n">
        <f aca="false">IF(F379="",G378,G378+IF(D379="Income",F379,IF(D379="Expense",-F379,F379)))</f>
        <v>3408.09</v>
      </c>
      <c r="H379" s="100" t="str">
        <f aca="false">IF(C379="","",IFERROR(INDEX(Mapping!$A$5:$A$200,SUMPRODUCT(MAX((ISNUMBER(SEARCH(Mapping!$A$5:$A$200,UPPER(C379&amp;""))))*ROW(Mapping!$A$5:$A$200)))-4)&amp;" → "&amp;INDEX(Mapping!$B$5:$B$200,SUMPRODUCT(MAX((ISNUMBER(SEARCH(Mapping!$A$5:$A$200,UPPER(C379&amp;""))))*ROW(Mapping!$A$5:$A$200)))-4),"❓ no rule (add to Mapping)"))</f>
        <v/>
      </c>
      <c r="I379" s="79" t="str">
        <f aca="false">IF(B379="","",TEXT(B379,"mmm"))</f>
        <v/>
      </c>
      <c r="J379" s="80" t="str">
        <f aca="false">IF(B379="","",YEAR(B379))</f>
        <v/>
      </c>
    </row>
    <row r="380" customFormat="false" ht="18" hidden="false" customHeight="true" outlineLevel="0" collapsed="false">
      <c r="A380" s="81" t="n">
        <v>375</v>
      </c>
      <c r="B380" s="95"/>
      <c r="C380" s="96"/>
      <c r="D380" s="96" t="str">
        <f aca="false">IF(C380="","",IF(OR(ISNUMBER(SEARCH("PAYROLL",UPPER(C380))),ISNUMBER(SEARCH("PAYCHECK",UPPER(C380))),ISNUMBER(SEARCH("DEPOSIT",UPPER(C380)))),"Income",IF(ISNUMBER(SEARCH("TRANSFER",UPPER(C380))),"Transfer","Expense")))</f>
        <v/>
      </c>
      <c r="E380" s="97" t="str">
        <f aca="false">IF(C380="","",IFERROR(INDEX(Mapping!$B$5:$B$200,SUMPRODUCT(MAX((ISNUMBER(SEARCH(Mapping!$A$5:$A$200,UPPER(C380&amp;""))))*ROW(Mapping!$A$5:$A$200)))-4),""))</f>
        <v/>
      </c>
      <c r="F380" s="98"/>
      <c r="G380" s="99" t="n">
        <f aca="false">IF(F380="",G379,G379+IF(D380="Income",F380,IF(D380="Expense",-F380,F380)))</f>
        <v>3408.09</v>
      </c>
      <c r="H380" s="100" t="str">
        <f aca="false">IF(C380="","",IFERROR(INDEX(Mapping!$A$5:$A$200,SUMPRODUCT(MAX((ISNUMBER(SEARCH(Mapping!$A$5:$A$200,UPPER(C380&amp;""))))*ROW(Mapping!$A$5:$A$200)))-4)&amp;" → "&amp;INDEX(Mapping!$B$5:$B$200,SUMPRODUCT(MAX((ISNUMBER(SEARCH(Mapping!$A$5:$A$200,UPPER(C380&amp;""))))*ROW(Mapping!$A$5:$A$200)))-4),"❓ no rule (add to Mapping)"))</f>
        <v/>
      </c>
      <c r="I380" s="79" t="str">
        <f aca="false">IF(B380="","",TEXT(B380,"mmm"))</f>
        <v/>
      </c>
      <c r="J380" s="80" t="str">
        <f aca="false">IF(B380="","",YEAR(B380))</f>
        <v/>
      </c>
    </row>
    <row r="381" customFormat="false" ht="18" hidden="false" customHeight="true" outlineLevel="0" collapsed="false">
      <c r="A381" s="81" t="n">
        <v>376</v>
      </c>
      <c r="B381" s="95"/>
      <c r="C381" s="96"/>
      <c r="D381" s="96" t="str">
        <f aca="false">IF(C381="","",IF(OR(ISNUMBER(SEARCH("PAYROLL",UPPER(C381))),ISNUMBER(SEARCH("PAYCHECK",UPPER(C381))),ISNUMBER(SEARCH("DEPOSIT",UPPER(C381)))),"Income",IF(ISNUMBER(SEARCH("TRANSFER",UPPER(C381))),"Transfer","Expense")))</f>
        <v/>
      </c>
      <c r="E381" s="97" t="str">
        <f aca="false">IF(C381="","",IFERROR(INDEX(Mapping!$B$5:$B$200,SUMPRODUCT(MAX((ISNUMBER(SEARCH(Mapping!$A$5:$A$200,UPPER(C381&amp;""))))*ROW(Mapping!$A$5:$A$200)))-4),""))</f>
        <v/>
      </c>
      <c r="F381" s="98"/>
      <c r="G381" s="99" t="n">
        <f aca="false">IF(F381="",G380,G380+IF(D381="Income",F381,IF(D381="Expense",-F381,F381)))</f>
        <v>3408.09</v>
      </c>
      <c r="H381" s="100" t="str">
        <f aca="false">IF(C381="","",IFERROR(INDEX(Mapping!$A$5:$A$200,SUMPRODUCT(MAX((ISNUMBER(SEARCH(Mapping!$A$5:$A$200,UPPER(C381&amp;""))))*ROW(Mapping!$A$5:$A$200)))-4)&amp;" → "&amp;INDEX(Mapping!$B$5:$B$200,SUMPRODUCT(MAX((ISNUMBER(SEARCH(Mapping!$A$5:$A$200,UPPER(C381&amp;""))))*ROW(Mapping!$A$5:$A$200)))-4),"❓ no rule (add to Mapping)"))</f>
        <v/>
      </c>
      <c r="I381" s="79" t="str">
        <f aca="false">IF(B381="","",TEXT(B381,"mmm"))</f>
        <v/>
      </c>
      <c r="J381" s="80" t="str">
        <f aca="false">IF(B381="","",YEAR(B381))</f>
        <v/>
      </c>
    </row>
    <row r="382" customFormat="false" ht="18" hidden="false" customHeight="true" outlineLevel="0" collapsed="false">
      <c r="A382" s="81" t="n">
        <v>377</v>
      </c>
      <c r="B382" s="95"/>
      <c r="C382" s="96"/>
      <c r="D382" s="96" t="str">
        <f aca="false">IF(C382="","",IF(OR(ISNUMBER(SEARCH("PAYROLL",UPPER(C382))),ISNUMBER(SEARCH("PAYCHECK",UPPER(C382))),ISNUMBER(SEARCH("DEPOSIT",UPPER(C382)))),"Income",IF(ISNUMBER(SEARCH("TRANSFER",UPPER(C382))),"Transfer","Expense")))</f>
        <v/>
      </c>
      <c r="E382" s="97" t="str">
        <f aca="false">IF(C382="","",IFERROR(INDEX(Mapping!$B$5:$B$200,SUMPRODUCT(MAX((ISNUMBER(SEARCH(Mapping!$A$5:$A$200,UPPER(C382&amp;""))))*ROW(Mapping!$A$5:$A$200)))-4),""))</f>
        <v/>
      </c>
      <c r="F382" s="98"/>
      <c r="G382" s="99" t="n">
        <f aca="false">IF(F382="",G381,G381+IF(D382="Income",F382,IF(D382="Expense",-F382,F382)))</f>
        <v>3408.09</v>
      </c>
      <c r="H382" s="100" t="str">
        <f aca="false">IF(C382="","",IFERROR(INDEX(Mapping!$A$5:$A$200,SUMPRODUCT(MAX((ISNUMBER(SEARCH(Mapping!$A$5:$A$200,UPPER(C382&amp;""))))*ROW(Mapping!$A$5:$A$200)))-4)&amp;" → "&amp;INDEX(Mapping!$B$5:$B$200,SUMPRODUCT(MAX((ISNUMBER(SEARCH(Mapping!$A$5:$A$200,UPPER(C382&amp;""))))*ROW(Mapping!$A$5:$A$200)))-4),"❓ no rule (add to Mapping)"))</f>
        <v/>
      </c>
      <c r="I382" s="79" t="str">
        <f aca="false">IF(B382="","",TEXT(B382,"mmm"))</f>
        <v/>
      </c>
      <c r="J382" s="80" t="str">
        <f aca="false">IF(B382="","",YEAR(B382))</f>
        <v/>
      </c>
    </row>
    <row r="383" customFormat="false" ht="18" hidden="false" customHeight="true" outlineLevel="0" collapsed="false">
      <c r="A383" s="81" t="n">
        <v>378</v>
      </c>
      <c r="B383" s="95"/>
      <c r="C383" s="96"/>
      <c r="D383" s="96" t="str">
        <f aca="false">IF(C383="","",IF(OR(ISNUMBER(SEARCH("PAYROLL",UPPER(C383))),ISNUMBER(SEARCH("PAYCHECK",UPPER(C383))),ISNUMBER(SEARCH("DEPOSIT",UPPER(C383)))),"Income",IF(ISNUMBER(SEARCH("TRANSFER",UPPER(C383))),"Transfer","Expense")))</f>
        <v/>
      </c>
      <c r="E383" s="97" t="str">
        <f aca="false">IF(C383="","",IFERROR(INDEX(Mapping!$B$5:$B$200,SUMPRODUCT(MAX((ISNUMBER(SEARCH(Mapping!$A$5:$A$200,UPPER(C383&amp;""))))*ROW(Mapping!$A$5:$A$200)))-4),""))</f>
        <v/>
      </c>
      <c r="F383" s="98"/>
      <c r="G383" s="99" t="n">
        <f aca="false">IF(F383="",G382,G382+IF(D383="Income",F383,IF(D383="Expense",-F383,F383)))</f>
        <v>3408.09</v>
      </c>
      <c r="H383" s="100" t="str">
        <f aca="false">IF(C383="","",IFERROR(INDEX(Mapping!$A$5:$A$200,SUMPRODUCT(MAX((ISNUMBER(SEARCH(Mapping!$A$5:$A$200,UPPER(C383&amp;""))))*ROW(Mapping!$A$5:$A$200)))-4)&amp;" → "&amp;INDEX(Mapping!$B$5:$B$200,SUMPRODUCT(MAX((ISNUMBER(SEARCH(Mapping!$A$5:$A$200,UPPER(C383&amp;""))))*ROW(Mapping!$A$5:$A$200)))-4),"❓ no rule (add to Mapping)"))</f>
        <v/>
      </c>
      <c r="I383" s="79" t="str">
        <f aca="false">IF(B383="","",TEXT(B383,"mmm"))</f>
        <v/>
      </c>
      <c r="J383" s="80" t="str">
        <f aca="false">IF(B383="","",YEAR(B383))</f>
        <v/>
      </c>
    </row>
    <row r="384" customFormat="false" ht="18" hidden="false" customHeight="true" outlineLevel="0" collapsed="false">
      <c r="A384" s="81" t="n">
        <v>379</v>
      </c>
      <c r="B384" s="95"/>
      <c r="C384" s="96"/>
      <c r="D384" s="96" t="str">
        <f aca="false">IF(C384="","",IF(OR(ISNUMBER(SEARCH("PAYROLL",UPPER(C384))),ISNUMBER(SEARCH("PAYCHECK",UPPER(C384))),ISNUMBER(SEARCH("DEPOSIT",UPPER(C384)))),"Income",IF(ISNUMBER(SEARCH("TRANSFER",UPPER(C384))),"Transfer","Expense")))</f>
        <v/>
      </c>
      <c r="E384" s="97" t="str">
        <f aca="false">IF(C384="","",IFERROR(INDEX(Mapping!$B$5:$B$200,SUMPRODUCT(MAX((ISNUMBER(SEARCH(Mapping!$A$5:$A$200,UPPER(C384&amp;""))))*ROW(Mapping!$A$5:$A$200)))-4),""))</f>
        <v/>
      </c>
      <c r="F384" s="98"/>
      <c r="G384" s="99" t="n">
        <f aca="false">IF(F384="",G383,G383+IF(D384="Income",F384,IF(D384="Expense",-F384,F384)))</f>
        <v>3408.09</v>
      </c>
      <c r="H384" s="100" t="str">
        <f aca="false">IF(C384="","",IFERROR(INDEX(Mapping!$A$5:$A$200,SUMPRODUCT(MAX((ISNUMBER(SEARCH(Mapping!$A$5:$A$200,UPPER(C384&amp;""))))*ROW(Mapping!$A$5:$A$200)))-4)&amp;" → "&amp;INDEX(Mapping!$B$5:$B$200,SUMPRODUCT(MAX((ISNUMBER(SEARCH(Mapping!$A$5:$A$200,UPPER(C384&amp;""))))*ROW(Mapping!$A$5:$A$200)))-4),"❓ no rule (add to Mapping)"))</f>
        <v/>
      </c>
      <c r="I384" s="79" t="str">
        <f aca="false">IF(B384="","",TEXT(B384,"mmm"))</f>
        <v/>
      </c>
      <c r="J384" s="80" t="str">
        <f aca="false">IF(B384="","",YEAR(B384))</f>
        <v/>
      </c>
    </row>
    <row r="385" customFormat="false" ht="18" hidden="false" customHeight="true" outlineLevel="0" collapsed="false">
      <c r="A385" s="81" t="n">
        <v>380</v>
      </c>
      <c r="B385" s="95"/>
      <c r="C385" s="96"/>
      <c r="D385" s="96" t="str">
        <f aca="false">IF(C385="","",IF(OR(ISNUMBER(SEARCH("PAYROLL",UPPER(C385))),ISNUMBER(SEARCH("PAYCHECK",UPPER(C385))),ISNUMBER(SEARCH("DEPOSIT",UPPER(C385)))),"Income",IF(ISNUMBER(SEARCH("TRANSFER",UPPER(C385))),"Transfer","Expense")))</f>
        <v/>
      </c>
      <c r="E385" s="97" t="str">
        <f aca="false">IF(C385="","",IFERROR(INDEX(Mapping!$B$5:$B$200,SUMPRODUCT(MAX((ISNUMBER(SEARCH(Mapping!$A$5:$A$200,UPPER(C385&amp;""))))*ROW(Mapping!$A$5:$A$200)))-4),""))</f>
        <v/>
      </c>
      <c r="F385" s="98"/>
      <c r="G385" s="99" t="n">
        <f aca="false">IF(F385="",G384,G384+IF(D385="Income",F385,IF(D385="Expense",-F385,F385)))</f>
        <v>3408.09</v>
      </c>
      <c r="H385" s="100" t="str">
        <f aca="false">IF(C385="","",IFERROR(INDEX(Mapping!$A$5:$A$200,SUMPRODUCT(MAX((ISNUMBER(SEARCH(Mapping!$A$5:$A$200,UPPER(C385&amp;""))))*ROW(Mapping!$A$5:$A$200)))-4)&amp;" → "&amp;INDEX(Mapping!$B$5:$B$200,SUMPRODUCT(MAX((ISNUMBER(SEARCH(Mapping!$A$5:$A$200,UPPER(C385&amp;""))))*ROW(Mapping!$A$5:$A$200)))-4),"❓ no rule (add to Mapping)"))</f>
        <v/>
      </c>
      <c r="I385" s="79" t="str">
        <f aca="false">IF(B385="","",TEXT(B385,"mmm"))</f>
        <v/>
      </c>
      <c r="J385" s="80" t="str">
        <f aca="false">IF(B385="","",YEAR(B385))</f>
        <v/>
      </c>
    </row>
    <row r="386" customFormat="false" ht="18" hidden="false" customHeight="true" outlineLevel="0" collapsed="false">
      <c r="A386" s="81" t="n">
        <v>381</v>
      </c>
      <c r="B386" s="95"/>
      <c r="C386" s="96"/>
      <c r="D386" s="96" t="str">
        <f aca="false">IF(C386="","",IF(OR(ISNUMBER(SEARCH("PAYROLL",UPPER(C386))),ISNUMBER(SEARCH("PAYCHECK",UPPER(C386))),ISNUMBER(SEARCH("DEPOSIT",UPPER(C386)))),"Income",IF(ISNUMBER(SEARCH("TRANSFER",UPPER(C386))),"Transfer","Expense")))</f>
        <v/>
      </c>
      <c r="E386" s="97" t="str">
        <f aca="false">IF(C386="","",IFERROR(INDEX(Mapping!$B$5:$B$200,SUMPRODUCT(MAX((ISNUMBER(SEARCH(Mapping!$A$5:$A$200,UPPER(C386&amp;""))))*ROW(Mapping!$A$5:$A$200)))-4),""))</f>
        <v/>
      </c>
      <c r="F386" s="98"/>
      <c r="G386" s="99" t="n">
        <f aca="false">IF(F386="",G385,G385+IF(D386="Income",F386,IF(D386="Expense",-F386,F386)))</f>
        <v>3408.09</v>
      </c>
      <c r="H386" s="100" t="str">
        <f aca="false">IF(C386="","",IFERROR(INDEX(Mapping!$A$5:$A$200,SUMPRODUCT(MAX((ISNUMBER(SEARCH(Mapping!$A$5:$A$200,UPPER(C386&amp;""))))*ROW(Mapping!$A$5:$A$200)))-4)&amp;" → "&amp;INDEX(Mapping!$B$5:$B$200,SUMPRODUCT(MAX((ISNUMBER(SEARCH(Mapping!$A$5:$A$200,UPPER(C386&amp;""))))*ROW(Mapping!$A$5:$A$200)))-4),"❓ no rule (add to Mapping)"))</f>
        <v/>
      </c>
      <c r="I386" s="79" t="str">
        <f aca="false">IF(B386="","",TEXT(B386,"mmm"))</f>
        <v/>
      </c>
      <c r="J386" s="80" t="str">
        <f aca="false">IF(B386="","",YEAR(B386))</f>
        <v/>
      </c>
    </row>
    <row r="387" customFormat="false" ht="18" hidden="false" customHeight="true" outlineLevel="0" collapsed="false">
      <c r="A387" s="81" t="n">
        <v>382</v>
      </c>
      <c r="B387" s="95"/>
      <c r="C387" s="96"/>
      <c r="D387" s="96" t="str">
        <f aca="false">IF(C387="","",IF(OR(ISNUMBER(SEARCH("PAYROLL",UPPER(C387))),ISNUMBER(SEARCH("PAYCHECK",UPPER(C387))),ISNUMBER(SEARCH("DEPOSIT",UPPER(C387)))),"Income",IF(ISNUMBER(SEARCH("TRANSFER",UPPER(C387))),"Transfer","Expense")))</f>
        <v/>
      </c>
      <c r="E387" s="97" t="str">
        <f aca="false">IF(C387="","",IFERROR(INDEX(Mapping!$B$5:$B$200,SUMPRODUCT(MAX((ISNUMBER(SEARCH(Mapping!$A$5:$A$200,UPPER(C387&amp;""))))*ROW(Mapping!$A$5:$A$200)))-4),""))</f>
        <v/>
      </c>
      <c r="F387" s="98"/>
      <c r="G387" s="99" t="n">
        <f aca="false">IF(F387="",G386,G386+IF(D387="Income",F387,IF(D387="Expense",-F387,F387)))</f>
        <v>3408.09</v>
      </c>
      <c r="H387" s="100" t="str">
        <f aca="false">IF(C387="","",IFERROR(INDEX(Mapping!$A$5:$A$200,SUMPRODUCT(MAX((ISNUMBER(SEARCH(Mapping!$A$5:$A$200,UPPER(C387&amp;""))))*ROW(Mapping!$A$5:$A$200)))-4)&amp;" → "&amp;INDEX(Mapping!$B$5:$B$200,SUMPRODUCT(MAX((ISNUMBER(SEARCH(Mapping!$A$5:$A$200,UPPER(C387&amp;""))))*ROW(Mapping!$A$5:$A$200)))-4),"❓ no rule (add to Mapping)"))</f>
        <v/>
      </c>
      <c r="I387" s="79" t="str">
        <f aca="false">IF(B387="","",TEXT(B387,"mmm"))</f>
        <v/>
      </c>
      <c r="J387" s="80" t="str">
        <f aca="false">IF(B387="","",YEAR(B387))</f>
        <v/>
      </c>
    </row>
    <row r="388" customFormat="false" ht="18" hidden="false" customHeight="true" outlineLevel="0" collapsed="false">
      <c r="A388" s="81" t="n">
        <v>383</v>
      </c>
      <c r="B388" s="95"/>
      <c r="C388" s="96"/>
      <c r="D388" s="96" t="str">
        <f aca="false">IF(C388="","",IF(OR(ISNUMBER(SEARCH("PAYROLL",UPPER(C388))),ISNUMBER(SEARCH("PAYCHECK",UPPER(C388))),ISNUMBER(SEARCH("DEPOSIT",UPPER(C388)))),"Income",IF(ISNUMBER(SEARCH("TRANSFER",UPPER(C388))),"Transfer","Expense")))</f>
        <v/>
      </c>
      <c r="E388" s="97" t="str">
        <f aca="false">IF(C388="","",IFERROR(INDEX(Mapping!$B$5:$B$200,SUMPRODUCT(MAX((ISNUMBER(SEARCH(Mapping!$A$5:$A$200,UPPER(C388&amp;""))))*ROW(Mapping!$A$5:$A$200)))-4),""))</f>
        <v/>
      </c>
      <c r="F388" s="98"/>
      <c r="G388" s="99" t="n">
        <f aca="false">IF(F388="",G387,G387+IF(D388="Income",F388,IF(D388="Expense",-F388,F388)))</f>
        <v>3408.09</v>
      </c>
      <c r="H388" s="100" t="str">
        <f aca="false">IF(C388="","",IFERROR(INDEX(Mapping!$A$5:$A$200,SUMPRODUCT(MAX((ISNUMBER(SEARCH(Mapping!$A$5:$A$200,UPPER(C388&amp;""))))*ROW(Mapping!$A$5:$A$200)))-4)&amp;" → "&amp;INDEX(Mapping!$B$5:$B$200,SUMPRODUCT(MAX((ISNUMBER(SEARCH(Mapping!$A$5:$A$200,UPPER(C388&amp;""))))*ROW(Mapping!$A$5:$A$200)))-4),"❓ no rule (add to Mapping)"))</f>
        <v/>
      </c>
      <c r="I388" s="79" t="str">
        <f aca="false">IF(B388="","",TEXT(B388,"mmm"))</f>
        <v/>
      </c>
      <c r="J388" s="80" t="str">
        <f aca="false">IF(B388="","",YEAR(B388))</f>
        <v/>
      </c>
    </row>
    <row r="389" customFormat="false" ht="18" hidden="false" customHeight="true" outlineLevel="0" collapsed="false">
      <c r="A389" s="81" t="n">
        <v>384</v>
      </c>
      <c r="B389" s="95"/>
      <c r="C389" s="96"/>
      <c r="D389" s="96" t="str">
        <f aca="false">IF(C389="","",IF(OR(ISNUMBER(SEARCH("PAYROLL",UPPER(C389))),ISNUMBER(SEARCH("PAYCHECK",UPPER(C389))),ISNUMBER(SEARCH("DEPOSIT",UPPER(C389)))),"Income",IF(ISNUMBER(SEARCH("TRANSFER",UPPER(C389))),"Transfer","Expense")))</f>
        <v/>
      </c>
      <c r="E389" s="97" t="str">
        <f aca="false">IF(C389="","",IFERROR(INDEX(Mapping!$B$5:$B$200,SUMPRODUCT(MAX((ISNUMBER(SEARCH(Mapping!$A$5:$A$200,UPPER(C389&amp;""))))*ROW(Mapping!$A$5:$A$200)))-4),""))</f>
        <v/>
      </c>
      <c r="F389" s="98"/>
      <c r="G389" s="99" t="n">
        <f aca="false">IF(F389="",G388,G388+IF(D389="Income",F389,IF(D389="Expense",-F389,F389)))</f>
        <v>3408.09</v>
      </c>
      <c r="H389" s="100" t="str">
        <f aca="false">IF(C389="","",IFERROR(INDEX(Mapping!$A$5:$A$200,SUMPRODUCT(MAX((ISNUMBER(SEARCH(Mapping!$A$5:$A$200,UPPER(C389&amp;""))))*ROW(Mapping!$A$5:$A$200)))-4)&amp;" → "&amp;INDEX(Mapping!$B$5:$B$200,SUMPRODUCT(MAX((ISNUMBER(SEARCH(Mapping!$A$5:$A$200,UPPER(C389&amp;""))))*ROW(Mapping!$A$5:$A$200)))-4),"❓ no rule (add to Mapping)"))</f>
        <v/>
      </c>
      <c r="I389" s="79" t="str">
        <f aca="false">IF(B389="","",TEXT(B389,"mmm"))</f>
        <v/>
      </c>
      <c r="J389" s="80" t="str">
        <f aca="false">IF(B389="","",YEAR(B389))</f>
        <v/>
      </c>
    </row>
    <row r="390" customFormat="false" ht="18" hidden="false" customHeight="true" outlineLevel="0" collapsed="false">
      <c r="A390" s="81" t="n">
        <v>385</v>
      </c>
      <c r="B390" s="95"/>
      <c r="C390" s="96"/>
      <c r="D390" s="96" t="str">
        <f aca="false">IF(C390="","",IF(OR(ISNUMBER(SEARCH("PAYROLL",UPPER(C390))),ISNUMBER(SEARCH("PAYCHECK",UPPER(C390))),ISNUMBER(SEARCH("DEPOSIT",UPPER(C390)))),"Income",IF(ISNUMBER(SEARCH("TRANSFER",UPPER(C390))),"Transfer","Expense")))</f>
        <v/>
      </c>
      <c r="E390" s="97" t="str">
        <f aca="false">IF(C390="","",IFERROR(INDEX(Mapping!$B$5:$B$200,SUMPRODUCT(MAX((ISNUMBER(SEARCH(Mapping!$A$5:$A$200,UPPER(C390&amp;""))))*ROW(Mapping!$A$5:$A$200)))-4),""))</f>
        <v/>
      </c>
      <c r="F390" s="98"/>
      <c r="G390" s="99" t="n">
        <f aca="false">IF(F390="",G389,G389+IF(D390="Income",F390,IF(D390="Expense",-F390,F390)))</f>
        <v>3408.09</v>
      </c>
      <c r="H390" s="100" t="str">
        <f aca="false">IF(C390="","",IFERROR(INDEX(Mapping!$A$5:$A$200,SUMPRODUCT(MAX((ISNUMBER(SEARCH(Mapping!$A$5:$A$200,UPPER(C390&amp;""))))*ROW(Mapping!$A$5:$A$200)))-4)&amp;" → "&amp;INDEX(Mapping!$B$5:$B$200,SUMPRODUCT(MAX((ISNUMBER(SEARCH(Mapping!$A$5:$A$200,UPPER(C390&amp;""))))*ROW(Mapping!$A$5:$A$200)))-4),"❓ no rule (add to Mapping)"))</f>
        <v/>
      </c>
      <c r="I390" s="79" t="str">
        <f aca="false">IF(B390="","",TEXT(B390,"mmm"))</f>
        <v/>
      </c>
      <c r="J390" s="80" t="str">
        <f aca="false">IF(B390="","",YEAR(B390))</f>
        <v/>
      </c>
    </row>
    <row r="391" customFormat="false" ht="18" hidden="false" customHeight="true" outlineLevel="0" collapsed="false">
      <c r="A391" s="81" t="n">
        <v>386</v>
      </c>
      <c r="B391" s="95"/>
      <c r="C391" s="96"/>
      <c r="D391" s="96" t="str">
        <f aca="false">IF(C391="","",IF(OR(ISNUMBER(SEARCH("PAYROLL",UPPER(C391))),ISNUMBER(SEARCH("PAYCHECK",UPPER(C391))),ISNUMBER(SEARCH("DEPOSIT",UPPER(C391)))),"Income",IF(ISNUMBER(SEARCH("TRANSFER",UPPER(C391))),"Transfer","Expense")))</f>
        <v/>
      </c>
      <c r="E391" s="97" t="str">
        <f aca="false">IF(C391="","",IFERROR(INDEX(Mapping!$B$5:$B$200,SUMPRODUCT(MAX((ISNUMBER(SEARCH(Mapping!$A$5:$A$200,UPPER(C391&amp;""))))*ROW(Mapping!$A$5:$A$200)))-4),""))</f>
        <v/>
      </c>
      <c r="F391" s="98"/>
      <c r="G391" s="99" t="n">
        <f aca="false">IF(F391="",G390,G390+IF(D391="Income",F391,IF(D391="Expense",-F391,F391)))</f>
        <v>3408.09</v>
      </c>
      <c r="H391" s="100" t="str">
        <f aca="false">IF(C391="","",IFERROR(INDEX(Mapping!$A$5:$A$200,SUMPRODUCT(MAX((ISNUMBER(SEARCH(Mapping!$A$5:$A$200,UPPER(C391&amp;""))))*ROW(Mapping!$A$5:$A$200)))-4)&amp;" → "&amp;INDEX(Mapping!$B$5:$B$200,SUMPRODUCT(MAX((ISNUMBER(SEARCH(Mapping!$A$5:$A$200,UPPER(C391&amp;""))))*ROW(Mapping!$A$5:$A$200)))-4),"❓ no rule (add to Mapping)"))</f>
        <v/>
      </c>
      <c r="I391" s="79" t="str">
        <f aca="false">IF(B391="","",TEXT(B391,"mmm"))</f>
        <v/>
      </c>
      <c r="J391" s="80" t="str">
        <f aca="false">IF(B391="","",YEAR(B391))</f>
        <v/>
      </c>
    </row>
    <row r="392" customFormat="false" ht="18" hidden="false" customHeight="true" outlineLevel="0" collapsed="false">
      <c r="A392" s="81" t="n">
        <v>387</v>
      </c>
      <c r="B392" s="95"/>
      <c r="C392" s="96"/>
      <c r="D392" s="96" t="str">
        <f aca="false">IF(C392="","",IF(OR(ISNUMBER(SEARCH("PAYROLL",UPPER(C392))),ISNUMBER(SEARCH("PAYCHECK",UPPER(C392))),ISNUMBER(SEARCH("DEPOSIT",UPPER(C392)))),"Income",IF(ISNUMBER(SEARCH("TRANSFER",UPPER(C392))),"Transfer","Expense")))</f>
        <v/>
      </c>
      <c r="E392" s="97" t="str">
        <f aca="false">IF(C392="","",IFERROR(INDEX(Mapping!$B$5:$B$200,SUMPRODUCT(MAX((ISNUMBER(SEARCH(Mapping!$A$5:$A$200,UPPER(C392&amp;""))))*ROW(Mapping!$A$5:$A$200)))-4),""))</f>
        <v/>
      </c>
      <c r="F392" s="98"/>
      <c r="G392" s="99" t="n">
        <f aca="false">IF(F392="",G391,G391+IF(D392="Income",F392,IF(D392="Expense",-F392,F392)))</f>
        <v>3408.09</v>
      </c>
      <c r="H392" s="100" t="str">
        <f aca="false">IF(C392="","",IFERROR(INDEX(Mapping!$A$5:$A$200,SUMPRODUCT(MAX((ISNUMBER(SEARCH(Mapping!$A$5:$A$200,UPPER(C392&amp;""))))*ROW(Mapping!$A$5:$A$200)))-4)&amp;" → "&amp;INDEX(Mapping!$B$5:$B$200,SUMPRODUCT(MAX((ISNUMBER(SEARCH(Mapping!$A$5:$A$200,UPPER(C392&amp;""))))*ROW(Mapping!$A$5:$A$200)))-4),"❓ no rule (add to Mapping)"))</f>
        <v/>
      </c>
      <c r="I392" s="79" t="str">
        <f aca="false">IF(B392="","",TEXT(B392,"mmm"))</f>
        <v/>
      </c>
      <c r="J392" s="80" t="str">
        <f aca="false">IF(B392="","",YEAR(B392))</f>
        <v/>
      </c>
    </row>
    <row r="393" customFormat="false" ht="18" hidden="false" customHeight="true" outlineLevel="0" collapsed="false">
      <c r="A393" s="81" t="n">
        <v>388</v>
      </c>
      <c r="B393" s="95"/>
      <c r="C393" s="96"/>
      <c r="D393" s="96" t="str">
        <f aca="false">IF(C393="","",IF(OR(ISNUMBER(SEARCH("PAYROLL",UPPER(C393))),ISNUMBER(SEARCH("PAYCHECK",UPPER(C393))),ISNUMBER(SEARCH("DEPOSIT",UPPER(C393)))),"Income",IF(ISNUMBER(SEARCH("TRANSFER",UPPER(C393))),"Transfer","Expense")))</f>
        <v/>
      </c>
      <c r="E393" s="97" t="str">
        <f aca="false">IF(C393="","",IFERROR(INDEX(Mapping!$B$5:$B$200,SUMPRODUCT(MAX((ISNUMBER(SEARCH(Mapping!$A$5:$A$200,UPPER(C393&amp;""))))*ROW(Mapping!$A$5:$A$200)))-4),""))</f>
        <v/>
      </c>
      <c r="F393" s="98"/>
      <c r="G393" s="99" t="n">
        <f aca="false">IF(F393="",G392,G392+IF(D393="Income",F393,IF(D393="Expense",-F393,F393)))</f>
        <v>3408.09</v>
      </c>
      <c r="H393" s="100" t="str">
        <f aca="false">IF(C393="","",IFERROR(INDEX(Mapping!$A$5:$A$200,SUMPRODUCT(MAX((ISNUMBER(SEARCH(Mapping!$A$5:$A$200,UPPER(C393&amp;""))))*ROW(Mapping!$A$5:$A$200)))-4)&amp;" → "&amp;INDEX(Mapping!$B$5:$B$200,SUMPRODUCT(MAX((ISNUMBER(SEARCH(Mapping!$A$5:$A$200,UPPER(C393&amp;""))))*ROW(Mapping!$A$5:$A$200)))-4),"❓ no rule (add to Mapping)"))</f>
        <v/>
      </c>
      <c r="I393" s="79" t="str">
        <f aca="false">IF(B393="","",TEXT(B393,"mmm"))</f>
        <v/>
      </c>
      <c r="J393" s="80" t="str">
        <f aca="false">IF(B393="","",YEAR(B393))</f>
        <v/>
      </c>
    </row>
    <row r="394" customFormat="false" ht="18" hidden="false" customHeight="true" outlineLevel="0" collapsed="false">
      <c r="A394" s="81" t="n">
        <v>389</v>
      </c>
      <c r="B394" s="95"/>
      <c r="C394" s="96"/>
      <c r="D394" s="96" t="str">
        <f aca="false">IF(C394="","",IF(OR(ISNUMBER(SEARCH("PAYROLL",UPPER(C394))),ISNUMBER(SEARCH("PAYCHECK",UPPER(C394))),ISNUMBER(SEARCH("DEPOSIT",UPPER(C394)))),"Income",IF(ISNUMBER(SEARCH("TRANSFER",UPPER(C394))),"Transfer","Expense")))</f>
        <v/>
      </c>
      <c r="E394" s="97" t="str">
        <f aca="false">IF(C394="","",IFERROR(INDEX(Mapping!$B$5:$B$200,SUMPRODUCT(MAX((ISNUMBER(SEARCH(Mapping!$A$5:$A$200,UPPER(C394&amp;""))))*ROW(Mapping!$A$5:$A$200)))-4),""))</f>
        <v/>
      </c>
      <c r="F394" s="98"/>
      <c r="G394" s="99" t="n">
        <f aca="false">IF(F394="",G393,G393+IF(D394="Income",F394,IF(D394="Expense",-F394,F394)))</f>
        <v>3408.09</v>
      </c>
      <c r="H394" s="100" t="str">
        <f aca="false">IF(C394="","",IFERROR(INDEX(Mapping!$A$5:$A$200,SUMPRODUCT(MAX((ISNUMBER(SEARCH(Mapping!$A$5:$A$200,UPPER(C394&amp;""))))*ROW(Mapping!$A$5:$A$200)))-4)&amp;" → "&amp;INDEX(Mapping!$B$5:$B$200,SUMPRODUCT(MAX((ISNUMBER(SEARCH(Mapping!$A$5:$A$200,UPPER(C394&amp;""))))*ROW(Mapping!$A$5:$A$200)))-4),"❓ no rule (add to Mapping)"))</f>
        <v/>
      </c>
      <c r="I394" s="79" t="str">
        <f aca="false">IF(B394="","",TEXT(B394,"mmm"))</f>
        <v/>
      </c>
      <c r="J394" s="80" t="str">
        <f aca="false">IF(B394="","",YEAR(B394))</f>
        <v/>
      </c>
    </row>
    <row r="395" customFormat="false" ht="18" hidden="false" customHeight="true" outlineLevel="0" collapsed="false">
      <c r="A395" s="81" t="n">
        <v>390</v>
      </c>
      <c r="B395" s="95"/>
      <c r="C395" s="96"/>
      <c r="D395" s="96" t="str">
        <f aca="false">IF(C395="","",IF(OR(ISNUMBER(SEARCH("PAYROLL",UPPER(C395))),ISNUMBER(SEARCH("PAYCHECK",UPPER(C395))),ISNUMBER(SEARCH("DEPOSIT",UPPER(C395)))),"Income",IF(ISNUMBER(SEARCH("TRANSFER",UPPER(C395))),"Transfer","Expense")))</f>
        <v/>
      </c>
      <c r="E395" s="97" t="str">
        <f aca="false">IF(C395="","",IFERROR(INDEX(Mapping!$B$5:$B$200,SUMPRODUCT(MAX((ISNUMBER(SEARCH(Mapping!$A$5:$A$200,UPPER(C395&amp;""))))*ROW(Mapping!$A$5:$A$200)))-4),""))</f>
        <v/>
      </c>
      <c r="F395" s="98"/>
      <c r="G395" s="99" t="n">
        <f aca="false">IF(F395="",G394,G394+IF(D395="Income",F395,IF(D395="Expense",-F395,F395)))</f>
        <v>3408.09</v>
      </c>
      <c r="H395" s="100" t="str">
        <f aca="false">IF(C395="","",IFERROR(INDEX(Mapping!$A$5:$A$200,SUMPRODUCT(MAX((ISNUMBER(SEARCH(Mapping!$A$5:$A$200,UPPER(C395&amp;""))))*ROW(Mapping!$A$5:$A$200)))-4)&amp;" → "&amp;INDEX(Mapping!$B$5:$B$200,SUMPRODUCT(MAX((ISNUMBER(SEARCH(Mapping!$A$5:$A$200,UPPER(C395&amp;""))))*ROW(Mapping!$A$5:$A$200)))-4),"❓ no rule (add to Mapping)"))</f>
        <v/>
      </c>
      <c r="I395" s="79" t="str">
        <f aca="false">IF(B395="","",TEXT(B395,"mmm"))</f>
        <v/>
      </c>
      <c r="J395" s="80" t="str">
        <f aca="false">IF(B395="","",YEAR(B395))</f>
        <v/>
      </c>
    </row>
    <row r="396" customFormat="false" ht="18" hidden="false" customHeight="true" outlineLevel="0" collapsed="false">
      <c r="A396" s="81" t="n">
        <v>391</v>
      </c>
      <c r="B396" s="95"/>
      <c r="C396" s="96"/>
      <c r="D396" s="96" t="str">
        <f aca="false">IF(C396="","",IF(OR(ISNUMBER(SEARCH("PAYROLL",UPPER(C396))),ISNUMBER(SEARCH("PAYCHECK",UPPER(C396))),ISNUMBER(SEARCH("DEPOSIT",UPPER(C396)))),"Income",IF(ISNUMBER(SEARCH("TRANSFER",UPPER(C396))),"Transfer","Expense")))</f>
        <v/>
      </c>
      <c r="E396" s="97" t="str">
        <f aca="false">IF(C396="","",IFERROR(INDEX(Mapping!$B$5:$B$200,SUMPRODUCT(MAX((ISNUMBER(SEARCH(Mapping!$A$5:$A$200,UPPER(C396&amp;""))))*ROW(Mapping!$A$5:$A$200)))-4),""))</f>
        <v/>
      </c>
      <c r="F396" s="98"/>
      <c r="G396" s="99" t="n">
        <f aca="false">IF(F396="",G395,G395+IF(D396="Income",F396,IF(D396="Expense",-F396,F396)))</f>
        <v>3408.09</v>
      </c>
      <c r="H396" s="100" t="str">
        <f aca="false">IF(C396="","",IFERROR(INDEX(Mapping!$A$5:$A$200,SUMPRODUCT(MAX((ISNUMBER(SEARCH(Mapping!$A$5:$A$200,UPPER(C396&amp;""))))*ROW(Mapping!$A$5:$A$200)))-4)&amp;" → "&amp;INDEX(Mapping!$B$5:$B$200,SUMPRODUCT(MAX((ISNUMBER(SEARCH(Mapping!$A$5:$A$200,UPPER(C396&amp;""))))*ROW(Mapping!$A$5:$A$200)))-4),"❓ no rule (add to Mapping)"))</f>
        <v/>
      </c>
      <c r="I396" s="79" t="str">
        <f aca="false">IF(B396="","",TEXT(B396,"mmm"))</f>
        <v/>
      </c>
      <c r="J396" s="80" t="str">
        <f aca="false">IF(B396="","",YEAR(B396))</f>
        <v/>
      </c>
    </row>
    <row r="397" customFormat="false" ht="18" hidden="false" customHeight="true" outlineLevel="0" collapsed="false">
      <c r="A397" s="81" t="n">
        <v>392</v>
      </c>
      <c r="B397" s="95"/>
      <c r="C397" s="96"/>
      <c r="D397" s="96" t="str">
        <f aca="false">IF(C397="","",IF(OR(ISNUMBER(SEARCH("PAYROLL",UPPER(C397))),ISNUMBER(SEARCH("PAYCHECK",UPPER(C397))),ISNUMBER(SEARCH("DEPOSIT",UPPER(C397)))),"Income",IF(ISNUMBER(SEARCH("TRANSFER",UPPER(C397))),"Transfer","Expense")))</f>
        <v/>
      </c>
      <c r="E397" s="97" t="str">
        <f aca="false">IF(C397="","",IFERROR(INDEX(Mapping!$B$5:$B$200,SUMPRODUCT(MAX((ISNUMBER(SEARCH(Mapping!$A$5:$A$200,UPPER(C397&amp;""))))*ROW(Mapping!$A$5:$A$200)))-4),""))</f>
        <v/>
      </c>
      <c r="F397" s="98"/>
      <c r="G397" s="99" t="n">
        <f aca="false">IF(F397="",G396,G396+IF(D397="Income",F397,IF(D397="Expense",-F397,F397)))</f>
        <v>3408.09</v>
      </c>
      <c r="H397" s="100" t="str">
        <f aca="false">IF(C397="","",IFERROR(INDEX(Mapping!$A$5:$A$200,SUMPRODUCT(MAX((ISNUMBER(SEARCH(Mapping!$A$5:$A$200,UPPER(C397&amp;""))))*ROW(Mapping!$A$5:$A$200)))-4)&amp;" → "&amp;INDEX(Mapping!$B$5:$B$200,SUMPRODUCT(MAX((ISNUMBER(SEARCH(Mapping!$A$5:$A$200,UPPER(C397&amp;""))))*ROW(Mapping!$A$5:$A$200)))-4),"❓ no rule (add to Mapping)"))</f>
        <v/>
      </c>
      <c r="I397" s="79" t="str">
        <f aca="false">IF(B397="","",TEXT(B397,"mmm"))</f>
        <v/>
      </c>
      <c r="J397" s="80" t="str">
        <f aca="false">IF(B397="","",YEAR(B397))</f>
        <v/>
      </c>
    </row>
    <row r="398" customFormat="false" ht="18" hidden="false" customHeight="true" outlineLevel="0" collapsed="false">
      <c r="A398" s="81" t="n">
        <v>393</v>
      </c>
      <c r="B398" s="95"/>
      <c r="C398" s="96"/>
      <c r="D398" s="96" t="str">
        <f aca="false">IF(C398="","",IF(OR(ISNUMBER(SEARCH("PAYROLL",UPPER(C398))),ISNUMBER(SEARCH("PAYCHECK",UPPER(C398))),ISNUMBER(SEARCH("DEPOSIT",UPPER(C398)))),"Income",IF(ISNUMBER(SEARCH("TRANSFER",UPPER(C398))),"Transfer","Expense")))</f>
        <v/>
      </c>
      <c r="E398" s="97" t="str">
        <f aca="false">IF(C398="","",IFERROR(INDEX(Mapping!$B$5:$B$200,SUMPRODUCT(MAX((ISNUMBER(SEARCH(Mapping!$A$5:$A$200,UPPER(C398&amp;""))))*ROW(Mapping!$A$5:$A$200)))-4),""))</f>
        <v/>
      </c>
      <c r="F398" s="98"/>
      <c r="G398" s="99" t="n">
        <f aca="false">IF(F398="",G397,G397+IF(D398="Income",F398,IF(D398="Expense",-F398,F398)))</f>
        <v>3408.09</v>
      </c>
      <c r="H398" s="100" t="str">
        <f aca="false">IF(C398="","",IFERROR(INDEX(Mapping!$A$5:$A$200,SUMPRODUCT(MAX((ISNUMBER(SEARCH(Mapping!$A$5:$A$200,UPPER(C398&amp;""))))*ROW(Mapping!$A$5:$A$200)))-4)&amp;" → "&amp;INDEX(Mapping!$B$5:$B$200,SUMPRODUCT(MAX((ISNUMBER(SEARCH(Mapping!$A$5:$A$200,UPPER(C398&amp;""))))*ROW(Mapping!$A$5:$A$200)))-4),"❓ no rule (add to Mapping)"))</f>
        <v/>
      </c>
      <c r="I398" s="79" t="str">
        <f aca="false">IF(B398="","",TEXT(B398,"mmm"))</f>
        <v/>
      </c>
      <c r="J398" s="80" t="str">
        <f aca="false">IF(B398="","",YEAR(B398))</f>
        <v/>
      </c>
    </row>
    <row r="399" customFormat="false" ht="18" hidden="false" customHeight="true" outlineLevel="0" collapsed="false">
      <c r="A399" s="81" t="n">
        <v>394</v>
      </c>
      <c r="B399" s="95"/>
      <c r="C399" s="96"/>
      <c r="D399" s="96" t="str">
        <f aca="false">IF(C399="","",IF(OR(ISNUMBER(SEARCH("PAYROLL",UPPER(C399))),ISNUMBER(SEARCH("PAYCHECK",UPPER(C399))),ISNUMBER(SEARCH("DEPOSIT",UPPER(C399)))),"Income",IF(ISNUMBER(SEARCH("TRANSFER",UPPER(C399))),"Transfer","Expense")))</f>
        <v/>
      </c>
      <c r="E399" s="97" t="str">
        <f aca="false">IF(C399="","",IFERROR(INDEX(Mapping!$B$5:$B$200,SUMPRODUCT(MAX((ISNUMBER(SEARCH(Mapping!$A$5:$A$200,UPPER(C399&amp;""))))*ROW(Mapping!$A$5:$A$200)))-4),""))</f>
        <v/>
      </c>
      <c r="F399" s="98"/>
      <c r="G399" s="99" t="n">
        <f aca="false">IF(F399="",G398,G398+IF(D399="Income",F399,IF(D399="Expense",-F399,F399)))</f>
        <v>3408.09</v>
      </c>
      <c r="H399" s="100" t="str">
        <f aca="false">IF(C399="","",IFERROR(INDEX(Mapping!$A$5:$A$200,SUMPRODUCT(MAX((ISNUMBER(SEARCH(Mapping!$A$5:$A$200,UPPER(C399&amp;""))))*ROW(Mapping!$A$5:$A$200)))-4)&amp;" → "&amp;INDEX(Mapping!$B$5:$B$200,SUMPRODUCT(MAX((ISNUMBER(SEARCH(Mapping!$A$5:$A$200,UPPER(C399&amp;""))))*ROW(Mapping!$A$5:$A$200)))-4),"❓ no rule (add to Mapping)"))</f>
        <v/>
      </c>
      <c r="I399" s="79" t="str">
        <f aca="false">IF(B399="","",TEXT(B399,"mmm"))</f>
        <v/>
      </c>
      <c r="J399" s="80" t="str">
        <f aca="false">IF(B399="","",YEAR(B399))</f>
        <v/>
      </c>
    </row>
    <row r="400" customFormat="false" ht="18" hidden="false" customHeight="true" outlineLevel="0" collapsed="false">
      <c r="A400" s="81" t="n">
        <v>395</v>
      </c>
      <c r="B400" s="95"/>
      <c r="C400" s="96"/>
      <c r="D400" s="96" t="str">
        <f aca="false">IF(C400="","",IF(OR(ISNUMBER(SEARCH("PAYROLL",UPPER(C400))),ISNUMBER(SEARCH("PAYCHECK",UPPER(C400))),ISNUMBER(SEARCH("DEPOSIT",UPPER(C400)))),"Income",IF(ISNUMBER(SEARCH("TRANSFER",UPPER(C400))),"Transfer","Expense")))</f>
        <v/>
      </c>
      <c r="E400" s="97" t="str">
        <f aca="false">IF(C400="","",IFERROR(INDEX(Mapping!$B$5:$B$200,SUMPRODUCT(MAX((ISNUMBER(SEARCH(Mapping!$A$5:$A$200,UPPER(C400&amp;""))))*ROW(Mapping!$A$5:$A$200)))-4),""))</f>
        <v/>
      </c>
      <c r="F400" s="98"/>
      <c r="G400" s="99" t="n">
        <f aca="false">IF(F400="",G399,G399+IF(D400="Income",F400,IF(D400="Expense",-F400,F400)))</f>
        <v>3408.09</v>
      </c>
      <c r="H400" s="100" t="str">
        <f aca="false">IF(C400="","",IFERROR(INDEX(Mapping!$A$5:$A$200,SUMPRODUCT(MAX((ISNUMBER(SEARCH(Mapping!$A$5:$A$200,UPPER(C400&amp;""))))*ROW(Mapping!$A$5:$A$200)))-4)&amp;" → "&amp;INDEX(Mapping!$B$5:$B$200,SUMPRODUCT(MAX((ISNUMBER(SEARCH(Mapping!$A$5:$A$200,UPPER(C400&amp;""))))*ROW(Mapping!$A$5:$A$200)))-4),"❓ no rule (add to Mapping)"))</f>
        <v/>
      </c>
      <c r="I400" s="79" t="str">
        <f aca="false">IF(B400="","",TEXT(B400,"mmm"))</f>
        <v/>
      </c>
      <c r="J400" s="80" t="str">
        <f aca="false">IF(B400="","",YEAR(B400))</f>
        <v/>
      </c>
    </row>
    <row r="401" customFormat="false" ht="18" hidden="false" customHeight="true" outlineLevel="0" collapsed="false">
      <c r="A401" s="81" t="n">
        <v>396</v>
      </c>
      <c r="B401" s="95"/>
      <c r="C401" s="96"/>
      <c r="D401" s="96" t="str">
        <f aca="false">IF(C401="","",IF(OR(ISNUMBER(SEARCH("PAYROLL",UPPER(C401))),ISNUMBER(SEARCH("PAYCHECK",UPPER(C401))),ISNUMBER(SEARCH("DEPOSIT",UPPER(C401)))),"Income",IF(ISNUMBER(SEARCH("TRANSFER",UPPER(C401))),"Transfer","Expense")))</f>
        <v/>
      </c>
      <c r="E401" s="97" t="str">
        <f aca="false">IF(C401="","",IFERROR(INDEX(Mapping!$B$5:$B$200,SUMPRODUCT(MAX((ISNUMBER(SEARCH(Mapping!$A$5:$A$200,UPPER(C401&amp;""))))*ROW(Mapping!$A$5:$A$200)))-4),""))</f>
        <v/>
      </c>
      <c r="F401" s="98"/>
      <c r="G401" s="99" t="n">
        <f aca="false">IF(F401="",G400,G400+IF(D401="Income",F401,IF(D401="Expense",-F401,F401)))</f>
        <v>3408.09</v>
      </c>
      <c r="H401" s="100" t="str">
        <f aca="false">IF(C401="","",IFERROR(INDEX(Mapping!$A$5:$A$200,SUMPRODUCT(MAX((ISNUMBER(SEARCH(Mapping!$A$5:$A$200,UPPER(C401&amp;""))))*ROW(Mapping!$A$5:$A$200)))-4)&amp;" → "&amp;INDEX(Mapping!$B$5:$B$200,SUMPRODUCT(MAX((ISNUMBER(SEARCH(Mapping!$A$5:$A$200,UPPER(C401&amp;""))))*ROW(Mapping!$A$5:$A$200)))-4),"❓ no rule (add to Mapping)"))</f>
        <v/>
      </c>
      <c r="I401" s="79" t="str">
        <f aca="false">IF(B401="","",TEXT(B401,"mmm"))</f>
        <v/>
      </c>
      <c r="J401" s="80" t="str">
        <f aca="false">IF(B401="","",YEAR(B401))</f>
        <v/>
      </c>
    </row>
    <row r="402" customFormat="false" ht="18" hidden="false" customHeight="true" outlineLevel="0" collapsed="false">
      <c r="A402" s="81" t="n">
        <v>397</v>
      </c>
      <c r="B402" s="95"/>
      <c r="C402" s="96"/>
      <c r="D402" s="96" t="str">
        <f aca="false">IF(C402="","",IF(OR(ISNUMBER(SEARCH("PAYROLL",UPPER(C402))),ISNUMBER(SEARCH("PAYCHECK",UPPER(C402))),ISNUMBER(SEARCH("DEPOSIT",UPPER(C402)))),"Income",IF(ISNUMBER(SEARCH("TRANSFER",UPPER(C402))),"Transfer","Expense")))</f>
        <v/>
      </c>
      <c r="E402" s="97" t="str">
        <f aca="false">IF(C402="","",IFERROR(INDEX(Mapping!$B$5:$B$200,SUMPRODUCT(MAX((ISNUMBER(SEARCH(Mapping!$A$5:$A$200,UPPER(C402&amp;""))))*ROW(Mapping!$A$5:$A$200)))-4),""))</f>
        <v/>
      </c>
      <c r="F402" s="98"/>
      <c r="G402" s="99" t="n">
        <f aca="false">IF(F402="",G401,G401+IF(D402="Income",F402,IF(D402="Expense",-F402,F402)))</f>
        <v>3408.09</v>
      </c>
      <c r="H402" s="100" t="str">
        <f aca="false">IF(C402="","",IFERROR(INDEX(Mapping!$A$5:$A$200,SUMPRODUCT(MAX((ISNUMBER(SEARCH(Mapping!$A$5:$A$200,UPPER(C402&amp;""))))*ROW(Mapping!$A$5:$A$200)))-4)&amp;" → "&amp;INDEX(Mapping!$B$5:$B$200,SUMPRODUCT(MAX((ISNUMBER(SEARCH(Mapping!$A$5:$A$200,UPPER(C402&amp;""))))*ROW(Mapping!$A$5:$A$200)))-4),"❓ no rule (add to Mapping)"))</f>
        <v/>
      </c>
      <c r="I402" s="79" t="str">
        <f aca="false">IF(B402="","",TEXT(B402,"mmm"))</f>
        <v/>
      </c>
      <c r="J402" s="80" t="str">
        <f aca="false">IF(B402="","",YEAR(B402))</f>
        <v/>
      </c>
    </row>
    <row r="403" customFormat="false" ht="18" hidden="false" customHeight="true" outlineLevel="0" collapsed="false">
      <c r="A403" s="81" t="n">
        <v>398</v>
      </c>
      <c r="B403" s="95"/>
      <c r="C403" s="96"/>
      <c r="D403" s="96" t="str">
        <f aca="false">IF(C403="","",IF(OR(ISNUMBER(SEARCH("PAYROLL",UPPER(C403))),ISNUMBER(SEARCH("PAYCHECK",UPPER(C403))),ISNUMBER(SEARCH("DEPOSIT",UPPER(C403)))),"Income",IF(ISNUMBER(SEARCH("TRANSFER",UPPER(C403))),"Transfer","Expense")))</f>
        <v/>
      </c>
      <c r="E403" s="97" t="str">
        <f aca="false">IF(C403="","",IFERROR(INDEX(Mapping!$B$5:$B$200,SUMPRODUCT(MAX((ISNUMBER(SEARCH(Mapping!$A$5:$A$200,UPPER(C403&amp;""))))*ROW(Mapping!$A$5:$A$200)))-4),""))</f>
        <v/>
      </c>
      <c r="F403" s="98"/>
      <c r="G403" s="99" t="n">
        <f aca="false">IF(F403="",G402,G402+IF(D403="Income",F403,IF(D403="Expense",-F403,F403)))</f>
        <v>3408.09</v>
      </c>
      <c r="H403" s="100" t="str">
        <f aca="false">IF(C403="","",IFERROR(INDEX(Mapping!$A$5:$A$200,SUMPRODUCT(MAX((ISNUMBER(SEARCH(Mapping!$A$5:$A$200,UPPER(C403&amp;""))))*ROW(Mapping!$A$5:$A$200)))-4)&amp;" → "&amp;INDEX(Mapping!$B$5:$B$200,SUMPRODUCT(MAX((ISNUMBER(SEARCH(Mapping!$A$5:$A$200,UPPER(C403&amp;""))))*ROW(Mapping!$A$5:$A$200)))-4),"❓ no rule (add to Mapping)"))</f>
        <v/>
      </c>
      <c r="I403" s="79" t="str">
        <f aca="false">IF(B403="","",TEXT(B403,"mmm"))</f>
        <v/>
      </c>
      <c r="J403" s="80" t="str">
        <f aca="false">IF(B403="","",YEAR(B403))</f>
        <v/>
      </c>
    </row>
    <row r="404" customFormat="false" ht="18" hidden="false" customHeight="true" outlineLevel="0" collapsed="false">
      <c r="A404" s="81" t="n">
        <v>399</v>
      </c>
      <c r="B404" s="95"/>
      <c r="C404" s="96"/>
      <c r="D404" s="96" t="str">
        <f aca="false">IF(C404="","",IF(OR(ISNUMBER(SEARCH("PAYROLL",UPPER(C404))),ISNUMBER(SEARCH("PAYCHECK",UPPER(C404))),ISNUMBER(SEARCH("DEPOSIT",UPPER(C404)))),"Income",IF(ISNUMBER(SEARCH("TRANSFER",UPPER(C404))),"Transfer","Expense")))</f>
        <v/>
      </c>
      <c r="E404" s="97" t="str">
        <f aca="false">IF(C404="","",IFERROR(INDEX(Mapping!$B$5:$B$200,SUMPRODUCT(MAX((ISNUMBER(SEARCH(Mapping!$A$5:$A$200,UPPER(C404&amp;""))))*ROW(Mapping!$A$5:$A$200)))-4),""))</f>
        <v/>
      </c>
      <c r="F404" s="98"/>
      <c r="G404" s="99" t="n">
        <f aca="false">IF(F404="",G403,G403+IF(D404="Income",F404,IF(D404="Expense",-F404,F404)))</f>
        <v>3408.09</v>
      </c>
      <c r="H404" s="100" t="str">
        <f aca="false">IF(C404="","",IFERROR(INDEX(Mapping!$A$5:$A$200,SUMPRODUCT(MAX((ISNUMBER(SEARCH(Mapping!$A$5:$A$200,UPPER(C404&amp;""))))*ROW(Mapping!$A$5:$A$200)))-4)&amp;" → "&amp;INDEX(Mapping!$B$5:$B$200,SUMPRODUCT(MAX((ISNUMBER(SEARCH(Mapping!$A$5:$A$200,UPPER(C404&amp;""))))*ROW(Mapping!$A$5:$A$200)))-4),"❓ no rule (add to Mapping)"))</f>
        <v/>
      </c>
      <c r="I404" s="79" t="str">
        <f aca="false">IF(B404="","",TEXT(B404,"mmm"))</f>
        <v/>
      </c>
      <c r="J404" s="80" t="str">
        <f aca="false">IF(B404="","",YEAR(B404))</f>
        <v/>
      </c>
    </row>
    <row r="405" customFormat="false" ht="18" hidden="false" customHeight="true" outlineLevel="0" collapsed="false">
      <c r="A405" s="81" t="n">
        <v>400</v>
      </c>
      <c r="B405" s="95"/>
      <c r="C405" s="96"/>
      <c r="D405" s="96" t="str">
        <f aca="false">IF(C405="","",IF(OR(ISNUMBER(SEARCH("PAYROLL",UPPER(C405))),ISNUMBER(SEARCH("PAYCHECK",UPPER(C405))),ISNUMBER(SEARCH("DEPOSIT",UPPER(C405)))),"Income",IF(ISNUMBER(SEARCH("TRANSFER",UPPER(C405))),"Transfer","Expense")))</f>
        <v/>
      </c>
      <c r="E405" s="97" t="str">
        <f aca="false">IF(C405="","",IFERROR(INDEX(Mapping!$B$5:$B$200,SUMPRODUCT(MAX((ISNUMBER(SEARCH(Mapping!$A$5:$A$200,UPPER(C405&amp;""))))*ROW(Mapping!$A$5:$A$200)))-4),""))</f>
        <v/>
      </c>
      <c r="F405" s="98"/>
      <c r="G405" s="99" t="n">
        <f aca="false">IF(F405="",G404,G404+IF(D405="Income",F405,IF(D405="Expense",-F405,F405)))</f>
        <v>3408.09</v>
      </c>
      <c r="H405" s="100" t="str">
        <f aca="false">IF(C405="","",IFERROR(INDEX(Mapping!$A$5:$A$200,SUMPRODUCT(MAX((ISNUMBER(SEARCH(Mapping!$A$5:$A$200,UPPER(C405&amp;""))))*ROW(Mapping!$A$5:$A$200)))-4)&amp;" → "&amp;INDEX(Mapping!$B$5:$B$200,SUMPRODUCT(MAX((ISNUMBER(SEARCH(Mapping!$A$5:$A$200,UPPER(C405&amp;""))))*ROW(Mapping!$A$5:$A$200)))-4),"❓ no rule (add to Mapping)"))</f>
        <v/>
      </c>
      <c r="I405" s="79" t="str">
        <f aca="false">IF(B405="","",TEXT(B405,"mmm"))</f>
        <v/>
      </c>
      <c r="J405" s="80" t="str">
        <f aca="false">IF(B405="","",YEAR(B405))</f>
        <v/>
      </c>
    </row>
    <row r="406" customFormat="false" ht="18" hidden="false" customHeight="true" outlineLevel="0" collapsed="false">
      <c r="A406" s="81" t="n">
        <v>401</v>
      </c>
      <c r="B406" s="95"/>
      <c r="C406" s="96"/>
      <c r="D406" s="96" t="str">
        <f aca="false">IF(C406="","",IF(OR(ISNUMBER(SEARCH("PAYROLL",UPPER(C406))),ISNUMBER(SEARCH("PAYCHECK",UPPER(C406))),ISNUMBER(SEARCH("DEPOSIT",UPPER(C406)))),"Income",IF(ISNUMBER(SEARCH("TRANSFER",UPPER(C406))),"Transfer","Expense")))</f>
        <v/>
      </c>
      <c r="E406" s="97" t="str">
        <f aca="false">IF(C406="","",IFERROR(INDEX(Mapping!$B$5:$B$200,SUMPRODUCT(MAX((ISNUMBER(SEARCH(Mapping!$A$5:$A$200,UPPER(C406&amp;""))))*ROW(Mapping!$A$5:$A$200)))-4),""))</f>
        <v/>
      </c>
      <c r="F406" s="98"/>
      <c r="G406" s="99" t="n">
        <f aca="false">IF(F406="",G405,G405+IF(D406="Income",F406,IF(D406="Expense",-F406,F406)))</f>
        <v>3408.09</v>
      </c>
      <c r="H406" s="100" t="str">
        <f aca="false">IF(C406="","",IFERROR(INDEX(Mapping!$A$5:$A$200,SUMPRODUCT(MAX((ISNUMBER(SEARCH(Mapping!$A$5:$A$200,UPPER(C406&amp;""))))*ROW(Mapping!$A$5:$A$200)))-4)&amp;" → "&amp;INDEX(Mapping!$B$5:$B$200,SUMPRODUCT(MAX((ISNUMBER(SEARCH(Mapping!$A$5:$A$200,UPPER(C406&amp;""))))*ROW(Mapping!$A$5:$A$200)))-4),"❓ no rule (add to Mapping)"))</f>
        <v/>
      </c>
      <c r="I406" s="79" t="str">
        <f aca="false">IF(B406="","",TEXT(B406,"mmm"))</f>
        <v/>
      </c>
      <c r="J406" s="80" t="str">
        <f aca="false">IF(B406="","",YEAR(B406))</f>
        <v/>
      </c>
    </row>
    <row r="407" customFormat="false" ht="18" hidden="false" customHeight="true" outlineLevel="0" collapsed="false">
      <c r="A407" s="81" t="n">
        <v>402</v>
      </c>
      <c r="B407" s="95"/>
      <c r="C407" s="96"/>
      <c r="D407" s="96" t="str">
        <f aca="false">IF(C407="","",IF(OR(ISNUMBER(SEARCH("PAYROLL",UPPER(C407))),ISNUMBER(SEARCH("PAYCHECK",UPPER(C407))),ISNUMBER(SEARCH("DEPOSIT",UPPER(C407)))),"Income",IF(ISNUMBER(SEARCH("TRANSFER",UPPER(C407))),"Transfer","Expense")))</f>
        <v/>
      </c>
      <c r="E407" s="97" t="str">
        <f aca="false">IF(C407="","",IFERROR(INDEX(Mapping!$B$5:$B$200,SUMPRODUCT(MAX((ISNUMBER(SEARCH(Mapping!$A$5:$A$200,UPPER(C407&amp;""))))*ROW(Mapping!$A$5:$A$200)))-4),""))</f>
        <v/>
      </c>
      <c r="F407" s="98"/>
      <c r="G407" s="99" t="n">
        <f aca="false">IF(F407="",G406,G406+IF(D407="Income",F407,IF(D407="Expense",-F407,F407)))</f>
        <v>3408.09</v>
      </c>
      <c r="H407" s="100" t="str">
        <f aca="false">IF(C407="","",IFERROR(INDEX(Mapping!$A$5:$A$200,SUMPRODUCT(MAX((ISNUMBER(SEARCH(Mapping!$A$5:$A$200,UPPER(C407&amp;""))))*ROW(Mapping!$A$5:$A$200)))-4)&amp;" → "&amp;INDEX(Mapping!$B$5:$B$200,SUMPRODUCT(MAX((ISNUMBER(SEARCH(Mapping!$A$5:$A$200,UPPER(C407&amp;""))))*ROW(Mapping!$A$5:$A$200)))-4),"❓ no rule (add to Mapping)"))</f>
        <v/>
      </c>
      <c r="I407" s="79" t="str">
        <f aca="false">IF(B407="","",TEXT(B407,"mmm"))</f>
        <v/>
      </c>
      <c r="J407" s="80" t="str">
        <f aca="false">IF(B407="","",YEAR(B407))</f>
        <v/>
      </c>
    </row>
    <row r="408" customFormat="false" ht="18" hidden="false" customHeight="true" outlineLevel="0" collapsed="false">
      <c r="A408" s="81" t="n">
        <v>403</v>
      </c>
      <c r="B408" s="95"/>
      <c r="C408" s="96"/>
      <c r="D408" s="96" t="str">
        <f aca="false">IF(C408="","",IF(OR(ISNUMBER(SEARCH("PAYROLL",UPPER(C408))),ISNUMBER(SEARCH("PAYCHECK",UPPER(C408))),ISNUMBER(SEARCH("DEPOSIT",UPPER(C408)))),"Income",IF(ISNUMBER(SEARCH("TRANSFER",UPPER(C408))),"Transfer","Expense")))</f>
        <v/>
      </c>
      <c r="E408" s="97" t="str">
        <f aca="false">IF(C408="","",IFERROR(INDEX(Mapping!$B$5:$B$200,SUMPRODUCT(MAX((ISNUMBER(SEARCH(Mapping!$A$5:$A$200,UPPER(C408&amp;""))))*ROW(Mapping!$A$5:$A$200)))-4),""))</f>
        <v/>
      </c>
      <c r="F408" s="98"/>
      <c r="G408" s="99" t="n">
        <f aca="false">IF(F408="",G407,G407+IF(D408="Income",F408,IF(D408="Expense",-F408,F408)))</f>
        <v>3408.09</v>
      </c>
      <c r="H408" s="100" t="str">
        <f aca="false">IF(C408="","",IFERROR(INDEX(Mapping!$A$5:$A$200,SUMPRODUCT(MAX((ISNUMBER(SEARCH(Mapping!$A$5:$A$200,UPPER(C408&amp;""))))*ROW(Mapping!$A$5:$A$200)))-4)&amp;" → "&amp;INDEX(Mapping!$B$5:$B$200,SUMPRODUCT(MAX((ISNUMBER(SEARCH(Mapping!$A$5:$A$200,UPPER(C408&amp;""))))*ROW(Mapping!$A$5:$A$200)))-4),"❓ no rule (add to Mapping)"))</f>
        <v/>
      </c>
      <c r="I408" s="79" t="str">
        <f aca="false">IF(B408="","",TEXT(B408,"mmm"))</f>
        <v/>
      </c>
      <c r="J408" s="80" t="str">
        <f aca="false">IF(B408="","",YEAR(B408))</f>
        <v/>
      </c>
    </row>
    <row r="409" customFormat="false" ht="18" hidden="false" customHeight="true" outlineLevel="0" collapsed="false">
      <c r="A409" s="81" t="n">
        <v>404</v>
      </c>
      <c r="B409" s="95"/>
      <c r="C409" s="96"/>
      <c r="D409" s="96" t="str">
        <f aca="false">IF(C409="","",IF(OR(ISNUMBER(SEARCH("PAYROLL",UPPER(C409))),ISNUMBER(SEARCH("PAYCHECK",UPPER(C409))),ISNUMBER(SEARCH("DEPOSIT",UPPER(C409)))),"Income",IF(ISNUMBER(SEARCH("TRANSFER",UPPER(C409))),"Transfer","Expense")))</f>
        <v/>
      </c>
      <c r="E409" s="97" t="str">
        <f aca="false">IF(C409="","",IFERROR(INDEX(Mapping!$B$5:$B$200,SUMPRODUCT(MAX((ISNUMBER(SEARCH(Mapping!$A$5:$A$200,UPPER(C409&amp;""))))*ROW(Mapping!$A$5:$A$200)))-4),""))</f>
        <v/>
      </c>
      <c r="F409" s="98"/>
      <c r="G409" s="99" t="n">
        <f aca="false">IF(F409="",G408,G408+IF(D409="Income",F409,IF(D409="Expense",-F409,F409)))</f>
        <v>3408.09</v>
      </c>
      <c r="H409" s="100" t="str">
        <f aca="false">IF(C409="","",IFERROR(INDEX(Mapping!$A$5:$A$200,SUMPRODUCT(MAX((ISNUMBER(SEARCH(Mapping!$A$5:$A$200,UPPER(C409&amp;""))))*ROW(Mapping!$A$5:$A$200)))-4)&amp;" → "&amp;INDEX(Mapping!$B$5:$B$200,SUMPRODUCT(MAX((ISNUMBER(SEARCH(Mapping!$A$5:$A$200,UPPER(C409&amp;""))))*ROW(Mapping!$A$5:$A$200)))-4),"❓ no rule (add to Mapping)"))</f>
        <v/>
      </c>
      <c r="I409" s="79" t="str">
        <f aca="false">IF(B409="","",TEXT(B409,"mmm"))</f>
        <v/>
      </c>
      <c r="J409" s="80" t="str">
        <f aca="false">IF(B409="","",YEAR(B409))</f>
        <v/>
      </c>
    </row>
    <row r="410" customFormat="false" ht="18" hidden="false" customHeight="true" outlineLevel="0" collapsed="false">
      <c r="A410" s="81" t="n">
        <v>405</v>
      </c>
      <c r="B410" s="95"/>
      <c r="C410" s="96"/>
      <c r="D410" s="96" t="str">
        <f aca="false">IF(C410="","",IF(OR(ISNUMBER(SEARCH("PAYROLL",UPPER(C410))),ISNUMBER(SEARCH("PAYCHECK",UPPER(C410))),ISNUMBER(SEARCH("DEPOSIT",UPPER(C410)))),"Income",IF(ISNUMBER(SEARCH("TRANSFER",UPPER(C410))),"Transfer","Expense")))</f>
        <v/>
      </c>
      <c r="E410" s="97" t="str">
        <f aca="false">IF(C410="","",IFERROR(INDEX(Mapping!$B$5:$B$200,SUMPRODUCT(MAX((ISNUMBER(SEARCH(Mapping!$A$5:$A$200,UPPER(C410&amp;""))))*ROW(Mapping!$A$5:$A$200)))-4),""))</f>
        <v/>
      </c>
      <c r="F410" s="98"/>
      <c r="G410" s="99" t="n">
        <f aca="false">IF(F410="",G409,G409+IF(D410="Income",F410,IF(D410="Expense",-F410,F410)))</f>
        <v>3408.09</v>
      </c>
      <c r="H410" s="100" t="str">
        <f aca="false">IF(C410="","",IFERROR(INDEX(Mapping!$A$5:$A$200,SUMPRODUCT(MAX((ISNUMBER(SEARCH(Mapping!$A$5:$A$200,UPPER(C410&amp;""))))*ROW(Mapping!$A$5:$A$200)))-4)&amp;" → "&amp;INDEX(Mapping!$B$5:$B$200,SUMPRODUCT(MAX((ISNUMBER(SEARCH(Mapping!$A$5:$A$200,UPPER(C410&amp;""))))*ROW(Mapping!$A$5:$A$200)))-4),"❓ no rule (add to Mapping)"))</f>
        <v/>
      </c>
      <c r="I410" s="79" t="str">
        <f aca="false">IF(B410="","",TEXT(B410,"mmm"))</f>
        <v/>
      </c>
      <c r="J410" s="80" t="str">
        <f aca="false">IF(B410="","",YEAR(B410))</f>
        <v/>
      </c>
    </row>
    <row r="411" customFormat="false" ht="18" hidden="false" customHeight="true" outlineLevel="0" collapsed="false">
      <c r="A411" s="81" t="n">
        <v>406</v>
      </c>
      <c r="B411" s="95"/>
      <c r="C411" s="96"/>
      <c r="D411" s="96" t="str">
        <f aca="false">IF(C411="","",IF(OR(ISNUMBER(SEARCH("PAYROLL",UPPER(C411))),ISNUMBER(SEARCH("PAYCHECK",UPPER(C411))),ISNUMBER(SEARCH("DEPOSIT",UPPER(C411)))),"Income",IF(ISNUMBER(SEARCH("TRANSFER",UPPER(C411))),"Transfer","Expense")))</f>
        <v/>
      </c>
      <c r="E411" s="97" t="str">
        <f aca="false">IF(C411="","",IFERROR(INDEX(Mapping!$B$5:$B$200,SUMPRODUCT(MAX((ISNUMBER(SEARCH(Mapping!$A$5:$A$200,UPPER(C411&amp;""))))*ROW(Mapping!$A$5:$A$200)))-4),""))</f>
        <v/>
      </c>
      <c r="F411" s="98"/>
      <c r="G411" s="99" t="n">
        <f aca="false">IF(F411="",G410,G410+IF(D411="Income",F411,IF(D411="Expense",-F411,F411)))</f>
        <v>3408.09</v>
      </c>
      <c r="H411" s="100" t="str">
        <f aca="false">IF(C411="","",IFERROR(INDEX(Mapping!$A$5:$A$200,SUMPRODUCT(MAX((ISNUMBER(SEARCH(Mapping!$A$5:$A$200,UPPER(C411&amp;""))))*ROW(Mapping!$A$5:$A$200)))-4)&amp;" → "&amp;INDEX(Mapping!$B$5:$B$200,SUMPRODUCT(MAX((ISNUMBER(SEARCH(Mapping!$A$5:$A$200,UPPER(C411&amp;""))))*ROW(Mapping!$A$5:$A$200)))-4),"❓ no rule (add to Mapping)"))</f>
        <v/>
      </c>
      <c r="I411" s="79" t="str">
        <f aca="false">IF(B411="","",TEXT(B411,"mmm"))</f>
        <v/>
      </c>
      <c r="J411" s="80" t="str">
        <f aca="false">IF(B411="","",YEAR(B411))</f>
        <v/>
      </c>
    </row>
    <row r="412" customFormat="false" ht="18" hidden="false" customHeight="true" outlineLevel="0" collapsed="false">
      <c r="A412" s="81" t="n">
        <v>407</v>
      </c>
      <c r="B412" s="95"/>
      <c r="C412" s="96"/>
      <c r="D412" s="96" t="str">
        <f aca="false">IF(C412="","",IF(OR(ISNUMBER(SEARCH("PAYROLL",UPPER(C412))),ISNUMBER(SEARCH("PAYCHECK",UPPER(C412))),ISNUMBER(SEARCH("DEPOSIT",UPPER(C412)))),"Income",IF(ISNUMBER(SEARCH("TRANSFER",UPPER(C412))),"Transfer","Expense")))</f>
        <v/>
      </c>
      <c r="E412" s="97" t="str">
        <f aca="false">IF(C412="","",IFERROR(INDEX(Mapping!$B$5:$B$200,SUMPRODUCT(MAX((ISNUMBER(SEARCH(Mapping!$A$5:$A$200,UPPER(C412&amp;""))))*ROW(Mapping!$A$5:$A$200)))-4),""))</f>
        <v/>
      </c>
      <c r="F412" s="98"/>
      <c r="G412" s="99" t="n">
        <f aca="false">IF(F412="",G411,G411+IF(D412="Income",F412,IF(D412="Expense",-F412,F412)))</f>
        <v>3408.09</v>
      </c>
      <c r="H412" s="100" t="str">
        <f aca="false">IF(C412="","",IFERROR(INDEX(Mapping!$A$5:$A$200,SUMPRODUCT(MAX((ISNUMBER(SEARCH(Mapping!$A$5:$A$200,UPPER(C412&amp;""))))*ROW(Mapping!$A$5:$A$200)))-4)&amp;" → "&amp;INDEX(Mapping!$B$5:$B$200,SUMPRODUCT(MAX((ISNUMBER(SEARCH(Mapping!$A$5:$A$200,UPPER(C412&amp;""))))*ROW(Mapping!$A$5:$A$200)))-4),"❓ no rule (add to Mapping)"))</f>
        <v/>
      </c>
      <c r="I412" s="79" t="str">
        <f aca="false">IF(B412="","",TEXT(B412,"mmm"))</f>
        <v/>
      </c>
      <c r="J412" s="80" t="str">
        <f aca="false">IF(B412="","",YEAR(B412))</f>
        <v/>
      </c>
    </row>
    <row r="413" customFormat="false" ht="18" hidden="false" customHeight="true" outlineLevel="0" collapsed="false">
      <c r="A413" s="81" t="n">
        <v>408</v>
      </c>
      <c r="B413" s="95"/>
      <c r="C413" s="96"/>
      <c r="D413" s="96" t="str">
        <f aca="false">IF(C413="","",IF(OR(ISNUMBER(SEARCH("PAYROLL",UPPER(C413))),ISNUMBER(SEARCH("PAYCHECK",UPPER(C413))),ISNUMBER(SEARCH("DEPOSIT",UPPER(C413)))),"Income",IF(ISNUMBER(SEARCH("TRANSFER",UPPER(C413))),"Transfer","Expense")))</f>
        <v/>
      </c>
      <c r="E413" s="97" t="str">
        <f aca="false">IF(C413="","",IFERROR(INDEX(Mapping!$B$5:$B$200,SUMPRODUCT(MAX((ISNUMBER(SEARCH(Mapping!$A$5:$A$200,UPPER(C413&amp;""))))*ROW(Mapping!$A$5:$A$200)))-4),""))</f>
        <v/>
      </c>
      <c r="F413" s="98"/>
      <c r="G413" s="99" t="n">
        <f aca="false">IF(F413="",G412,G412+IF(D413="Income",F413,IF(D413="Expense",-F413,F413)))</f>
        <v>3408.09</v>
      </c>
      <c r="H413" s="100" t="str">
        <f aca="false">IF(C413="","",IFERROR(INDEX(Mapping!$A$5:$A$200,SUMPRODUCT(MAX((ISNUMBER(SEARCH(Mapping!$A$5:$A$200,UPPER(C413&amp;""))))*ROW(Mapping!$A$5:$A$200)))-4)&amp;" → "&amp;INDEX(Mapping!$B$5:$B$200,SUMPRODUCT(MAX((ISNUMBER(SEARCH(Mapping!$A$5:$A$200,UPPER(C413&amp;""))))*ROW(Mapping!$A$5:$A$200)))-4),"❓ no rule (add to Mapping)"))</f>
        <v/>
      </c>
      <c r="I413" s="79" t="str">
        <f aca="false">IF(B413="","",TEXT(B413,"mmm"))</f>
        <v/>
      </c>
      <c r="J413" s="80" t="str">
        <f aca="false">IF(B413="","",YEAR(B413))</f>
        <v/>
      </c>
    </row>
    <row r="414" customFormat="false" ht="18" hidden="false" customHeight="true" outlineLevel="0" collapsed="false">
      <c r="A414" s="81" t="n">
        <v>409</v>
      </c>
      <c r="B414" s="95"/>
      <c r="C414" s="96"/>
      <c r="D414" s="96" t="str">
        <f aca="false">IF(C414="","",IF(OR(ISNUMBER(SEARCH("PAYROLL",UPPER(C414))),ISNUMBER(SEARCH("PAYCHECK",UPPER(C414))),ISNUMBER(SEARCH("DEPOSIT",UPPER(C414)))),"Income",IF(ISNUMBER(SEARCH("TRANSFER",UPPER(C414))),"Transfer","Expense")))</f>
        <v/>
      </c>
      <c r="E414" s="97" t="str">
        <f aca="false">IF(C414="","",IFERROR(INDEX(Mapping!$B$5:$B$200,SUMPRODUCT(MAX((ISNUMBER(SEARCH(Mapping!$A$5:$A$200,UPPER(C414&amp;""))))*ROW(Mapping!$A$5:$A$200)))-4),""))</f>
        <v/>
      </c>
      <c r="F414" s="98"/>
      <c r="G414" s="99" t="n">
        <f aca="false">IF(F414="",G413,G413+IF(D414="Income",F414,IF(D414="Expense",-F414,F414)))</f>
        <v>3408.09</v>
      </c>
      <c r="H414" s="100" t="str">
        <f aca="false">IF(C414="","",IFERROR(INDEX(Mapping!$A$5:$A$200,SUMPRODUCT(MAX((ISNUMBER(SEARCH(Mapping!$A$5:$A$200,UPPER(C414&amp;""))))*ROW(Mapping!$A$5:$A$200)))-4)&amp;" → "&amp;INDEX(Mapping!$B$5:$B$200,SUMPRODUCT(MAX((ISNUMBER(SEARCH(Mapping!$A$5:$A$200,UPPER(C414&amp;""))))*ROW(Mapping!$A$5:$A$200)))-4),"❓ no rule (add to Mapping)"))</f>
        <v/>
      </c>
      <c r="I414" s="79" t="str">
        <f aca="false">IF(B414="","",TEXT(B414,"mmm"))</f>
        <v/>
      </c>
      <c r="J414" s="80" t="str">
        <f aca="false">IF(B414="","",YEAR(B414))</f>
        <v/>
      </c>
    </row>
    <row r="415" customFormat="false" ht="18" hidden="false" customHeight="true" outlineLevel="0" collapsed="false">
      <c r="A415" s="81" t="n">
        <v>410</v>
      </c>
      <c r="B415" s="95"/>
      <c r="C415" s="96"/>
      <c r="D415" s="96" t="str">
        <f aca="false">IF(C415="","",IF(OR(ISNUMBER(SEARCH("PAYROLL",UPPER(C415))),ISNUMBER(SEARCH("PAYCHECK",UPPER(C415))),ISNUMBER(SEARCH("DEPOSIT",UPPER(C415)))),"Income",IF(ISNUMBER(SEARCH("TRANSFER",UPPER(C415))),"Transfer","Expense")))</f>
        <v/>
      </c>
      <c r="E415" s="97" t="str">
        <f aca="false">IF(C415="","",IFERROR(INDEX(Mapping!$B$5:$B$200,SUMPRODUCT(MAX((ISNUMBER(SEARCH(Mapping!$A$5:$A$200,UPPER(C415&amp;""))))*ROW(Mapping!$A$5:$A$200)))-4),""))</f>
        <v/>
      </c>
      <c r="F415" s="98"/>
      <c r="G415" s="99" t="n">
        <f aca="false">IF(F415="",G414,G414+IF(D415="Income",F415,IF(D415="Expense",-F415,F415)))</f>
        <v>3408.09</v>
      </c>
      <c r="H415" s="100" t="str">
        <f aca="false">IF(C415="","",IFERROR(INDEX(Mapping!$A$5:$A$200,SUMPRODUCT(MAX((ISNUMBER(SEARCH(Mapping!$A$5:$A$200,UPPER(C415&amp;""))))*ROW(Mapping!$A$5:$A$200)))-4)&amp;" → "&amp;INDEX(Mapping!$B$5:$B$200,SUMPRODUCT(MAX((ISNUMBER(SEARCH(Mapping!$A$5:$A$200,UPPER(C415&amp;""))))*ROW(Mapping!$A$5:$A$200)))-4),"❓ no rule (add to Mapping)"))</f>
        <v/>
      </c>
      <c r="I415" s="79" t="str">
        <f aca="false">IF(B415="","",TEXT(B415,"mmm"))</f>
        <v/>
      </c>
      <c r="J415" s="80" t="str">
        <f aca="false">IF(B415="","",YEAR(B415))</f>
        <v/>
      </c>
    </row>
    <row r="416" customFormat="false" ht="18" hidden="false" customHeight="true" outlineLevel="0" collapsed="false">
      <c r="A416" s="81" t="n">
        <v>411</v>
      </c>
      <c r="B416" s="95"/>
      <c r="C416" s="96"/>
      <c r="D416" s="96" t="str">
        <f aca="false">IF(C416="","",IF(OR(ISNUMBER(SEARCH("PAYROLL",UPPER(C416))),ISNUMBER(SEARCH("PAYCHECK",UPPER(C416))),ISNUMBER(SEARCH("DEPOSIT",UPPER(C416)))),"Income",IF(ISNUMBER(SEARCH("TRANSFER",UPPER(C416))),"Transfer","Expense")))</f>
        <v/>
      </c>
      <c r="E416" s="97" t="str">
        <f aca="false">IF(C416="","",IFERROR(INDEX(Mapping!$B$5:$B$200,SUMPRODUCT(MAX((ISNUMBER(SEARCH(Mapping!$A$5:$A$200,UPPER(C416&amp;""))))*ROW(Mapping!$A$5:$A$200)))-4),""))</f>
        <v/>
      </c>
      <c r="F416" s="98"/>
      <c r="G416" s="99" t="n">
        <f aca="false">IF(F416="",G415,G415+IF(D416="Income",F416,IF(D416="Expense",-F416,F416)))</f>
        <v>3408.09</v>
      </c>
      <c r="H416" s="100" t="str">
        <f aca="false">IF(C416="","",IFERROR(INDEX(Mapping!$A$5:$A$200,SUMPRODUCT(MAX((ISNUMBER(SEARCH(Mapping!$A$5:$A$200,UPPER(C416&amp;""))))*ROW(Mapping!$A$5:$A$200)))-4)&amp;" → "&amp;INDEX(Mapping!$B$5:$B$200,SUMPRODUCT(MAX((ISNUMBER(SEARCH(Mapping!$A$5:$A$200,UPPER(C416&amp;""))))*ROW(Mapping!$A$5:$A$200)))-4),"❓ no rule (add to Mapping)"))</f>
        <v/>
      </c>
      <c r="I416" s="79" t="str">
        <f aca="false">IF(B416="","",TEXT(B416,"mmm"))</f>
        <v/>
      </c>
      <c r="J416" s="80" t="str">
        <f aca="false">IF(B416="","",YEAR(B416))</f>
        <v/>
      </c>
    </row>
    <row r="417" customFormat="false" ht="18" hidden="false" customHeight="true" outlineLevel="0" collapsed="false">
      <c r="A417" s="81" t="n">
        <v>412</v>
      </c>
      <c r="B417" s="95"/>
      <c r="C417" s="96"/>
      <c r="D417" s="96" t="str">
        <f aca="false">IF(C417="","",IF(OR(ISNUMBER(SEARCH("PAYROLL",UPPER(C417))),ISNUMBER(SEARCH("PAYCHECK",UPPER(C417))),ISNUMBER(SEARCH("DEPOSIT",UPPER(C417)))),"Income",IF(ISNUMBER(SEARCH("TRANSFER",UPPER(C417))),"Transfer","Expense")))</f>
        <v/>
      </c>
      <c r="E417" s="97" t="str">
        <f aca="false">IF(C417="","",IFERROR(INDEX(Mapping!$B$5:$B$200,SUMPRODUCT(MAX((ISNUMBER(SEARCH(Mapping!$A$5:$A$200,UPPER(C417&amp;""))))*ROW(Mapping!$A$5:$A$200)))-4),""))</f>
        <v/>
      </c>
      <c r="F417" s="98"/>
      <c r="G417" s="99" t="n">
        <f aca="false">IF(F417="",G416,G416+IF(D417="Income",F417,IF(D417="Expense",-F417,F417)))</f>
        <v>3408.09</v>
      </c>
      <c r="H417" s="100" t="str">
        <f aca="false">IF(C417="","",IFERROR(INDEX(Mapping!$A$5:$A$200,SUMPRODUCT(MAX((ISNUMBER(SEARCH(Mapping!$A$5:$A$200,UPPER(C417&amp;""))))*ROW(Mapping!$A$5:$A$200)))-4)&amp;" → "&amp;INDEX(Mapping!$B$5:$B$200,SUMPRODUCT(MAX((ISNUMBER(SEARCH(Mapping!$A$5:$A$200,UPPER(C417&amp;""))))*ROW(Mapping!$A$5:$A$200)))-4),"❓ no rule (add to Mapping)"))</f>
        <v/>
      </c>
      <c r="I417" s="79" t="str">
        <f aca="false">IF(B417="","",TEXT(B417,"mmm"))</f>
        <v/>
      </c>
      <c r="J417" s="80" t="str">
        <f aca="false">IF(B417="","",YEAR(B417))</f>
        <v/>
      </c>
    </row>
    <row r="418" customFormat="false" ht="18" hidden="false" customHeight="true" outlineLevel="0" collapsed="false">
      <c r="A418" s="81" t="n">
        <v>413</v>
      </c>
      <c r="B418" s="95"/>
      <c r="C418" s="96"/>
      <c r="D418" s="96" t="str">
        <f aca="false">IF(C418="","",IF(OR(ISNUMBER(SEARCH("PAYROLL",UPPER(C418))),ISNUMBER(SEARCH("PAYCHECK",UPPER(C418))),ISNUMBER(SEARCH("DEPOSIT",UPPER(C418)))),"Income",IF(ISNUMBER(SEARCH("TRANSFER",UPPER(C418))),"Transfer","Expense")))</f>
        <v/>
      </c>
      <c r="E418" s="97" t="str">
        <f aca="false">IF(C418="","",IFERROR(INDEX(Mapping!$B$5:$B$200,SUMPRODUCT(MAX((ISNUMBER(SEARCH(Mapping!$A$5:$A$200,UPPER(C418&amp;""))))*ROW(Mapping!$A$5:$A$200)))-4),""))</f>
        <v/>
      </c>
      <c r="F418" s="98"/>
      <c r="G418" s="99" t="n">
        <f aca="false">IF(F418="",G417,G417+IF(D418="Income",F418,IF(D418="Expense",-F418,F418)))</f>
        <v>3408.09</v>
      </c>
      <c r="H418" s="100" t="str">
        <f aca="false">IF(C418="","",IFERROR(INDEX(Mapping!$A$5:$A$200,SUMPRODUCT(MAX((ISNUMBER(SEARCH(Mapping!$A$5:$A$200,UPPER(C418&amp;""))))*ROW(Mapping!$A$5:$A$200)))-4)&amp;" → "&amp;INDEX(Mapping!$B$5:$B$200,SUMPRODUCT(MAX((ISNUMBER(SEARCH(Mapping!$A$5:$A$200,UPPER(C418&amp;""))))*ROW(Mapping!$A$5:$A$200)))-4),"❓ no rule (add to Mapping)"))</f>
        <v/>
      </c>
      <c r="I418" s="79" t="str">
        <f aca="false">IF(B418="","",TEXT(B418,"mmm"))</f>
        <v/>
      </c>
      <c r="J418" s="80" t="str">
        <f aca="false">IF(B418="","",YEAR(B418))</f>
        <v/>
      </c>
    </row>
    <row r="419" customFormat="false" ht="18" hidden="false" customHeight="true" outlineLevel="0" collapsed="false">
      <c r="A419" s="81" t="n">
        <v>414</v>
      </c>
      <c r="B419" s="95"/>
      <c r="C419" s="96"/>
      <c r="D419" s="96" t="str">
        <f aca="false">IF(C419="","",IF(OR(ISNUMBER(SEARCH("PAYROLL",UPPER(C419))),ISNUMBER(SEARCH("PAYCHECK",UPPER(C419))),ISNUMBER(SEARCH("DEPOSIT",UPPER(C419)))),"Income",IF(ISNUMBER(SEARCH("TRANSFER",UPPER(C419))),"Transfer","Expense")))</f>
        <v/>
      </c>
      <c r="E419" s="97" t="str">
        <f aca="false">IF(C419="","",IFERROR(INDEX(Mapping!$B$5:$B$200,SUMPRODUCT(MAX((ISNUMBER(SEARCH(Mapping!$A$5:$A$200,UPPER(C419&amp;""))))*ROW(Mapping!$A$5:$A$200)))-4),""))</f>
        <v/>
      </c>
      <c r="F419" s="98"/>
      <c r="G419" s="99" t="n">
        <f aca="false">IF(F419="",G418,G418+IF(D419="Income",F419,IF(D419="Expense",-F419,F419)))</f>
        <v>3408.09</v>
      </c>
      <c r="H419" s="100" t="str">
        <f aca="false">IF(C419="","",IFERROR(INDEX(Mapping!$A$5:$A$200,SUMPRODUCT(MAX((ISNUMBER(SEARCH(Mapping!$A$5:$A$200,UPPER(C419&amp;""))))*ROW(Mapping!$A$5:$A$200)))-4)&amp;" → "&amp;INDEX(Mapping!$B$5:$B$200,SUMPRODUCT(MAX((ISNUMBER(SEARCH(Mapping!$A$5:$A$200,UPPER(C419&amp;""))))*ROW(Mapping!$A$5:$A$200)))-4),"❓ no rule (add to Mapping)"))</f>
        <v/>
      </c>
      <c r="I419" s="79" t="str">
        <f aca="false">IF(B419="","",TEXT(B419,"mmm"))</f>
        <v/>
      </c>
      <c r="J419" s="80" t="str">
        <f aca="false">IF(B419="","",YEAR(B419))</f>
        <v/>
      </c>
    </row>
    <row r="420" customFormat="false" ht="18" hidden="false" customHeight="true" outlineLevel="0" collapsed="false">
      <c r="A420" s="81" t="n">
        <v>415</v>
      </c>
      <c r="B420" s="95"/>
      <c r="C420" s="96"/>
      <c r="D420" s="96" t="str">
        <f aca="false">IF(C420="","",IF(OR(ISNUMBER(SEARCH("PAYROLL",UPPER(C420))),ISNUMBER(SEARCH("PAYCHECK",UPPER(C420))),ISNUMBER(SEARCH("DEPOSIT",UPPER(C420)))),"Income",IF(ISNUMBER(SEARCH("TRANSFER",UPPER(C420))),"Transfer","Expense")))</f>
        <v/>
      </c>
      <c r="E420" s="97" t="str">
        <f aca="false">IF(C420="","",IFERROR(INDEX(Mapping!$B$5:$B$200,SUMPRODUCT(MAX((ISNUMBER(SEARCH(Mapping!$A$5:$A$200,UPPER(C420&amp;""))))*ROW(Mapping!$A$5:$A$200)))-4),""))</f>
        <v/>
      </c>
      <c r="F420" s="98"/>
      <c r="G420" s="99" t="n">
        <f aca="false">IF(F420="",G419,G419+IF(D420="Income",F420,IF(D420="Expense",-F420,F420)))</f>
        <v>3408.09</v>
      </c>
      <c r="H420" s="100" t="str">
        <f aca="false">IF(C420="","",IFERROR(INDEX(Mapping!$A$5:$A$200,SUMPRODUCT(MAX((ISNUMBER(SEARCH(Mapping!$A$5:$A$200,UPPER(C420&amp;""))))*ROW(Mapping!$A$5:$A$200)))-4)&amp;" → "&amp;INDEX(Mapping!$B$5:$B$200,SUMPRODUCT(MAX((ISNUMBER(SEARCH(Mapping!$A$5:$A$200,UPPER(C420&amp;""))))*ROW(Mapping!$A$5:$A$200)))-4),"❓ no rule (add to Mapping)"))</f>
        <v/>
      </c>
      <c r="I420" s="79" t="str">
        <f aca="false">IF(B420="","",TEXT(B420,"mmm"))</f>
        <v/>
      </c>
      <c r="J420" s="80" t="str">
        <f aca="false">IF(B420="","",YEAR(B420))</f>
        <v/>
      </c>
    </row>
    <row r="421" customFormat="false" ht="18" hidden="false" customHeight="true" outlineLevel="0" collapsed="false">
      <c r="A421" s="81" t="n">
        <v>416</v>
      </c>
      <c r="B421" s="95"/>
      <c r="C421" s="96"/>
      <c r="D421" s="96" t="str">
        <f aca="false">IF(C421="","",IF(OR(ISNUMBER(SEARCH("PAYROLL",UPPER(C421))),ISNUMBER(SEARCH("PAYCHECK",UPPER(C421))),ISNUMBER(SEARCH("DEPOSIT",UPPER(C421)))),"Income",IF(ISNUMBER(SEARCH("TRANSFER",UPPER(C421))),"Transfer","Expense")))</f>
        <v/>
      </c>
      <c r="E421" s="97" t="str">
        <f aca="false">IF(C421="","",IFERROR(INDEX(Mapping!$B$5:$B$200,SUMPRODUCT(MAX((ISNUMBER(SEARCH(Mapping!$A$5:$A$200,UPPER(C421&amp;""))))*ROW(Mapping!$A$5:$A$200)))-4),""))</f>
        <v/>
      </c>
      <c r="F421" s="98"/>
      <c r="G421" s="99" t="n">
        <f aca="false">IF(F421="",G420,G420+IF(D421="Income",F421,IF(D421="Expense",-F421,F421)))</f>
        <v>3408.09</v>
      </c>
      <c r="H421" s="100" t="str">
        <f aca="false">IF(C421="","",IFERROR(INDEX(Mapping!$A$5:$A$200,SUMPRODUCT(MAX((ISNUMBER(SEARCH(Mapping!$A$5:$A$200,UPPER(C421&amp;""))))*ROW(Mapping!$A$5:$A$200)))-4)&amp;" → "&amp;INDEX(Mapping!$B$5:$B$200,SUMPRODUCT(MAX((ISNUMBER(SEARCH(Mapping!$A$5:$A$200,UPPER(C421&amp;""))))*ROW(Mapping!$A$5:$A$200)))-4),"❓ no rule (add to Mapping)"))</f>
        <v/>
      </c>
      <c r="I421" s="79" t="str">
        <f aca="false">IF(B421="","",TEXT(B421,"mmm"))</f>
        <v/>
      </c>
      <c r="J421" s="80" t="str">
        <f aca="false">IF(B421="","",YEAR(B421))</f>
        <v/>
      </c>
    </row>
    <row r="422" customFormat="false" ht="18" hidden="false" customHeight="true" outlineLevel="0" collapsed="false">
      <c r="A422" s="81" t="n">
        <v>417</v>
      </c>
      <c r="B422" s="95"/>
      <c r="C422" s="96"/>
      <c r="D422" s="96" t="str">
        <f aca="false">IF(C422="","",IF(OR(ISNUMBER(SEARCH("PAYROLL",UPPER(C422))),ISNUMBER(SEARCH("PAYCHECK",UPPER(C422))),ISNUMBER(SEARCH("DEPOSIT",UPPER(C422)))),"Income",IF(ISNUMBER(SEARCH("TRANSFER",UPPER(C422))),"Transfer","Expense")))</f>
        <v/>
      </c>
      <c r="E422" s="97" t="str">
        <f aca="false">IF(C422="","",IFERROR(INDEX(Mapping!$B$5:$B$200,SUMPRODUCT(MAX((ISNUMBER(SEARCH(Mapping!$A$5:$A$200,UPPER(C422&amp;""))))*ROW(Mapping!$A$5:$A$200)))-4),""))</f>
        <v/>
      </c>
      <c r="F422" s="98"/>
      <c r="G422" s="99" t="n">
        <f aca="false">IF(F422="",G421,G421+IF(D422="Income",F422,IF(D422="Expense",-F422,F422)))</f>
        <v>3408.09</v>
      </c>
      <c r="H422" s="100" t="str">
        <f aca="false">IF(C422="","",IFERROR(INDEX(Mapping!$A$5:$A$200,SUMPRODUCT(MAX((ISNUMBER(SEARCH(Mapping!$A$5:$A$200,UPPER(C422&amp;""))))*ROW(Mapping!$A$5:$A$200)))-4)&amp;" → "&amp;INDEX(Mapping!$B$5:$B$200,SUMPRODUCT(MAX((ISNUMBER(SEARCH(Mapping!$A$5:$A$200,UPPER(C422&amp;""))))*ROW(Mapping!$A$5:$A$200)))-4),"❓ no rule (add to Mapping)"))</f>
        <v/>
      </c>
      <c r="I422" s="79" t="str">
        <f aca="false">IF(B422="","",TEXT(B422,"mmm"))</f>
        <v/>
      </c>
      <c r="J422" s="80" t="str">
        <f aca="false">IF(B422="","",YEAR(B422))</f>
        <v/>
      </c>
    </row>
    <row r="423" customFormat="false" ht="18" hidden="false" customHeight="true" outlineLevel="0" collapsed="false">
      <c r="A423" s="81" t="n">
        <v>418</v>
      </c>
      <c r="B423" s="95"/>
      <c r="C423" s="96"/>
      <c r="D423" s="96" t="str">
        <f aca="false">IF(C423="","",IF(OR(ISNUMBER(SEARCH("PAYROLL",UPPER(C423))),ISNUMBER(SEARCH("PAYCHECK",UPPER(C423))),ISNUMBER(SEARCH("DEPOSIT",UPPER(C423)))),"Income",IF(ISNUMBER(SEARCH("TRANSFER",UPPER(C423))),"Transfer","Expense")))</f>
        <v/>
      </c>
      <c r="E423" s="97" t="str">
        <f aca="false">IF(C423="","",IFERROR(INDEX(Mapping!$B$5:$B$200,SUMPRODUCT(MAX((ISNUMBER(SEARCH(Mapping!$A$5:$A$200,UPPER(C423&amp;""))))*ROW(Mapping!$A$5:$A$200)))-4),""))</f>
        <v/>
      </c>
      <c r="F423" s="98"/>
      <c r="G423" s="99" t="n">
        <f aca="false">IF(F423="",G422,G422+IF(D423="Income",F423,IF(D423="Expense",-F423,F423)))</f>
        <v>3408.09</v>
      </c>
      <c r="H423" s="100" t="str">
        <f aca="false">IF(C423="","",IFERROR(INDEX(Mapping!$A$5:$A$200,SUMPRODUCT(MAX((ISNUMBER(SEARCH(Mapping!$A$5:$A$200,UPPER(C423&amp;""))))*ROW(Mapping!$A$5:$A$200)))-4)&amp;" → "&amp;INDEX(Mapping!$B$5:$B$200,SUMPRODUCT(MAX((ISNUMBER(SEARCH(Mapping!$A$5:$A$200,UPPER(C423&amp;""))))*ROW(Mapping!$A$5:$A$200)))-4),"❓ no rule (add to Mapping)"))</f>
        <v/>
      </c>
      <c r="I423" s="79" t="str">
        <f aca="false">IF(B423="","",TEXT(B423,"mmm"))</f>
        <v/>
      </c>
      <c r="J423" s="80" t="str">
        <f aca="false">IF(B423="","",YEAR(B423))</f>
        <v/>
      </c>
    </row>
    <row r="424" customFormat="false" ht="18" hidden="false" customHeight="true" outlineLevel="0" collapsed="false">
      <c r="A424" s="81" t="n">
        <v>419</v>
      </c>
      <c r="B424" s="95"/>
      <c r="C424" s="96"/>
      <c r="D424" s="96" t="str">
        <f aca="false">IF(C424="","",IF(OR(ISNUMBER(SEARCH("PAYROLL",UPPER(C424))),ISNUMBER(SEARCH("PAYCHECK",UPPER(C424))),ISNUMBER(SEARCH("DEPOSIT",UPPER(C424)))),"Income",IF(ISNUMBER(SEARCH("TRANSFER",UPPER(C424))),"Transfer","Expense")))</f>
        <v/>
      </c>
      <c r="E424" s="97" t="str">
        <f aca="false">IF(C424="","",IFERROR(INDEX(Mapping!$B$5:$B$200,SUMPRODUCT(MAX((ISNUMBER(SEARCH(Mapping!$A$5:$A$200,UPPER(C424&amp;""))))*ROW(Mapping!$A$5:$A$200)))-4),""))</f>
        <v/>
      </c>
      <c r="F424" s="98"/>
      <c r="G424" s="99" t="n">
        <f aca="false">IF(F424="",G423,G423+IF(D424="Income",F424,IF(D424="Expense",-F424,F424)))</f>
        <v>3408.09</v>
      </c>
      <c r="H424" s="100" t="str">
        <f aca="false">IF(C424="","",IFERROR(INDEX(Mapping!$A$5:$A$200,SUMPRODUCT(MAX((ISNUMBER(SEARCH(Mapping!$A$5:$A$200,UPPER(C424&amp;""))))*ROW(Mapping!$A$5:$A$200)))-4)&amp;" → "&amp;INDEX(Mapping!$B$5:$B$200,SUMPRODUCT(MAX((ISNUMBER(SEARCH(Mapping!$A$5:$A$200,UPPER(C424&amp;""))))*ROW(Mapping!$A$5:$A$200)))-4),"❓ no rule (add to Mapping)"))</f>
        <v/>
      </c>
      <c r="I424" s="79" t="str">
        <f aca="false">IF(B424="","",TEXT(B424,"mmm"))</f>
        <v/>
      </c>
      <c r="J424" s="80" t="str">
        <f aca="false">IF(B424="","",YEAR(B424))</f>
        <v/>
      </c>
    </row>
    <row r="425" customFormat="false" ht="18" hidden="false" customHeight="true" outlineLevel="0" collapsed="false">
      <c r="A425" s="81" t="n">
        <v>420</v>
      </c>
      <c r="B425" s="95"/>
      <c r="C425" s="96"/>
      <c r="D425" s="96" t="str">
        <f aca="false">IF(C425="","",IF(OR(ISNUMBER(SEARCH("PAYROLL",UPPER(C425))),ISNUMBER(SEARCH("PAYCHECK",UPPER(C425))),ISNUMBER(SEARCH("DEPOSIT",UPPER(C425)))),"Income",IF(ISNUMBER(SEARCH("TRANSFER",UPPER(C425))),"Transfer","Expense")))</f>
        <v/>
      </c>
      <c r="E425" s="97" t="str">
        <f aca="false">IF(C425="","",IFERROR(INDEX(Mapping!$B$5:$B$200,SUMPRODUCT(MAX((ISNUMBER(SEARCH(Mapping!$A$5:$A$200,UPPER(C425&amp;""))))*ROW(Mapping!$A$5:$A$200)))-4),""))</f>
        <v/>
      </c>
      <c r="F425" s="98"/>
      <c r="G425" s="99" t="n">
        <f aca="false">IF(F425="",G424,G424+IF(D425="Income",F425,IF(D425="Expense",-F425,F425)))</f>
        <v>3408.09</v>
      </c>
      <c r="H425" s="100" t="str">
        <f aca="false">IF(C425="","",IFERROR(INDEX(Mapping!$A$5:$A$200,SUMPRODUCT(MAX((ISNUMBER(SEARCH(Mapping!$A$5:$A$200,UPPER(C425&amp;""))))*ROW(Mapping!$A$5:$A$200)))-4)&amp;" → "&amp;INDEX(Mapping!$B$5:$B$200,SUMPRODUCT(MAX((ISNUMBER(SEARCH(Mapping!$A$5:$A$200,UPPER(C425&amp;""))))*ROW(Mapping!$A$5:$A$200)))-4),"❓ no rule (add to Mapping)"))</f>
        <v/>
      </c>
      <c r="I425" s="79" t="str">
        <f aca="false">IF(B425="","",TEXT(B425,"mmm"))</f>
        <v/>
      </c>
      <c r="J425" s="80" t="str">
        <f aca="false">IF(B425="","",YEAR(B425))</f>
        <v/>
      </c>
    </row>
    <row r="426" customFormat="false" ht="18" hidden="false" customHeight="true" outlineLevel="0" collapsed="false">
      <c r="A426" s="81" t="n">
        <v>421</v>
      </c>
      <c r="B426" s="95"/>
      <c r="C426" s="96"/>
      <c r="D426" s="96" t="str">
        <f aca="false">IF(C426="","",IF(OR(ISNUMBER(SEARCH("PAYROLL",UPPER(C426))),ISNUMBER(SEARCH("PAYCHECK",UPPER(C426))),ISNUMBER(SEARCH("DEPOSIT",UPPER(C426)))),"Income",IF(ISNUMBER(SEARCH("TRANSFER",UPPER(C426))),"Transfer","Expense")))</f>
        <v/>
      </c>
      <c r="E426" s="97" t="str">
        <f aca="false">IF(C426="","",IFERROR(INDEX(Mapping!$B$5:$B$200,SUMPRODUCT(MAX((ISNUMBER(SEARCH(Mapping!$A$5:$A$200,UPPER(C426&amp;""))))*ROW(Mapping!$A$5:$A$200)))-4),""))</f>
        <v/>
      </c>
      <c r="F426" s="98"/>
      <c r="G426" s="99" t="n">
        <f aca="false">IF(F426="",G425,G425+IF(D426="Income",F426,IF(D426="Expense",-F426,F426)))</f>
        <v>3408.09</v>
      </c>
      <c r="H426" s="100" t="str">
        <f aca="false">IF(C426="","",IFERROR(INDEX(Mapping!$A$5:$A$200,SUMPRODUCT(MAX((ISNUMBER(SEARCH(Mapping!$A$5:$A$200,UPPER(C426&amp;""))))*ROW(Mapping!$A$5:$A$200)))-4)&amp;" → "&amp;INDEX(Mapping!$B$5:$B$200,SUMPRODUCT(MAX((ISNUMBER(SEARCH(Mapping!$A$5:$A$200,UPPER(C426&amp;""))))*ROW(Mapping!$A$5:$A$200)))-4),"❓ no rule (add to Mapping)"))</f>
        <v/>
      </c>
      <c r="I426" s="79" t="str">
        <f aca="false">IF(B426="","",TEXT(B426,"mmm"))</f>
        <v/>
      </c>
      <c r="J426" s="80" t="str">
        <f aca="false">IF(B426="","",YEAR(B426))</f>
        <v/>
      </c>
    </row>
    <row r="427" customFormat="false" ht="18" hidden="false" customHeight="true" outlineLevel="0" collapsed="false">
      <c r="A427" s="81" t="n">
        <v>422</v>
      </c>
      <c r="B427" s="95"/>
      <c r="C427" s="96"/>
      <c r="D427" s="96" t="str">
        <f aca="false">IF(C427="","",IF(OR(ISNUMBER(SEARCH("PAYROLL",UPPER(C427))),ISNUMBER(SEARCH("PAYCHECK",UPPER(C427))),ISNUMBER(SEARCH("DEPOSIT",UPPER(C427)))),"Income",IF(ISNUMBER(SEARCH("TRANSFER",UPPER(C427))),"Transfer","Expense")))</f>
        <v/>
      </c>
      <c r="E427" s="97" t="str">
        <f aca="false">IF(C427="","",IFERROR(INDEX(Mapping!$B$5:$B$200,SUMPRODUCT(MAX((ISNUMBER(SEARCH(Mapping!$A$5:$A$200,UPPER(C427&amp;""))))*ROW(Mapping!$A$5:$A$200)))-4),""))</f>
        <v/>
      </c>
      <c r="F427" s="98"/>
      <c r="G427" s="99" t="n">
        <f aca="false">IF(F427="",G426,G426+IF(D427="Income",F427,IF(D427="Expense",-F427,F427)))</f>
        <v>3408.09</v>
      </c>
      <c r="H427" s="100" t="str">
        <f aca="false">IF(C427="","",IFERROR(INDEX(Mapping!$A$5:$A$200,SUMPRODUCT(MAX((ISNUMBER(SEARCH(Mapping!$A$5:$A$200,UPPER(C427&amp;""))))*ROW(Mapping!$A$5:$A$200)))-4)&amp;" → "&amp;INDEX(Mapping!$B$5:$B$200,SUMPRODUCT(MAX((ISNUMBER(SEARCH(Mapping!$A$5:$A$200,UPPER(C427&amp;""))))*ROW(Mapping!$A$5:$A$200)))-4),"❓ no rule (add to Mapping)"))</f>
        <v/>
      </c>
      <c r="I427" s="79" t="str">
        <f aca="false">IF(B427="","",TEXT(B427,"mmm"))</f>
        <v/>
      </c>
      <c r="J427" s="80" t="str">
        <f aca="false">IF(B427="","",YEAR(B427))</f>
        <v/>
      </c>
    </row>
    <row r="428" customFormat="false" ht="18" hidden="false" customHeight="true" outlineLevel="0" collapsed="false">
      <c r="A428" s="81" t="n">
        <v>423</v>
      </c>
      <c r="B428" s="95"/>
      <c r="C428" s="96"/>
      <c r="D428" s="96" t="str">
        <f aca="false">IF(C428="","",IF(OR(ISNUMBER(SEARCH("PAYROLL",UPPER(C428))),ISNUMBER(SEARCH("PAYCHECK",UPPER(C428))),ISNUMBER(SEARCH("DEPOSIT",UPPER(C428)))),"Income",IF(ISNUMBER(SEARCH("TRANSFER",UPPER(C428))),"Transfer","Expense")))</f>
        <v/>
      </c>
      <c r="E428" s="97" t="str">
        <f aca="false">IF(C428="","",IFERROR(INDEX(Mapping!$B$5:$B$200,SUMPRODUCT(MAX((ISNUMBER(SEARCH(Mapping!$A$5:$A$200,UPPER(C428&amp;""))))*ROW(Mapping!$A$5:$A$200)))-4),""))</f>
        <v/>
      </c>
      <c r="F428" s="98"/>
      <c r="G428" s="99" t="n">
        <f aca="false">IF(F428="",G427,G427+IF(D428="Income",F428,IF(D428="Expense",-F428,F428)))</f>
        <v>3408.09</v>
      </c>
      <c r="H428" s="100" t="str">
        <f aca="false">IF(C428="","",IFERROR(INDEX(Mapping!$A$5:$A$200,SUMPRODUCT(MAX((ISNUMBER(SEARCH(Mapping!$A$5:$A$200,UPPER(C428&amp;""))))*ROW(Mapping!$A$5:$A$200)))-4)&amp;" → "&amp;INDEX(Mapping!$B$5:$B$200,SUMPRODUCT(MAX((ISNUMBER(SEARCH(Mapping!$A$5:$A$200,UPPER(C428&amp;""))))*ROW(Mapping!$A$5:$A$200)))-4),"❓ no rule (add to Mapping)"))</f>
        <v/>
      </c>
      <c r="I428" s="79" t="str">
        <f aca="false">IF(B428="","",TEXT(B428,"mmm"))</f>
        <v/>
      </c>
      <c r="J428" s="80" t="str">
        <f aca="false">IF(B428="","",YEAR(B428))</f>
        <v/>
      </c>
    </row>
    <row r="429" customFormat="false" ht="18" hidden="false" customHeight="true" outlineLevel="0" collapsed="false">
      <c r="A429" s="81" t="n">
        <v>424</v>
      </c>
      <c r="B429" s="95"/>
      <c r="C429" s="96"/>
      <c r="D429" s="96" t="str">
        <f aca="false">IF(C429="","",IF(OR(ISNUMBER(SEARCH("PAYROLL",UPPER(C429))),ISNUMBER(SEARCH("PAYCHECK",UPPER(C429))),ISNUMBER(SEARCH("DEPOSIT",UPPER(C429)))),"Income",IF(ISNUMBER(SEARCH("TRANSFER",UPPER(C429))),"Transfer","Expense")))</f>
        <v/>
      </c>
      <c r="E429" s="97" t="str">
        <f aca="false">IF(C429="","",IFERROR(INDEX(Mapping!$B$5:$B$200,SUMPRODUCT(MAX((ISNUMBER(SEARCH(Mapping!$A$5:$A$200,UPPER(C429&amp;""))))*ROW(Mapping!$A$5:$A$200)))-4),""))</f>
        <v/>
      </c>
      <c r="F429" s="98"/>
      <c r="G429" s="99" t="n">
        <f aca="false">IF(F429="",G428,G428+IF(D429="Income",F429,IF(D429="Expense",-F429,F429)))</f>
        <v>3408.09</v>
      </c>
      <c r="H429" s="100" t="str">
        <f aca="false">IF(C429="","",IFERROR(INDEX(Mapping!$A$5:$A$200,SUMPRODUCT(MAX((ISNUMBER(SEARCH(Mapping!$A$5:$A$200,UPPER(C429&amp;""))))*ROW(Mapping!$A$5:$A$200)))-4)&amp;" → "&amp;INDEX(Mapping!$B$5:$B$200,SUMPRODUCT(MAX((ISNUMBER(SEARCH(Mapping!$A$5:$A$200,UPPER(C429&amp;""))))*ROW(Mapping!$A$5:$A$200)))-4),"❓ no rule (add to Mapping)"))</f>
        <v/>
      </c>
      <c r="I429" s="79" t="str">
        <f aca="false">IF(B429="","",TEXT(B429,"mmm"))</f>
        <v/>
      </c>
      <c r="J429" s="80" t="str">
        <f aca="false">IF(B429="","",YEAR(B429))</f>
        <v/>
      </c>
    </row>
    <row r="430" customFormat="false" ht="18" hidden="false" customHeight="true" outlineLevel="0" collapsed="false">
      <c r="A430" s="81" t="n">
        <v>425</v>
      </c>
      <c r="B430" s="95"/>
      <c r="C430" s="96"/>
      <c r="D430" s="96" t="str">
        <f aca="false">IF(C430="","",IF(OR(ISNUMBER(SEARCH("PAYROLL",UPPER(C430))),ISNUMBER(SEARCH("PAYCHECK",UPPER(C430))),ISNUMBER(SEARCH("DEPOSIT",UPPER(C430)))),"Income",IF(ISNUMBER(SEARCH("TRANSFER",UPPER(C430))),"Transfer","Expense")))</f>
        <v/>
      </c>
      <c r="E430" s="97" t="str">
        <f aca="false">IF(C430="","",IFERROR(INDEX(Mapping!$B$5:$B$200,SUMPRODUCT(MAX((ISNUMBER(SEARCH(Mapping!$A$5:$A$200,UPPER(C430&amp;""))))*ROW(Mapping!$A$5:$A$200)))-4),""))</f>
        <v/>
      </c>
      <c r="F430" s="98"/>
      <c r="G430" s="99" t="n">
        <f aca="false">IF(F430="",G429,G429+IF(D430="Income",F430,IF(D430="Expense",-F430,F430)))</f>
        <v>3408.09</v>
      </c>
      <c r="H430" s="100" t="str">
        <f aca="false">IF(C430="","",IFERROR(INDEX(Mapping!$A$5:$A$200,SUMPRODUCT(MAX((ISNUMBER(SEARCH(Mapping!$A$5:$A$200,UPPER(C430&amp;""))))*ROW(Mapping!$A$5:$A$200)))-4)&amp;" → "&amp;INDEX(Mapping!$B$5:$B$200,SUMPRODUCT(MAX((ISNUMBER(SEARCH(Mapping!$A$5:$A$200,UPPER(C430&amp;""))))*ROW(Mapping!$A$5:$A$200)))-4),"❓ no rule (add to Mapping)"))</f>
        <v/>
      </c>
      <c r="I430" s="79" t="str">
        <f aca="false">IF(B430="","",TEXT(B430,"mmm"))</f>
        <v/>
      </c>
      <c r="J430" s="80" t="str">
        <f aca="false">IF(B430="","",YEAR(B430))</f>
        <v/>
      </c>
    </row>
    <row r="431" customFormat="false" ht="18" hidden="false" customHeight="true" outlineLevel="0" collapsed="false">
      <c r="A431" s="81" t="n">
        <v>426</v>
      </c>
      <c r="B431" s="95"/>
      <c r="C431" s="96"/>
      <c r="D431" s="96" t="str">
        <f aca="false">IF(C431="","",IF(OR(ISNUMBER(SEARCH("PAYROLL",UPPER(C431))),ISNUMBER(SEARCH("PAYCHECK",UPPER(C431))),ISNUMBER(SEARCH("DEPOSIT",UPPER(C431)))),"Income",IF(ISNUMBER(SEARCH("TRANSFER",UPPER(C431))),"Transfer","Expense")))</f>
        <v/>
      </c>
      <c r="E431" s="97" t="str">
        <f aca="false">IF(C431="","",IFERROR(INDEX(Mapping!$B$5:$B$200,SUMPRODUCT(MAX((ISNUMBER(SEARCH(Mapping!$A$5:$A$200,UPPER(C431&amp;""))))*ROW(Mapping!$A$5:$A$200)))-4),""))</f>
        <v/>
      </c>
      <c r="F431" s="98"/>
      <c r="G431" s="99" t="n">
        <f aca="false">IF(F431="",G430,G430+IF(D431="Income",F431,IF(D431="Expense",-F431,F431)))</f>
        <v>3408.09</v>
      </c>
      <c r="H431" s="100" t="str">
        <f aca="false">IF(C431="","",IFERROR(INDEX(Mapping!$A$5:$A$200,SUMPRODUCT(MAX((ISNUMBER(SEARCH(Mapping!$A$5:$A$200,UPPER(C431&amp;""))))*ROW(Mapping!$A$5:$A$200)))-4)&amp;" → "&amp;INDEX(Mapping!$B$5:$B$200,SUMPRODUCT(MAX((ISNUMBER(SEARCH(Mapping!$A$5:$A$200,UPPER(C431&amp;""))))*ROW(Mapping!$A$5:$A$200)))-4),"❓ no rule (add to Mapping)"))</f>
        <v/>
      </c>
      <c r="I431" s="79" t="str">
        <f aca="false">IF(B431="","",TEXT(B431,"mmm"))</f>
        <v/>
      </c>
      <c r="J431" s="80" t="str">
        <f aca="false">IF(B431="","",YEAR(B431))</f>
        <v/>
      </c>
    </row>
    <row r="432" customFormat="false" ht="18" hidden="false" customHeight="true" outlineLevel="0" collapsed="false">
      <c r="A432" s="81" t="n">
        <v>427</v>
      </c>
      <c r="B432" s="95"/>
      <c r="C432" s="96"/>
      <c r="D432" s="96" t="str">
        <f aca="false">IF(C432="","",IF(OR(ISNUMBER(SEARCH("PAYROLL",UPPER(C432))),ISNUMBER(SEARCH("PAYCHECK",UPPER(C432))),ISNUMBER(SEARCH("DEPOSIT",UPPER(C432)))),"Income",IF(ISNUMBER(SEARCH("TRANSFER",UPPER(C432))),"Transfer","Expense")))</f>
        <v/>
      </c>
      <c r="E432" s="97" t="str">
        <f aca="false">IF(C432="","",IFERROR(INDEX(Mapping!$B$5:$B$200,SUMPRODUCT(MAX((ISNUMBER(SEARCH(Mapping!$A$5:$A$200,UPPER(C432&amp;""))))*ROW(Mapping!$A$5:$A$200)))-4),""))</f>
        <v/>
      </c>
      <c r="F432" s="98"/>
      <c r="G432" s="99" t="n">
        <f aca="false">IF(F432="",G431,G431+IF(D432="Income",F432,IF(D432="Expense",-F432,F432)))</f>
        <v>3408.09</v>
      </c>
      <c r="H432" s="100" t="str">
        <f aca="false">IF(C432="","",IFERROR(INDEX(Mapping!$A$5:$A$200,SUMPRODUCT(MAX((ISNUMBER(SEARCH(Mapping!$A$5:$A$200,UPPER(C432&amp;""))))*ROW(Mapping!$A$5:$A$200)))-4)&amp;" → "&amp;INDEX(Mapping!$B$5:$B$200,SUMPRODUCT(MAX((ISNUMBER(SEARCH(Mapping!$A$5:$A$200,UPPER(C432&amp;""))))*ROW(Mapping!$A$5:$A$200)))-4),"❓ no rule (add to Mapping)"))</f>
        <v/>
      </c>
      <c r="I432" s="79" t="str">
        <f aca="false">IF(B432="","",TEXT(B432,"mmm"))</f>
        <v/>
      </c>
      <c r="J432" s="80" t="str">
        <f aca="false">IF(B432="","",YEAR(B432))</f>
        <v/>
      </c>
    </row>
    <row r="433" customFormat="false" ht="18" hidden="false" customHeight="true" outlineLevel="0" collapsed="false">
      <c r="A433" s="81" t="n">
        <v>428</v>
      </c>
      <c r="B433" s="95"/>
      <c r="C433" s="96"/>
      <c r="D433" s="96" t="str">
        <f aca="false">IF(C433="","",IF(OR(ISNUMBER(SEARCH("PAYROLL",UPPER(C433))),ISNUMBER(SEARCH("PAYCHECK",UPPER(C433))),ISNUMBER(SEARCH("DEPOSIT",UPPER(C433)))),"Income",IF(ISNUMBER(SEARCH("TRANSFER",UPPER(C433))),"Transfer","Expense")))</f>
        <v/>
      </c>
      <c r="E433" s="97" t="str">
        <f aca="false">IF(C433="","",IFERROR(INDEX(Mapping!$B$5:$B$200,SUMPRODUCT(MAX((ISNUMBER(SEARCH(Mapping!$A$5:$A$200,UPPER(C433&amp;""))))*ROW(Mapping!$A$5:$A$200)))-4),""))</f>
        <v/>
      </c>
      <c r="F433" s="98"/>
      <c r="G433" s="99" t="n">
        <f aca="false">IF(F433="",G432,G432+IF(D433="Income",F433,IF(D433="Expense",-F433,F433)))</f>
        <v>3408.09</v>
      </c>
      <c r="H433" s="100" t="str">
        <f aca="false">IF(C433="","",IFERROR(INDEX(Mapping!$A$5:$A$200,SUMPRODUCT(MAX((ISNUMBER(SEARCH(Mapping!$A$5:$A$200,UPPER(C433&amp;""))))*ROW(Mapping!$A$5:$A$200)))-4)&amp;" → "&amp;INDEX(Mapping!$B$5:$B$200,SUMPRODUCT(MAX((ISNUMBER(SEARCH(Mapping!$A$5:$A$200,UPPER(C433&amp;""))))*ROW(Mapping!$A$5:$A$200)))-4),"❓ no rule (add to Mapping)"))</f>
        <v/>
      </c>
      <c r="I433" s="79" t="str">
        <f aca="false">IF(B433="","",TEXT(B433,"mmm"))</f>
        <v/>
      </c>
      <c r="J433" s="80" t="str">
        <f aca="false">IF(B433="","",YEAR(B433))</f>
        <v/>
      </c>
    </row>
    <row r="434" customFormat="false" ht="18" hidden="false" customHeight="true" outlineLevel="0" collapsed="false">
      <c r="A434" s="81" t="n">
        <v>429</v>
      </c>
      <c r="B434" s="95"/>
      <c r="C434" s="96"/>
      <c r="D434" s="96" t="str">
        <f aca="false">IF(C434="","",IF(OR(ISNUMBER(SEARCH("PAYROLL",UPPER(C434))),ISNUMBER(SEARCH("PAYCHECK",UPPER(C434))),ISNUMBER(SEARCH("DEPOSIT",UPPER(C434)))),"Income",IF(ISNUMBER(SEARCH("TRANSFER",UPPER(C434))),"Transfer","Expense")))</f>
        <v/>
      </c>
      <c r="E434" s="97" t="str">
        <f aca="false">IF(C434="","",IFERROR(INDEX(Mapping!$B$5:$B$200,SUMPRODUCT(MAX((ISNUMBER(SEARCH(Mapping!$A$5:$A$200,UPPER(C434&amp;""))))*ROW(Mapping!$A$5:$A$200)))-4),""))</f>
        <v/>
      </c>
      <c r="F434" s="98"/>
      <c r="G434" s="99" t="n">
        <f aca="false">IF(F434="",G433,G433+IF(D434="Income",F434,IF(D434="Expense",-F434,F434)))</f>
        <v>3408.09</v>
      </c>
      <c r="H434" s="100" t="str">
        <f aca="false">IF(C434="","",IFERROR(INDEX(Mapping!$A$5:$A$200,SUMPRODUCT(MAX((ISNUMBER(SEARCH(Mapping!$A$5:$A$200,UPPER(C434&amp;""))))*ROW(Mapping!$A$5:$A$200)))-4)&amp;" → "&amp;INDEX(Mapping!$B$5:$B$200,SUMPRODUCT(MAX((ISNUMBER(SEARCH(Mapping!$A$5:$A$200,UPPER(C434&amp;""))))*ROW(Mapping!$A$5:$A$200)))-4),"❓ no rule (add to Mapping)"))</f>
        <v/>
      </c>
      <c r="I434" s="79" t="str">
        <f aca="false">IF(B434="","",TEXT(B434,"mmm"))</f>
        <v/>
      </c>
      <c r="J434" s="80" t="str">
        <f aca="false">IF(B434="","",YEAR(B434))</f>
        <v/>
      </c>
    </row>
    <row r="435" customFormat="false" ht="18" hidden="false" customHeight="true" outlineLevel="0" collapsed="false">
      <c r="A435" s="81" t="n">
        <v>430</v>
      </c>
      <c r="B435" s="95"/>
      <c r="C435" s="96"/>
      <c r="D435" s="96" t="str">
        <f aca="false">IF(C435="","",IF(OR(ISNUMBER(SEARCH("PAYROLL",UPPER(C435))),ISNUMBER(SEARCH("PAYCHECK",UPPER(C435))),ISNUMBER(SEARCH("DEPOSIT",UPPER(C435)))),"Income",IF(ISNUMBER(SEARCH("TRANSFER",UPPER(C435))),"Transfer","Expense")))</f>
        <v/>
      </c>
      <c r="E435" s="97" t="str">
        <f aca="false">IF(C435="","",IFERROR(INDEX(Mapping!$B$5:$B$200,SUMPRODUCT(MAX((ISNUMBER(SEARCH(Mapping!$A$5:$A$200,UPPER(C435&amp;""))))*ROW(Mapping!$A$5:$A$200)))-4),""))</f>
        <v/>
      </c>
      <c r="F435" s="98"/>
      <c r="G435" s="99" t="n">
        <f aca="false">IF(F435="",G434,G434+IF(D435="Income",F435,IF(D435="Expense",-F435,F435)))</f>
        <v>3408.09</v>
      </c>
      <c r="H435" s="100" t="str">
        <f aca="false">IF(C435="","",IFERROR(INDEX(Mapping!$A$5:$A$200,SUMPRODUCT(MAX((ISNUMBER(SEARCH(Mapping!$A$5:$A$200,UPPER(C435&amp;""))))*ROW(Mapping!$A$5:$A$200)))-4)&amp;" → "&amp;INDEX(Mapping!$B$5:$B$200,SUMPRODUCT(MAX((ISNUMBER(SEARCH(Mapping!$A$5:$A$200,UPPER(C435&amp;""))))*ROW(Mapping!$A$5:$A$200)))-4),"❓ no rule (add to Mapping)"))</f>
        <v/>
      </c>
      <c r="I435" s="79" t="str">
        <f aca="false">IF(B435="","",TEXT(B435,"mmm"))</f>
        <v/>
      </c>
      <c r="J435" s="80" t="str">
        <f aca="false">IF(B435="","",YEAR(B435))</f>
        <v/>
      </c>
    </row>
    <row r="436" customFormat="false" ht="18" hidden="false" customHeight="true" outlineLevel="0" collapsed="false">
      <c r="A436" s="81" t="n">
        <v>431</v>
      </c>
      <c r="B436" s="95"/>
      <c r="C436" s="96"/>
      <c r="D436" s="96" t="str">
        <f aca="false">IF(C436="","",IF(OR(ISNUMBER(SEARCH("PAYROLL",UPPER(C436))),ISNUMBER(SEARCH("PAYCHECK",UPPER(C436))),ISNUMBER(SEARCH("DEPOSIT",UPPER(C436)))),"Income",IF(ISNUMBER(SEARCH("TRANSFER",UPPER(C436))),"Transfer","Expense")))</f>
        <v/>
      </c>
      <c r="E436" s="97" t="str">
        <f aca="false">IF(C436="","",IFERROR(INDEX(Mapping!$B$5:$B$200,SUMPRODUCT(MAX((ISNUMBER(SEARCH(Mapping!$A$5:$A$200,UPPER(C436&amp;""))))*ROW(Mapping!$A$5:$A$200)))-4),""))</f>
        <v/>
      </c>
      <c r="F436" s="98"/>
      <c r="G436" s="99" t="n">
        <f aca="false">IF(F436="",G435,G435+IF(D436="Income",F436,IF(D436="Expense",-F436,F436)))</f>
        <v>3408.09</v>
      </c>
      <c r="H436" s="100" t="str">
        <f aca="false">IF(C436="","",IFERROR(INDEX(Mapping!$A$5:$A$200,SUMPRODUCT(MAX((ISNUMBER(SEARCH(Mapping!$A$5:$A$200,UPPER(C436&amp;""))))*ROW(Mapping!$A$5:$A$200)))-4)&amp;" → "&amp;INDEX(Mapping!$B$5:$B$200,SUMPRODUCT(MAX((ISNUMBER(SEARCH(Mapping!$A$5:$A$200,UPPER(C436&amp;""))))*ROW(Mapping!$A$5:$A$200)))-4),"❓ no rule (add to Mapping)"))</f>
        <v/>
      </c>
      <c r="I436" s="79" t="str">
        <f aca="false">IF(B436="","",TEXT(B436,"mmm"))</f>
        <v/>
      </c>
      <c r="J436" s="80" t="str">
        <f aca="false">IF(B436="","",YEAR(B436))</f>
        <v/>
      </c>
    </row>
    <row r="437" customFormat="false" ht="18" hidden="false" customHeight="true" outlineLevel="0" collapsed="false">
      <c r="A437" s="81" t="n">
        <v>432</v>
      </c>
      <c r="B437" s="95"/>
      <c r="C437" s="96"/>
      <c r="D437" s="96" t="str">
        <f aca="false">IF(C437="","",IF(OR(ISNUMBER(SEARCH("PAYROLL",UPPER(C437))),ISNUMBER(SEARCH("PAYCHECK",UPPER(C437))),ISNUMBER(SEARCH("DEPOSIT",UPPER(C437)))),"Income",IF(ISNUMBER(SEARCH("TRANSFER",UPPER(C437))),"Transfer","Expense")))</f>
        <v/>
      </c>
      <c r="E437" s="97" t="str">
        <f aca="false">IF(C437="","",IFERROR(INDEX(Mapping!$B$5:$B$200,SUMPRODUCT(MAX((ISNUMBER(SEARCH(Mapping!$A$5:$A$200,UPPER(C437&amp;""))))*ROW(Mapping!$A$5:$A$200)))-4),""))</f>
        <v/>
      </c>
      <c r="F437" s="98"/>
      <c r="G437" s="99" t="n">
        <f aca="false">IF(F437="",G436,G436+IF(D437="Income",F437,IF(D437="Expense",-F437,F437)))</f>
        <v>3408.09</v>
      </c>
      <c r="H437" s="100" t="str">
        <f aca="false">IF(C437="","",IFERROR(INDEX(Mapping!$A$5:$A$200,SUMPRODUCT(MAX((ISNUMBER(SEARCH(Mapping!$A$5:$A$200,UPPER(C437&amp;""))))*ROW(Mapping!$A$5:$A$200)))-4)&amp;" → "&amp;INDEX(Mapping!$B$5:$B$200,SUMPRODUCT(MAX((ISNUMBER(SEARCH(Mapping!$A$5:$A$200,UPPER(C437&amp;""))))*ROW(Mapping!$A$5:$A$200)))-4),"❓ no rule (add to Mapping)"))</f>
        <v/>
      </c>
      <c r="I437" s="79" t="str">
        <f aca="false">IF(B437="","",TEXT(B437,"mmm"))</f>
        <v/>
      </c>
      <c r="J437" s="80" t="str">
        <f aca="false">IF(B437="","",YEAR(B437))</f>
        <v/>
      </c>
    </row>
    <row r="438" customFormat="false" ht="18" hidden="false" customHeight="true" outlineLevel="0" collapsed="false">
      <c r="A438" s="81" t="n">
        <v>433</v>
      </c>
      <c r="B438" s="95"/>
      <c r="C438" s="96"/>
      <c r="D438" s="96" t="str">
        <f aca="false">IF(C438="","",IF(OR(ISNUMBER(SEARCH("PAYROLL",UPPER(C438))),ISNUMBER(SEARCH("PAYCHECK",UPPER(C438))),ISNUMBER(SEARCH("DEPOSIT",UPPER(C438)))),"Income",IF(ISNUMBER(SEARCH("TRANSFER",UPPER(C438))),"Transfer","Expense")))</f>
        <v/>
      </c>
      <c r="E438" s="97" t="str">
        <f aca="false">IF(C438="","",IFERROR(INDEX(Mapping!$B$5:$B$200,SUMPRODUCT(MAX((ISNUMBER(SEARCH(Mapping!$A$5:$A$200,UPPER(C438&amp;""))))*ROW(Mapping!$A$5:$A$200)))-4),""))</f>
        <v/>
      </c>
      <c r="F438" s="98"/>
      <c r="G438" s="99" t="n">
        <f aca="false">IF(F438="",G437,G437+IF(D438="Income",F438,IF(D438="Expense",-F438,F438)))</f>
        <v>3408.09</v>
      </c>
      <c r="H438" s="100" t="str">
        <f aca="false">IF(C438="","",IFERROR(INDEX(Mapping!$A$5:$A$200,SUMPRODUCT(MAX((ISNUMBER(SEARCH(Mapping!$A$5:$A$200,UPPER(C438&amp;""))))*ROW(Mapping!$A$5:$A$200)))-4)&amp;" → "&amp;INDEX(Mapping!$B$5:$B$200,SUMPRODUCT(MAX((ISNUMBER(SEARCH(Mapping!$A$5:$A$200,UPPER(C438&amp;""))))*ROW(Mapping!$A$5:$A$200)))-4),"❓ no rule (add to Mapping)"))</f>
        <v/>
      </c>
      <c r="I438" s="79" t="str">
        <f aca="false">IF(B438="","",TEXT(B438,"mmm"))</f>
        <v/>
      </c>
      <c r="J438" s="80" t="str">
        <f aca="false">IF(B438="","",YEAR(B438))</f>
        <v/>
      </c>
    </row>
    <row r="439" customFormat="false" ht="18" hidden="false" customHeight="true" outlineLevel="0" collapsed="false">
      <c r="A439" s="81" t="n">
        <v>434</v>
      </c>
      <c r="B439" s="95"/>
      <c r="C439" s="96"/>
      <c r="D439" s="96" t="str">
        <f aca="false">IF(C439="","",IF(OR(ISNUMBER(SEARCH("PAYROLL",UPPER(C439))),ISNUMBER(SEARCH("PAYCHECK",UPPER(C439))),ISNUMBER(SEARCH("DEPOSIT",UPPER(C439)))),"Income",IF(ISNUMBER(SEARCH("TRANSFER",UPPER(C439))),"Transfer","Expense")))</f>
        <v/>
      </c>
      <c r="E439" s="97" t="str">
        <f aca="false">IF(C439="","",IFERROR(INDEX(Mapping!$B$5:$B$200,SUMPRODUCT(MAX((ISNUMBER(SEARCH(Mapping!$A$5:$A$200,UPPER(C439&amp;""))))*ROW(Mapping!$A$5:$A$200)))-4),""))</f>
        <v/>
      </c>
      <c r="F439" s="98"/>
      <c r="G439" s="99" t="n">
        <f aca="false">IF(F439="",G438,G438+IF(D439="Income",F439,IF(D439="Expense",-F439,F439)))</f>
        <v>3408.09</v>
      </c>
      <c r="H439" s="100" t="str">
        <f aca="false">IF(C439="","",IFERROR(INDEX(Mapping!$A$5:$A$200,SUMPRODUCT(MAX((ISNUMBER(SEARCH(Mapping!$A$5:$A$200,UPPER(C439&amp;""))))*ROW(Mapping!$A$5:$A$200)))-4)&amp;" → "&amp;INDEX(Mapping!$B$5:$B$200,SUMPRODUCT(MAX((ISNUMBER(SEARCH(Mapping!$A$5:$A$200,UPPER(C439&amp;""))))*ROW(Mapping!$A$5:$A$200)))-4),"❓ no rule (add to Mapping)"))</f>
        <v/>
      </c>
      <c r="I439" s="79" t="str">
        <f aca="false">IF(B439="","",TEXT(B439,"mmm"))</f>
        <v/>
      </c>
      <c r="J439" s="80" t="str">
        <f aca="false">IF(B439="","",YEAR(B439))</f>
        <v/>
      </c>
    </row>
    <row r="440" customFormat="false" ht="18" hidden="false" customHeight="true" outlineLevel="0" collapsed="false">
      <c r="A440" s="81" t="n">
        <v>435</v>
      </c>
      <c r="B440" s="95"/>
      <c r="C440" s="96"/>
      <c r="D440" s="96" t="str">
        <f aca="false">IF(C440="","",IF(OR(ISNUMBER(SEARCH("PAYROLL",UPPER(C440))),ISNUMBER(SEARCH("PAYCHECK",UPPER(C440))),ISNUMBER(SEARCH("DEPOSIT",UPPER(C440)))),"Income",IF(ISNUMBER(SEARCH("TRANSFER",UPPER(C440))),"Transfer","Expense")))</f>
        <v/>
      </c>
      <c r="E440" s="97" t="str">
        <f aca="false">IF(C440="","",IFERROR(INDEX(Mapping!$B$5:$B$200,SUMPRODUCT(MAX((ISNUMBER(SEARCH(Mapping!$A$5:$A$200,UPPER(C440&amp;""))))*ROW(Mapping!$A$5:$A$200)))-4),""))</f>
        <v/>
      </c>
      <c r="F440" s="98"/>
      <c r="G440" s="99" t="n">
        <f aca="false">IF(F440="",G439,G439+IF(D440="Income",F440,IF(D440="Expense",-F440,F440)))</f>
        <v>3408.09</v>
      </c>
      <c r="H440" s="100" t="str">
        <f aca="false">IF(C440="","",IFERROR(INDEX(Mapping!$A$5:$A$200,SUMPRODUCT(MAX((ISNUMBER(SEARCH(Mapping!$A$5:$A$200,UPPER(C440&amp;""))))*ROW(Mapping!$A$5:$A$200)))-4)&amp;" → "&amp;INDEX(Mapping!$B$5:$B$200,SUMPRODUCT(MAX((ISNUMBER(SEARCH(Mapping!$A$5:$A$200,UPPER(C440&amp;""))))*ROW(Mapping!$A$5:$A$200)))-4),"❓ no rule (add to Mapping)"))</f>
        <v/>
      </c>
      <c r="I440" s="79" t="str">
        <f aca="false">IF(B440="","",TEXT(B440,"mmm"))</f>
        <v/>
      </c>
      <c r="J440" s="80" t="str">
        <f aca="false">IF(B440="","",YEAR(B440))</f>
        <v/>
      </c>
    </row>
    <row r="441" customFormat="false" ht="18" hidden="false" customHeight="true" outlineLevel="0" collapsed="false">
      <c r="A441" s="81" t="n">
        <v>436</v>
      </c>
      <c r="B441" s="95"/>
      <c r="C441" s="96"/>
      <c r="D441" s="96" t="str">
        <f aca="false">IF(C441="","",IF(OR(ISNUMBER(SEARCH("PAYROLL",UPPER(C441))),ISNUMBER(SEARCH("PAYCHECK",UPPER(C441))),ISNUMBER(SEARCH("DEPOSIT",UPPER(C441)))),"Income",IF(ISNUMBER(SEARCH("TRANSFER",UPPER(C441))),"Transfer","Expense")))</f>
        <v/>
      </c>
      <c r="E441" s="97" t="str">
        <f aca="false">IF(C441="","",IFERROR(INDEX(Mapping!$B$5:$B$200,SUMPRODUCT(MAX((ISNUMBER(SEARCH(Mapping!$A$5:$A$200,UPPER(C441&amp;""))))*ROW(Mapping!$A$5:$A$200)))-4),""))</f>
        <v/>
      </c>
      <c r="F441" s="98"/>
      <c r="G441" s="99" t="n">
        <f aca="false">IF(F441="",G440,G440+IF(D441="Income",F441,IF(D441="Expense",-F441,F441)))</f>
        <v>3408.09</v>
      </c>
      <c r="H441" s="100" t="str">
        <f aca="false">IF(C441="","",IFERROR(INDEX(Mapping!$A$5:$A$200,SUMPRODUCT(MAX((ISNUMBER(SEARCH(Mapping!$A$5:$A$200,UPPER(C441&amp;""))))*ROW(Mapping!$A$5:$A$200)))-4)&amp;" → "&amp;INDEX(Mapping!$B$5:$B$200,SUMPRODUCT(MAX((ISNUMBER(SEARCH(Mapping!$A$5:$A$200,UPPER(C441&amp;""))))*ROW(Mapping!$A$5:$A$200)))-4),"❓ no rule (add to Mapping)"))</f>
        <v/>
      </c>
      <c r="I441" s="79" t="str">
        <f aca="false">IF(B441="","",TEXT(B441,"mmm"))</f>
        <v/>
      </c>
      <c r="J441" s="80" t="str">
        <f aca="false">IF(B441="","",YEAR(B441))</f>
        <v/>
      </c>
    </row>
    <row r="442" customFormat="false" ht="18" hidden="false" customHeight="true" outlineLevel="0" collapsed="false">
      <c r="A442" s="81" t="n">
        <v>437</v>
      </c>
      <c r="B442" s="95"/>
      <c r="C442" s="96"/>
      <c r="D442" s="96" t="str">
        <f aca="false">IF(C442="","",IF(OR(ISNUMBER(SEARCH("PAYROLL",UPPER(C442))),ISNUMBER(SEARCH("PAYCHECK",UPPER(C442))),ISNUMBER(SEARCH("DEPOSIT",UPPER(C442)))),"Income",IF(ISNUMBER(SEARCH("TRANSFER",UPPER(C442))),"Transfer","Expense")))</f>
        <v/>
      </c>
      <c r="E442" s="97" t="str">
        <f aca="false">IF(C442="","",IFERROR(INDEX(Mapping!$B$5:$B$200,SUMPRODUCT(MAX((ISNUMBER(SEARCH(Mapping!$A$5:$A$200,UPPER(C442&amp;""))))*ROW(Mapping!$A$5:$A$200)))-4),""))</f>
        <v/>
      </c>
      <c r="F442" s="98"/>
      <c r="G442" s="99" t="n">
        <f aca="false">IF(F442="",G441,G441+IF(D442="Income",F442,IF(D442="Expense",-F442,F442)))</f>
        <v>3408.09</v>
      </c>
      <c r="H442" s="100" t="str">
        <f aca="false">IF(C442="","",IFERROR(INDEX(Mapping!$A$5:$A$200,SUMPRODUCT(MAX((ISNUMBER(SEARCH(Mapping!$A$5:$A$200,UPPER(C442&amp;""))))*ROW(Mapping!$A$5:$A$200)))-4)&amp;" → "&amp;INDEX(Mapping!$B$5:$B$200,SUMPRODUCT(MAX((ISNUMBER(SEARCH(Mapping!$A$5:$A$200,UPPER(C442&amp;""))))*ROW(Mapping!$A$5:$A$200)))-4),"❓ no rule (add to Mapping)"))</f>
        <v/>
      </c>
      <c r="I442" s="79" t="str">
        <f aca="false">IF(B442="","",TEXT(B442,"mmm"))</f>
        <v/>
      </c>
      <c r="J442" s="80" t="str">
        <f aca="false">IF(B442="","",YEAR(B442))</f>
        <v/>
      </c>
    </row>
    <row r="443" customFormat="false" ht="18" hidden="false" customHeight="true" outlineLevel="0" collapsed="false">
      <c r="A443" s="81" t="n">
        <v>438</v>
      </c>
      <c r="B443" s="95"/>
      <c r="C443" s="96"/>
      <c r="D443" s="96" t="str">
        <f aca="false">IF(C443="","",IF(OR(ISNUMBER(SEARCH("PAYROLL",UPPER(C443))),ISNUMBER(SEARCH("PAYCHECK",UPPER(C443))),ISNUMBER(SEARCH("DEPOSIT",UPPER(C443)))),"Income",IF(ISNUMBER(SEARCH("TRANSFER",UPPER(C443))),"Transfer","Expense")))</f>
        <v/>
      </c>
      <c r="E443" s="97" t="str">
        <f aca="false">IF(C443="","",IFERROR(INDEX(Mapping!$B$5:$B$200,SUMPRODUCT(MAX((ISNUMBER(SEARCH(Mapping!$A$5:$A$200,UPPER(C443&amp;""))))*ROW(Mapping!$A$5:$A$200)))-4),""))</f>
        <v/>
      </c>
      <c r="F443" s="98"/>
      <c r="G443" s="99" t="n">
        <f aca="false">IF(F443="",G442,G442+IF(D443="Income",F443,IF(D443="Expense",-F443,F443)))</f>
        <v>3408.09</v>
      </c>
      <c r="H443" s="100" t="str">
        <f aca="false">IF(C443="","",IFERROR(INDEX(Mapping!$A$5:$A$200,SUMPRODUCT(MAX((ISNUMBER(SEARCH(Mapping!$A$5:$A$200,UPPER(C443&amp;""))))*ROW(Mapping!$A$5:$A$200)))-4)&amp;" → "&amp;INDEX(Mapping!$B$5:$B$200,SUMPRODUCT(MAX((ISNUMBER(SEARCH(Mapping!$A$5:$A$200,UPPER(C443&amp;""))))*ROW(Mapping!$A$5:$A$200)))-4),"❓ no rule (add to Mapping)"))</f>
        <v/>
      </c>
      <c r="I443" s="79" t="str">
        <f aca="false">IF(B443="","",TEXT(B443,"mmm"))</f>
        <v/>
      </c>
      <c r="J443" s="80" t="str">
        <f aca="false">IF(B443="","",YEAR(B443))</f>
        <v/>
      </c>
    </row>
    <row r="444" customFormat="false" ht="18" hidden="false" customHeight="true" outlineLevel="0" collapsed="false">
      <c r="A444" s="81" t="n">
        <v>439</v>
      </c>
      <c r="B444" s="95"/>
      <c r="C444" s="96"/>
      <c r="D444" s="96" t="str">
        <f aca="false">IF(C444="","",IF(OR(ISNUMBER(SEARCH("PAYROLL",UPPER(C444))),ISNUMBER(SEARCH("PAYCHECK",UPPER(C444))),ISNUMBER(SEARCH("DEPOSIT",UPPER(C444)))),"Income",IF(ISNUMBER(SEARCH("TRANSFER",UPPER(C444))),"Transfer","Expense")))</f>
        <v/>
      </c>
      <c r="E444" s="97" t="str">
        <f aca="false">IF(C444="","",IFERROR(INDEX(Mapping!$B$5:$B$200,SUMPRODUCT(MAX((ISNUMBER(SEARCH(Mapping!$A$5:$A$200,UPPER(C444&amp;""))))*ROW(Mapping!$A$5:$A$200)))-4),""))</f>
        <v/>
      </c>
      <c r="F444" s="98"/>
      <c r="G444" s="99" t="n">
        <f aca="false">IF(F444="",G443,G443+IF(D444="Income",F444,IF(D444="Expense",-F444,F444)))</f>
        <v>3408.09</v>
      </c>
      <c r="H444" s="100" t="str">
        <f aca="false">IF(C444="","",IFERROR(INDEX(Mapping!$A$5:$A$200,SUMPRODUCT(MAX((ISNUMBER(SEARCH(Mapping!$A$5:$A$200,UPPER(C444&amp;""))))*ROW(Mapping!$A$5:$A$200)))-4)&amp;" → "&amp;INDEX(Mapping!$B$5:$B$200,SUMPRODUCT(MAX((ISNUMBER(SEARCH(Mapping!$A$5:$A$200,UPPER(C444&amp;""))))*ROW(Mapping!$A$5:$A$200)))-4),"❓ no rule (add to Mapping)"))</f>
        <v/>
      </c>
      <c r="I444" s="79" t="str">
        <f aca="false">IF(B444="","",TEXT(B444,"mmm"))</f>
        <v/>
      </c>
      <c r="J444" s="80" t="str">
        <f aca="false">IF(B444="","",YEAR(B444))</f>
        <v/>
      </c>
    </row>
    <row r="445" customFormat="false" ht="18" hidden="false" customHeight="true" outlineLevel="0" collapsed="false">
      <c r="A445" s="81" t="n">
        <v>440</v>
      </c>
      <c r="B445" s="95"/>
      <c r="C445" s="96"/>
      <c r="D445" s="96" t="str">
        <f aca="false">IF(C445="","",IF(OR(ISNUMBER(SEARCH("PAYROLL",UPPER(C445))),ISNUMBER(SEARCH("PAYCHECK",UPPER(C445))),ISNUMBER(SEARCH("DEPOSIT",UPPER(C445)))),"Income",IF(ISNUMBER(SEARCH("TRANSFER",UPPER(C445))),"Transfer","Expense")))</f>
        <v/>
      </c>
      <c r="E445" s="97" t="str">
        <f aca="false">IF(C445="","",IFERROR(INDEX(Mapping!$B$5:$B$200,SUMPRODUCT(MAX((ISNUMBER(SEARCH(Mapping!$A$5:$A$200,UPPER(C445&amp;""))))*ROW(Mapping!$A$5:$A$200)))-4),""))</f>
        <v/>
      </c>
      <c r="F445" s="98"/>
      <c r="G445" s="99" t="n">
        <f aca="false">IF(F445="",G444,G444+IF(D445="Income",F445,IF(D445="Expense",-F445,F445)))</f>
        <v>3408.09</v>
      </c>
      <c r="H445" s="100" t="str">
        <f aca="false">IF(C445="","",IFERROR(INDEX(Mapping!$A$5:$A$200,SUMPRODUCT(MAX((ISNUMBER(SEARCH(Mapping!$A$5:$A$200,UPPER(C445&amp;""))))*ROW(Mapping!$A$5:$A$200)))-4)&amp;" → "&amp;INDEX(Mapping!$B$5:$B$200,SUMPRODUCT(MAX((ISNUMBER(SEARCH(Mapping!$A$5:$A$200,UPPER(C445&amp;""))))*ROW(Mapping!$A$5:$A$200)))-4),"❓ no rule (add to Mapping)"))</f>
        <v/>
      </c>
      <c r="I445" s="79" t="str">
        <f aca="false">IF(B445="","",TEXT(B445,"mmm"))</f>
        <v/>
      </c>
      <c r="J445" s="80" t="str">
        <f aca="false">IF(B445="","",YEAR(B445))</f>
        <v/>
      </c>
    </row>
    <row r="446" customFormat="false" ht="18" hidden="false" customHeight="true" outlineLevel="0" collapsed="false">
      <c r="A446" s="81" t="n">
        <v>441</v>
      </c>
      <c r="B446" s="95"/>
      <c r="C446" s="96"/>
      <c r="D446" s="96" t="str">
        <f aca="false">IF(C446="","",IF(OR(ISNUMBER(SEARCH("PAYROLL",UPPER(C446))),ISNUMBER(SEARCH("PAYCHECK",UPPER(C446))),ISNUMBER(SEARCH("DEPOSIT",UPPER(C446)))),"Income",IF(ISNUMBER(SEARCH("TRANSFER",UPPER(C446))),"Transfer","Expense")))</f>
        <v/>
      </c>
      <c r="E446" s="97" t="str">
        <f aca="false">IF(C446="","",IFERROR(INDEX(Mapping!$B$5:$B$200,SUMPRODUCT(MAX((ISNUMBER(SEARCH(Mapping!$A$5:$A$200,UPPER(C446&amp;""))))*ROW(Mapping!$A$5:$A$200)))-4),""))</f>
        <v/>
      </c>
      <c r="F446" s="98"/>
      <c r="G446" s="99" t="n">
        <f aca="false">IF(F446="",G445,G445+IF(D446="Income",F446,IF(D446="Expense",-F446,F446)))</f>
        <v>3408.09</v>
      </c>
      <c r="H446" s="100" t="str">
        <f aca="false">IF(C446="","",IFERROR(INDEX(Mapping!$A$5:$A$200,SUMPRODUCT(MAX((ISNUMBER(SEARCH(Mapping!$A$5:$A$200,UPPER(C446&amp;""))))*ROW(Mapping!$A$5:$A$200)))-4)&amp;" → "&amp;INDEX(Mapping!$B$5:$B$200,SUMPRODUCT(MAX((ISNUMBER(SEARCH(Mapping!$A$5:$A$200,UPPER(C446&amp;""))))*ROW(Mapping!$A$5:$A$200)))-4),"❓ no rule (add to Mapping)"))</f>
        <v/>
      </c>
      <c r="I446" s="79" t="str">
        <f aca="false">IF(B446="","",TEXT(B446,"mmm"))</f>
        <v/>
      </c>
      <c r="J446" s="80" t="str">
        <f aca="false">IF(B446="","",YEAR(B446))</f>
        <v/>
      </c>
    </row>
    <row r="447" customFormat="false" ht="18" hidden="false" customHeight="true" outlineLevel="0" collapsed="false">
      <c r="A447" s="81" t="n">
        <v>442</v>
      </c>
      <c r="B447" s="95"/>
      <c r="C447" s="96"/>
      <c r="D447" s="96" t="str">
        <f aca="false">IF(C447="","",IF(OR(ISNUMBER(SEARCH("PAYROLL",UPPER(C447))),ISNUMBER(SEARCH("PAYCHECK",UPPER(C447))),ISNUMBER(SEARCH("DEPOSIT",UPPER(C447)))),"Income",IF(ISNUMBER(SEARCH("TRANSFER",UPPER(C447))),"Transfer","Expense")))</f>
        <v/>
      </c>
      <c r="E447" s="97" t="str">
        <f aca="false">IF(C447="","",IFERROR(INDEX(Mapping!$B$5:$B$200,SUMPRODUCT(MAX((ISNUMBER(SEARCH(Mapping!$A$5:$A$200,UPPER(C447&amp;""))))*ROW(Mapping!$A$5:$A$200)))-4),""))</f>
        <v/>
      </c>
      <c r="F447" s="98"/>
      <c r="G447" s="99" t="n">
        <f aca="false">IF(F447="",G446,G446+IF(D447="Income",F447,IF(D447="Expense",-F447,F447)))</f>
        <v>3408.09</v>
      </c>
      <c r="H447" s="100" t="str">
        <f aca="false">IF(C447="","",IFERROR(INDEX(Mapping!$A$5:$A$200,SUMPRODUCT(MAX((ISNUMBER(SEARCH(Mapping!$A$5:$A$200,UPPER(C447&amp;""))))*ROW(Mapping!$A$5:$A$200)))-4)&amp;" → "&amp;INDEX(Mapping!$B$5:$B$200,SUMPRODUCT(MAX((ISNUMBER(SEARCH(Mapping!$A$5:$A$200,UPPER(C447&amp;""))))*ROW(Mapping!$A$5:$A$200)))-4),"❓ no rule (add to Mapping)"))</f>
        <v/>
      </c>
      <c r="I447" s="79" t="str">
        <f aca="false">IF(B447="","",TEXT(B447,"mmm"))</f>
        <v/>
      </c>
      <c r="J447" s="80" t="str">
        <f aca="false">IF(B447="","",YEAR(B447))</f>
        <v/>
      </c>
    </row>
    <row r="448" customFormat="false" ht="18" hidden="false" customHeight="true" outlineLevel="0" collapsed="false">
      <c r="A448" s="81" t="n">
        <v>443</v>
      </c>
      <c r="B448" s="95"/>
      <c r="C448" s="96"/>
      <c r="D448" s="96" t="str">
        <f aca="false">IF(C448="","",IF(OR(ISNUMBER(SEARCH("PAYROLL",UPPER(C448))),ISNUMBER(SEARCH("PAYCHECK",UPPER(C448))),ISNUMBER(SEARCH("DEPOSIT",UPPER(C448)))),"Income",IF(ISNUMBER(SEARCH("TRANSFER",UPPER(C448))),"Transfer","Expense")))</f>
        <v/>
      </c>
      <c r="E448" s="97" t="str">
        <f aca="false">IF(C448="","",IFERROR(INDEX(Mapping!$B$5:$B$200,SUMPRODUCT(MAX((ISNUMBER(SEARCH(Mapping!$A$5:$A$200,UPPER(C448&amp;""))))*ROW(Mapping!$A$5:$A$200)))-4),""))</f>
        <v/>
      </c>
      <c r="F448" s="98"/>
      <c r="G448" s="99" t="n">
        <f aca="false">IF(F448="",G447,G447+IF(D448="Income",F448,IF(D448="Expense",-F448,F448)))</f>
        <v>3408.09</v>
      </c>
      <c r="H448" s="100" t="str">
        <f aca="false">IF(C448="","",IFERROR(INDEX(Mapping!$A$5:$A$200,SUMPRODUCT(MAX((ISNUMBER(SEARCH(Mapping!$A$5:$A$200,UPPER(C448&amp;""))))*ROW(Mapping!$A$5:$A$200)))-4)&amp;" → "&amp;INDEX(Mapping!$B$5:$B$200,SUMPRODUCT(MAX((ISNUMBER(SEARCH(Mapping!$A$5:$A$200,UPPER(C448&amp;""))))*ROW(Mapping!$A$5:$A$200)))-4),"❓ no rule (add to Mapping)"))</f>
        <v/>
      </c>
      <c r="I448" s="79" t="str">
        <f aca="false">IF(B448="","",TEXT(B448,"mmm"))</f>
        <v/>
      </c>
      <c r="J448" s="80" t="str">
        <f aca="false">IF(B448="","",YEAR(B448))</f>
        <v/>
      </c>
    </row>
    <row r="449" customFormat="false" ht="18" hidden="false" customHeight="true" outlineLevel="0" collapsed="false">
      <c r="A449" s="81" t="n">
        <v>444</v>
      </c>
      <c r="B449" s="95"/>
      <c r="C449" s="96"/>
      <c r="D449" s="96" t="str">
        <f aca="false">IF(C449="","",IF(OR(ISNUMBER(SEARCH("PAYROLL",UPPER(C449))),ISNUMBER(SEARCH("PAYCHECK",UPPER(C449))),ISNUMBER(SEARCH("DEPOSIT",UPPER(C449)))),"Income",IF(ISNUMBER(SEARCH("TRANSFER",UPPER(C449))),"Transfer","Expense")))</f>
        <v/>
      </c>
      <c r="E449" s="97" t="str">
        <f aca="false">IF(C449="","",IFERROR(INDEX(Mapping!$B$5:$B$200,SUMPRODUCT(MAX((ISNUMBER(SEARCH(Mapping!$A$5:$A$200,UPPER(C449&amp;""))))*ROW(Mapping!$A$5:$A$200)))-4),""))</f>
        <v/>
      </c>
      <c r="F449" s="98"/>
      <c r="G449" s="99" t="n">
        <f aca="false">IF(F449="",G448,G448+IF(D449="Income",F449,IF(D449="Expense",-F449,F449)))</f>
        <v>3408.09</v>
      </c>
      <c r="H449" s="100" t="str">
        <f aca="false">IF(C449="","",IFERROR(INDEX(Mapping!$A$5:$A$200,SUMPRODUCT(MAX((ISNUMBER(SEARCH(Mapping!$A$5:$A$200,UPPER(C449&amp;""))))*ROW(Mapping!$A$5:$A$200)))-4)&amp;" → "&amp;INDEX(Mapping!$B$5:$B$200,SUMPRODUCT(MAX((ISNUMBER(SEARCH(Mapping!$A$5:$A$200,UPPER(C449&amp;""))))*ROW(Mapping!$A$5:$A$200)))-4),"❓ no rule (add to Mapping)"))</f>
        <v/>
      </c>
      <c r="I449" s="79" t="str">
        <f aca="false">IF(B449="","",TEXT(B449,"mmm"))</f>
        <v/>
      </c>
      <c r="J449" s="80" t="str">
        <f aca="false">IF(B449="","",YEAR(B449))</f>
        <v/>
      </c>
    </row>
    <row r="450" customFormat="false" ht="18" hidden="false" customHeight="true" outlineLevel="0" collapsed="false">
      <c r="A450" s="81" t="n">
        <v>445</v>
      </c>
      <c r="B450" s="95"/>
      <c r="C450" s="96"/>
      <c r="D450" s="96" t="str">
        <f aca="false">IF(C450="","",IF(OR(ISNUMBER(SEARCH("PAYROLL",UPPER(C450))),ISNUMBER(SEARCH("PAYCHECK",UPPER(C450))),ISNUMBER(SEARCH("DEPOSIT",UPPER(C450)))),"Income",IF(ISNUMBER(SEARCH("TRANSFER",UPPER(C450))),"Transfer","Expense")))</f>
        <v/>
      </c>
      <c r="E450" s="97" t="str">
        <f aca="false">IF(C450="","",IFERROR(INDEX(Mapping!$B$5:$B$200,SUMPRODUCT(MAX((ISNUMBER(SEARCH(Mapping!$A$5:$A$200,UPPER(C450&amp;""))))*ROW(Mapping!$A$5:$A$200)))-4),""))</f>
        <v/>
      </c>
      <c r="F450" s="98"/>
      <c r="G450" s="99" t="n">
        <f aca="false">IF(F450="",G449,G449+IF(D450="Income",F450,IF(D450="Expense",-F450,F450)))</f>
        <v>3408.09</v>
      </c>
      <c r="H450" s="100" t="str">
        <f aca="false">IF(C450="","",IFERROR(INDEX(Mapping!$A$5:$A$200,SUMPRODUCT(MAX((ISNUMBER(SEARCH(Mapping!$A$5:$A$200,UPPER(C450&amp;""))))*ROW(Mapping!$A$5:$A$200)))-4)&amp;" → "&amp;INDEX(Mapping!$B$5:$B$200,SUMPRODUCT(MAX((ISNUMBER(SEARCH(Mapping!$A$5:$A$200,UPPER(C450&amp;""))))*ROW(Mapping!$A$5:$A$200)))-4),"❓ no rule (add to Mapping)"))</f>
        <v/>
      </c>
      <c r="I450" s="79" t="str">
        <f aca="false">IF(B450="","",TEXT(B450,"mmm"))</f>
        <v/>
      </c>
      <c r="J450" s="80" t="str">
        <f aca="false">IF(B450="","",YEAR(B450))</f>
        <v/>
      </c>
    </row>
    <row r="451" customFormat="false" ht="18" hidden="false" customHeight="true" outlineLevel="0" collapsed="false">
      <c r="A451" s="81" t="n">
        <v>446</v>
      </c>
      <c r="B451" s="95"/>
      <c r="C451" s="96"/>
      <c r="D451" s="96" t="str">
        <f aca="false">IF(C451="","",IF(OR(ISNUMBER(SEARCH("PAYROLL",UPPER(C451))),ISNUMBER(SEARCH("PAYCHECK",UPPER(C451))),ISNUMBER(SEARCH("DEPOSIT",UPPER(C451)))),"Income",IF(ISNUMBER(SEARCH("TRANSFER",UPPER(C451))),"Transfer","Expense")))</f>
        <v/>
      </c>
      <c r="E451" s="97" t="str">
        <f aca="false">IF(C451="","",IFERROR(INDEX(Mapping!$B$5:$B$200,SUMPRODUCT(MAX((ISNUMBER(SEARCH(Mapping!$A$5:$A$200,UPPER(C451&amp;""))))*ROW(Mapping!$A$5:$A$200)))-4),""))</f>
        <v/>
      </c>
      <c r="F451" s="98"/>
      <c r="G451" s="99" t="n">
        <f aca="false">IF(F451="",G450,G450+IF(D451="Income",F451,IF(D451="Expense",-F451,F451)))</f>
        <v>3408.09</v>
      </c>
      <c r="H451" s="100" t="str">
        <f aca="false">IF(C451="","",IFERROR(INDEX(Mapping!$A$5:$A$200,SUMPRODUCT(MAX((ISNUMBER(SEARCH(Mapping!$A$5:$A$200,UPPER(C451&amp;""))))*ROW(Mapping!$A$5:$A$200)))-4)&amp;" → "&amp;INDEX(Mapping!$B$5:$B$200,SUMPRODUCT(MAX((ISNUMBER(SEARCH(Mapping!$A$5:$A$200,UPPER(C451&amp;""))))*ROW(Mapping!$A$5:$A$200)))-4),"❓ no rule (add to Mapping)"))</f>
        <v/>
      </c>
      <c r="I451" s="79" t="str">
        <f aca="false">IF(B451="","",TEXT(B451,"mmm"))</f>
        <v/>
      </c>
      <c r="J451" s="80" t="str">
        <f aca="false">IF(B451="","",YEAR(B451))</f>
        <v/>
      </c>
    </row>
    <row r="452" customFormat="false" ht="18" hidden="false" customHeight="true" outlineLevel="0" collapsed="false">
      <c r="A452" s="81" t="n">
        <v>447</v>
      </c>
      <c r="B452" s="95"/>
      <c r="C452" s="96"/>
      <c r="D452" s="96" t="str">
        <f aca="false">IF(C452="","",IF(OR(ISNUMBER(SEARCH("PAYROLL",UPPER(C452))),ISNUMBER(SEARCH("PAYCHECK",UPPER(C452))),ISNUMBER(SEARCH("DEPOSIT",UPPER(C452)))),"Income",IF(ISNUMBER(SEARCH("TRANSFER",UPPER(C452))),"Transfer","Expense")))</f>
        <v/>
      </c>
      <c r="E452" s="97" t="str">
        <f aca="false">IF(C452="","",IFERROR(INDEX(Mapping!$B$5:$B$200,SUMPRODUCT(MAX((ISNUMBER(SEARCH(Mapping!$A$5:$A$200,UPPER(C452&amp;""))))*ROW(Mapping!$A$5:$A$200)))-4),""))</f>
        <v/>
      </c>
      <c r="F452" s="98"/>
      <c r="G452" s="99" t="n">
        <f aca="false">IF(F452="",G451,G451+IF(D452="Income",F452,IF(D452="Expense",-F452,F452)))</f>
        <v>3408.09</v>
      </c>
      <c r="H452" s="100" t="str">
        <f aca="false">IF(C452="","",IFERROR(INDEX(Mapping!$A$5:$A$200,SUMPRODUCT(MAX((ISNUMBER(SEARCH(Mapping!$A$5:$A$200,UPPER(C452&amp;""))))*ROW(Mapping!$A$5:$A$200)))-4)&amp;" → "&amp;INDEX(Mapping!$B$5:$B$200,SUMPRODUCT(MAX((ISNUMBER(SEARCH(Mapping!$A$5:$A$200,UPPER(C452&amp;""))))*ROW(Mapping!$A$5:$A$200)))-4),"❓ no rule (add to Mapping)"))</f>
        <v/>
      </c>
      <c r="I452" s="79" t="str">
        <f aca="false">IF(B452="","",TEXT(B452,"mmm"))</f>
        <v/>
      </c>
      <c r="J452" s="80" t="str">
        <f aca="false">IF(B452="","",YEAR(B452))</f>
        <v/>
      </c>
    </row>
    <row r="453" customFormat="false" ht="18" hidden="false" customHeight="true" outlineLevel="0" collapsed="false">
      <c r="A453" s="81" t="n">
        <v>448</v>
      </c>
      <c r="B453" s="95"/>
      <c r="C453" s="96"/>
      <c r="D453" s="96" t="str">
        <f aca="false">IF(C453="","",IF(OR(ISNUMBER(SEARCH("PAYROLL",UPPER(C453))),ISNUMBER(SEARCH("PAYCHECK",UPPER(C453))),ISNUMBER(SEARCH("DEPOSIT",UPPER(C453)))),"Income",IF(ISNUMBER(SEARCH("TRANSFER",UPPER(C453))),"Transfer","Expense")))</f>
        <v/>
      </c>
      <c r="E453" s="97" t="str">
        <f aca="false">IF(C453="","",IFERROR(INDEX(Mapping!$B$5:$B$200,SUMPRODUCT(MAX((ISNUMBER(SEARCH(Mapping!$A$5:$A$200,UPPER(C453&amp;""))))*ROW(Mapping!$A$5:$A$200)))-4),""))</f>
        <v/>
      </c>
      <c r="F453" s="98"/>
      <c r="G453" s="99" t="n">
        <f aca="false">IF(F453="",G452,G452+IF(D453="Income",F453,IF(D453="Expense",-F453,F453)))</f>
        <v>3408.09</v>
      </c>
      <c r="H453" s="100" t="str">
        <f aca="false">IF(C453="","",IFERROR(INDEX(Mapping!$A$5:$A$200,SUMPRODUCT(MAX((ISNUMBER(SEARCH(Mapping!$A$5:$A$200,UPPER(C453&amp;""))))*ROW(Mapping!$A$5:$A$200)))-4)&amp;" → "&amp;INDEX(Mapping!$B$5:$B$200,SUMPRODUCT(MAX((ISNUMBER(SEARCH(Mapping!$A$5:$A$200,UPPER(C453&amp;""))))*ROW(Mapping!$A$5:$A$200)))-4),"❓ no rule (add to Mapping)"))</f>
        <v/>
      </c>
      <c r="I453" s="79" t="str">
        <f aca="false">IF(B453="","",TEXT(B453,"mmm"))</f>
        <v/>
      </c>
      <c r="J453" s="80" t="str">
        <f aca="false">IF(B453="","",YEAR(B453))</f>
        <v/>
      </c>
    </row>
    <row r="454" customFormat="false" ht="18" hidden="false" customHeight="true" outlineLevel="0" collapsed="false">
      <c r="A454" s="81" t="n">
        <v>449</v>
      </c>
      <c r="B454" s="95"/>
      <c r="C454" s="96"/>
      <c r="D454" s="96" t="str">
        <f aca="false">IF(C454="","",IF(OR(ISNUMBER(SEARCH("PAYROLL",UPPER(C454))),ISNUMBER(SEARCH("PAYCHECK",UPPER(C454))),ISNUMBER(SEARCH("DEPOSIT",UPPER(C454)))),"Income",IF(ISNUMBER(SEARCH("TRANSFER",UPPER(C454))),"Transfer","Expense")))</f>
        <v/>
      </c>
      <c r="E454" s="97" t="str">
        <f aca="false">IF(C454="","",IFERROR(INDEX(Mapping!$B$5:$B$200,SUMPRODUCT(MAX((ISNUMBER(SEARCH(Mapping!$A$5:$A$200,UPPER(C454&amp;""))))*ROW(Mapping!$A$5:$A$200)))-4),""))</f>
        <v/>
      </c>
      <c r="F454" s="98"/>
      <c r="G454" s="99" t="n">
        <f aca="false">IF(F454="",G453,G453+IF(D454="Income",F454,IF(D454="Expense",-F454,F454)))</f>
        <v>3408.09</v>
      </c>
      <c r="H454" s="100" t="str">
        <f aca="false">IF(C454="","",IFERROR(INDEX(Mapping!$A$5:$A$200,SUMPRODUCT(MAX((ISNUMBER(SEARCH(Mapping!$A$5:$A$200,UPPER(C454&amp;""))))*ROW(Mapping!$A$5:$A$200)))-4)&amp;" → "&amp;INDEX(Mapping!$B$5:$B$200,SUMPRODUCT(MAX((ISNUMBER(SEARCH(Mapping!$A$5:$A$200,UPPER(C454&amp;""))))*ROW(Mapping!$A$5:$A$200)))-4),"❓ no rule (add to Mapping)"))</f>
        <v/>
      </c>
      <c r="I454" s="79" t="str">
        <f aca="false">IF(B454="","",TEXT(B454,"mmm"))</f>
        <v/>
      </c>
      <c r="J454" s="80" t="str">
        <f aca="false">IF(B454="","",YEAR(B454))</f>
        <v/>
      </c>
    </row>
    <row r="455" customFormat="false" ht="18" hidden="false" customHeight="true" outlineLevel="0" collapsed="false">
      <c r="A455" s="81" t="n">
        <v>450</v>
      </c>
      <c r="B455" s="95"/>
      <c r="C455" s="96"/>
      <c r="D455" s="96" t="str">
        <f aca="false">IF(C455="","",IF(OR(ISNUMBER(SEARCH("PAYROLL",UPPER(C455))),ISNUMBER(SEARCH("PAYCHECK",UPPER(C455))),ISNUMBER(SEARCH("DEPOSIT",UPPER(C455)))),"Income",IF(ISNUMBER(SEARCH("TRANSFER",UPPER(C455))),"Transfer","Expense")))</f>
        <v/>
      </c>
      <c r="E455" s="97" t="str">
        <f aca="false">IF(C455="","",IFERROR(INDEX(Mapping!$B$5:$B$200,SUMPRODUCT(MAX((ISNUMBER(SEARCH(Mapping!$A$5:$A$200,UPPER(C455&amp;""))))*ROW(Mapping!$A$5:$A$200)))-4),""))</f>
        <v/>
      </c>
      <c r="F455" s="98"/>
      <c r="G455" s="99" t="n">
        <f aca="false">IF(F455="",G454,G454+IF(D455="Income",F455,IF(D455="Expense",-F455,F455)))</f>
        <v>3408.09</v>
      </c>
      <c r="H455" s="100" t="str">
        <f aca="false">IF(C455="","",IFERROR(INDEX(Mapping!$A$5:$A$200,SUMPRODUCT(MAX((ISNUMBER(SEARCH(Mapping!$A$5:$A$200,UPPER(C455&amp;""))))*ROW(Mapping!$A$5:$A$200)))-4)&amp;" → "&amp;INDEX(Mapping!$B$5:$B$200,SUMPRODUCT(MAX((ISNUMBER(SEARCH(Mapping!$A$5:$A$200,UPPER(C455&amp;""))))*ROW(Mapping!$A$5:$A$200)))-4),"❓ no rule (add to Mapping)"))</f>
        <v/>
      </c>
      <c r="I455" s="79" t="str">
        <f aca="false">IF(B455="","",TEXT(B455,"mmm"))</f>
        <v/>
      </c>
      <c r="J455" s="80" t="str">
        <f aca="false">IF(B455="","",YEAR(B455))</f>
        <v/>
      </c>
    </row>
    <row r="456" customFormat="false" ht="18" hidden="false" customHeight="true" outlineLevel="0" collapsed="false">
      <c r="A456" s="81" t="n">
        <v>451</v>
      </c>
      <c r="B456" s="95"/>
      <c r="C456" s="96"/>
      <c r="D456" s="96" t="str">
        <f aca="false">IF(C456="","",IF(OR(ISNUMBER(SEARCH("PAYROLL",UPPER(C456))),ISNUMBER(SEARCH("PAYCHECK",UPPER(C456))),ISNUMBER(SEARCH("DEPOSIT",UPPER(C456)))),"Income",IF(ISNUMBER(SEARCH("TRANSFER",UPPER(C456))),"Transfer","Expense")))</f>
        <v/>
      </c>
      <c r="E456" s="97" t="str">
        <f aca="false">IF(C456="","",IFERROR(INDEX(Mapping!$B$5:$B$200,SUMPRODUCT(MAX((ISNUMBER(SEARCH(Mapping!$A$5:$A$200,UPPER(C456&amp;""))))*ROW(Mapping!$A$5:$A$200)))-4),""))</f>
        <v/>
      </c>
      <c r="F456" s="98"/>
      <c r="G456" s="99" t="n">
        <f aca="false">IF(F456="",G455,G455+IF(D456="Income",F456,IF(D456="Expense",-F456,F456)))</f>
        <v>3408.09</v>
      </c>
      <c r="H456" s="100" t="str">
        <f aca="false">IF(C456="","",IFERROR(INDEX(Mapping!$A$5:$A$200,SUMPRODUCT(MAX((ISNUMBER(SEARCH(Mapping!$A$5:$A$200,UPPER(C456&amp;""))))*ROW(Mapping!$A$5:$A$200)))-4)&amp;" → "&amp;INDEX(Mapping!$B$5:$B$200,SUMPRODUCT(MAX((ISNUMBER(SEARCH(Mapping!$A$5:$A$200,UPPER(C456&amp;""))))*ROW(Mapping!$A$5:$A$200)))-4),"❓ no rule (add to Mapping)"))</f>
        <v/>
      </c>
      <c r="I456" s="79" t="str">
        <f aca="false">IF(B456="","",TEXT(B456,"mmm"))</f>
        <v/>
      </c>
      <c r="J456" s="80" t="str">
        <f aca="false">IF(B456="","",YEAR(B456))</f>
        <v/>
      </c>
    </row>
    <row r="457" customFormat="false" ht="18" hidden="false" customHeight="true" outlineLevel="0" collapsed="false">
      <c r="A457" s="81" t="n">
        <v>452</v>
      </c>
      <c r="B457" s="95"/>
      <c r="C457" s="96"/>
      <c r="D457" s="96" t="str">
        <f aca="false">IF(C457="","",IF(OR(ISNUMBER(SEARCH("PAYROLL",UPPER(C457))),ISNUMBER(SEARCH("PAYCHECK",UPPER(C457))),ISNUMBER(SEARCH("DEPOSIT",UPPER(C457)))),"Income",IF(ISNUMBER(SEARCH("TRANSFER",UPPER(C457))),"Transfer","Expense")))</f>
        <v/>
      </c>
      <c r="E457" s="97" t="str">
        <f aca="false">IF(C457="","",IFERROR(INDEX(Mapping!$B$5:$B$200,SUMPRODUCT(MAX((ISNUMBER(SEARCH(Mapping!$A$5:$A$200,UPPER(C457&amp;""))))*ROW(Mapping!$A$5:$A$200)))-4),""))</f>
        <v/>
      </c>
      <c r="F457" s="98"/>
      <c r="G457" s="99" t="n">
        <f aca="false">IF(F457="",G456,G456+IF(D457="Income",F457,IF(D457="Expense",-F457,F457)))</f>
        <v>3408.09</v>
      </c>
      <c r="H457" s="100" t="str">
        <f aca="false">IF(C457="","",IFERROR(INDEX(Mapping!$A$5:$A$200,SUMPRODUCT(MAX((ISNUMBER(SEARCH(Mapping!$A$5:$A$200,UPPER(C457&amp;""))))*ROW(Mapping!$A$5:$A$200)))-4)&amp;" → "&amp;INDEX(Mapping!$B$5:$B$200,SUMPRODUCT(MAX((ISNUMBER(SEARCH(Mapping!$A$5:$A$200,UPPER(C457&amp;""))))*ROW(Mapping!$A$5:$A$200)))-4),"❓ no rule (add to Mapping)"))</f>
        <v/>
      </c>
      <c r="I457" s="79" t="str">
        <f aca="false">IF(B457="","",TEXT(B457,"mmm"))</f>
        <v/>
      </c>
      <c r="J457" s="80" t="str">
        <f aca="false">IF(B457="","",YEAR(B457))</f>
        <v/>
      </c>
    </row>
    <row r="458" customFormat="false" ht="18" hidden="false" customHeight="true" outlineLevel="0" collapsed="false">
      <c r="A458" s="81" t="n">
        <v>453</v>
      </c>
      <c r="B458" s="95"/>
      <c r="C458" s="96"/>
      <c r="D458" s="96" t="str">
        <f aca="false">IF(C458="","",IF(OR(ISNUMBER(SEARCH("PAYROLL",UPPER(C458))),ISNUMBER(SEARCH("PAYCHECK",UPPER(C458))),ISNUMBER(SEARCH("DEPOSIT",UPPER(C458)))),"Income",IF(ISNUMBER(SEARCH("TRANSFER",UPPER(C458))),"Transfer","Expense")))</f>
        <v/>
      </c>
      <c r="E458" s="97" t="str">
        <f aca="false">IF(C458="","",IFERROR(INDEX(Mapping!$B$5:$B$200,SUMPRODUCT(MAX((ISNUMBER(SEARCH(Mapping!$A$5:$A$200,UPPER(C458&amp;""))))*ROW(Mapping!$A$5:$A$200)))-4),""))</f>
        <v/>
      </c>
      <c r="F458" s="98"/>
      <c r="G458" s="99" t="n">
        <f aca="false">IF(F458="",G457,G457+IF(D458="Income",F458,IF(D458="Expense",-F458,F458)))</f>
        <v>3408.09</v>
      </c>
      <c r="H458" s="100" t="str">
        <f aca="false">IF(C458="","",IFERROR(INDEX(Mapping!$A$5:$A$200,SUMPRODUCT(MAX((ISNUMBER(SEARCH(Mapping!$A$5:$A$200,UPPER(C458&amp;""))))*ROW(Mapping!$A$5:$A$200)))-4)&amp;" → "&amp;INDEX(Mapping!$B$5:$B$200,SUMPRODUCT(MAX((ISNUMBER(SEARCH(Mapping!$A$5:$A$200,UPPER(C458&amp;""))))*ROW(Mapping!$A$5:$A$200)))-4),"❓ no rule (add to Mapping)"))</f>
        <v/>
      </c>
      <c r="I458" s="79" t="str">
        <f aca="false">IF(B458="","",TEXT(B458,"mmm"))</f>
        <v/>
      </c>
      <c r="J458" s="80" t="str">
        <f aca="false">IF(B458="","",YEAR(B458))</f>
        <v/>
      </c>
    </row>
    <row r="459" customFormat="false" ht="18" hidden="false" customHeight="true" outlineLevel="0" collapsed="false">
      <c r="A459" s="81" t="n">
        <v>454</v>
      </c>
      <c r="B459" s="95"/>
      <c r="C459" s="96"/>
      <c r="D459" s="96" t="str">
        <f aca="false">IF(C459="","",IF(OR(ISNUMBER(SEARCH("PAYROLL",UPPER(C459))),ISNUMBER(SEARCH("PAYCHECK",UPPER(C459))),ISNUMBER(SEARCH("DEPOSIT",UPPER(C459)))),"Income",IF(ISNUMBER(SEARCH("TRANSFER",UPPER(C459))),"Transfer","Expense")))</f>
        <v/>
      </c>
      <c r="E459" s="97" t="str">
        <f aca="false">IF(C459="","",IFERROR(INDEX(Mapping!$B$5:$B$200,SUMPRODUCT(MAX((ISNUMBER(SEARCH(Mapping!$A$5:$A$200,UPPER(C459&amp;""))))*ROW(Mapping!$A$5:$A$200)))-4),""))</f>
        <v/>
      </c>
      <c r="F459" s="98"/>
      <c r="G459" s="99" t="n">
        <f aca="false">IF(F459="",G458,G458+IF(D459="Income",F459,IF(D459="Expense",-F459,F459)))</f>
        <v>3408.09</v>
      </c>
      <c r="H459" s="100" t="str">
        <f aca="false">IF(C459="","",IFERROR(INDEX(Mapping!$A$5:$A$200,SUMPRODUCT(MAX((ISNUMBER(SEARCH(Mapping!$A$5:$A$200,UPPER(C459&amp;""))))*ROW(Mapping!$A$5:$A$200)))-4)&amp;" → "&amp;INDEX(Mapping!$B$5:$B$200,SUMPRODUCT(MAX((ISNUMBER(SEARCH(Mapping!$A$5:$A$200,UPPER(C459&amp;""))))*ROW(Mapping!$A$5:$A$200)))-4),"❓ no rule (add to Mapping)"))</f>
        <v/>
      </c>
      <c r="I459" s="79" t="str">
        <f aca="false">IF(B459="","",TEXT(B459,"mmm"))</f>
        <v/>
      </c>
      <c r="J459" s="80" t="str">
        <f aca="false">IF(B459="","",YEAR(B459))</f>
        <v/>
      </c>
    </row>
    <row r="460" customFormat="false" ht="18" hidden="false" customHeight="true" outlineLevel="0" collapsed="false">
      <c r="A460" s="81" t="n">
        <v>455</v>
      </c>
      <c r="B460" s="95"/>
      <c r="C460" s="96"/>
      <c r="D460" s="96" t="str">
        <f aca="false">IF(C460="","",IF(OR(ISNUMBER(SEARCH("PAYROLL",UPPER(C460))),ISNUMBER(SEARCH("PAYCHECK",UPPER(C460))),ISNUMBER(SEARCH("DEPOSIT",UPPER(C460)))),"Income",IF(ISNUMBER(SEARCH("TRANSFER",UPPER(C460))),"Transfer","Expense")))</f>
        <v/>
      </c>
      <c r="E460" s="97" t="str">
        <f aca="false">IF(C460="","",IFERROR(INDEX(Mapping!$B$5:$B$200,SUMPRODUCT(MAX((ISNUMBER(SEARCH(Mapping!$A$5:$A$200,UPPER(C460&amp;""))))*ROW(Mapping!$A$5:$A$200)))-4),""))</f>
        <v/>
      </c>
      <c r="F460" s="98"/>
      <c r="G460" s="99" t="n">
        <f aca="false">IF(F460="",G459,G459+IF(D460="Income",F460,IF(D460="Expense",-F460,F460)))</f>
        <v>3408.09</v>
      </c>
      <c r="H460" s="100" t="str">
        <f aca="false">IF(C460="","",IFERROR(INDEX(Mapping!$A$5:$A$200,SUMPRODUCT(MAX((ISNUMBER(SEARCH(Mapping!$A$5:$A$200,UPPER(C460&amp;""))))*ROW(Mapping!$A$5:$A$200)))-4)&amp;" → "&amp;INDEX(Mapping!$B$5:$B$200,SUMPRODUCT(MAX((ISNUMBER(SEARCH(Mapping!$A$5:$A$200,UPPER(C460&amp;""))))*ROW(Mapping!$A$5:$A$200)))-4),"❓ no rule (add to Mapping)"))</f>
        <v/>
      </c>
      <c r="I460" s="79" t="str">
        <f aca="false">IF(B460="","",TEXT(B460,"mmm"))</f>
        <v/>
      </c>
      <c r="J460" s="80" t="str">
        <f aca="false">IF(B460="","",YEAR(B460))</f>
        <v/>
      </c>
    </row>
    <row r="461" customFormat="false" ht="18" hidden="false" customHeight="true" outlineLevel="0" collapsed="false">
      <c r="A461" s="81" t="n">
        <v>456</v>
      </c>
      <c r="B461" s="95"/>
      <c r="C461" s="96"/>
      <c r="D461" s="96" t="str">
        <f aca="false">IF(C461="","",IF(OR(ISNUMBER(SEARCH("PAYROLL",UPPER(C461))),ISNUMBER(SEARCH("PAYCHECK",UPPER(C461))),ISNUMBER(SEARCH("DEPOSIT",UPPER(C461)))),"Income",IF(ISNUMBER(SEARCH("TRANSFER",UPPER(C461))),"Transfer","Expense")))</f>
        <v/>
      </c>
      <c r="E461" s="97" t="str">
        <f aca="false">IF(C461="","",IFERROR(INDEX(Mapping!$B$5:$B$200,SUMPRODUCT(MAX((ISNUMBER(SEARCH(Mapping!$A$5:$A$200,UPPER(C461&amp;""))))*ROW(Mapping!$A$5:$A$200)))-4),""))</f>
        <v/>
      </c>
      <c r="F461" s="98"/>
      <c r="G461" s="99" t="n">
        <f aca="false">IF(F461="",G460,G460+IF(D461="Income",F461,IF(D461="Expense",-F461,F461)))</f>
        <v>3408.09</v>
      </c>
      <c r="H461" s="100" t="str">
        <f aca="false">IF(C461="","",IFERROR(INDEX(Mapping!$A$5:$A$200,SUMPRODUCT(MAX((ISNUMBER(SEARCH(Mapping!$A$5:$A$200,UPPER(C461&amp;""))))*ROW(Mapping!$A$5:$A$200)))-4)&amp;" → "&amp;INDEX(Mapping!$B$5:$B$200,SUMPRODUCT(MAX((ISNUMBER(SEARCH(Mapping!$A$5:$A$200,UPPER(C461&amp;""))))*ROW(Mapping!$A$5:$A$200)))-4),"❓ no rule (add to Mapping)"))</f>
        <v/>
      </c>
      <c r="I461" s="79" t="str">
        <f aca="false">IF(B461="","",TEXT(B461,"mmm"))</f>
        <v/>
      </c>
      <c r="J461" s="80" t="str">
        <f aca="false">IF(B461="","",YEAR(B461))</f>
        <v/>
      </c>
    </row>
    <row r="462" customFormat="false" ht="18" hidden="false" customHeight="true" outlineLevel="0" collapsed="false">
      <c r="A462" s="81" t="n">
        <v>457</v>
      </c>
      <c r="B462" s="95"/>
      <c r="C462" s="96"/>
      <c r="D462" s="96" t="str">
        <f aca="false">IF(C462="","",IF(OR(ISNUMBER(SEARCH("PAYROLL",UPPER(C462))),ISNUMBER(SEARCH("PAYCHECK",UPPER(C462))),ISNUMBER(SEARCH("DEPOSIT",UPPER(C462)))),"Income",IF(ISNUMBER(SEARCH("TRANSFER",UPPER(C462))),"Transfer","Expense")))</f>
        <v/>
      </c>
      <c r="E462" s="97" t="str">
        <f aca="false">IF(C462="","",IFERROR(INDEX(Mapping!$B$5:$B$200,SUMPRODUCT(MAX((ISNUMBER(SEARCH(Mapping!$A$5:$A$200,UPPER(C462&amp;""))))*ROW(Mapping!$A$5:$A$200)))-4),""))</f>
        <v/>
      </c>
      <c r="F462" s="98"/>
      <c r="G462" s="99" t="n">
        <f aca="false">IF(F462="",G461,G461+IF(D462="Income",F462,IF(D462="Expense",-F462,F462)))</f>
        <v>3408.09</v>
      </c>
      <c r="H462" s="100" t="str">
        <f aca="false">IF(C462="","",IFERROR(INDEX(Mapping!$A$5:$A$200,SUMPRODUCT(MAX((ISNUMBER(SEARCH(Mapping!$A$5:$A$200,UPPER(C462&amp;""))))*ROW(Mapping!$A$5:$A$200)))-4)&amp;" → "&amp;INDEX(Mapping!$B$5:$B$200,SUMPRODUCT(MAX((ISNUMBER(SEARCH(Mapping!$A$5:$A$200,UPPER(C462&amp;""))))*ROW(Mapping!$A$5:$A$200)))-4),"❓ no rule (add to Mapping)"))</f>
        <v/>
      </c>
      <c r="I462" s="79" t="str">
        <f aca="false">IF(B462="","",TEXT(B462,"mmm"))</f>
        <v/>
      </c>
      <c r="J462" s="80" t="str">
        <f aca="false">IF(B462="","",YEAR(B462))</f>
        <v/>
      </c>
    </row>
    <row r="463" customFormat="false" ht="18" hidden="false" customHeight="true" outlineLevel="0" collapsed="false">
      <c r="A463" s="81" t="n">
        <v>458</v>
      </c>
      <c r="B463" s="95"/>
      <c r="C463" s="96"/>
      <c r="D463" s="96" t="str">
        <f aca="false">IF(C463="","",IF(OR(ISNUMBER(SEARCH("PAYROLL",UPPER(C463))),ISNUMBER(SEARCH("PAYCHECK",UPPER(C463))),ISNUMBER(SEARCH("DEPOSIT",UPPER(C463)))),"Income",IF(ISNUMBER(SEARCH("TRANSFER",UPPER(C463))),"Transfer","Expense")))</f>
        <v/>
      </c>
      <c r="E463" s="97" t="str">
        <f aca="false">IF(C463="","",IFERROR(INDEX(Mapping!$B$5:$B$200,SUMPRODUCT(MAX((ISNUMBER(SEARCH(Mapping!$A$5:$A$200,UPPER(C463&amp;""))))*ROW(Mapping!$A$5:$A$200)))-4),""))</f>
        <v/>
      </c>
      <c r="F463" s="98"/>
      <c r="G463" s="99" t="n">
        <f aca="false">IF(F463="",G462,G462+IF(D463="Income",F463,IF(D463="Expense",-F463,F463)))</f>
        <v>3408.09</v>
      </c>
      <c r="H463" s="100" t="str">
        <f aca="false">IF(C463="","",IFERROR(INDEX(Mapping!$A$5:$A$200,SUMPRODUCT(MAX((ISNUMBER(SEARCH(Mapping!$A$5:$A$200,UPPER(C463&amp;""))))*ROW(Mapping!$A$5:$A$200)))-4)&amp;" → "&amp;INDEX(Mapping!$B$5:$B$200,SUMPRODUCT(MAX((ISNUMBER(SEARCH(Mapping!$A$5:$A$200,UPPER(C463&amp;""))))*ROW(Mapping!$A$5:$A$200)))-4),"❓ no rule (add to Mapping)"))</f>
        <v/>
      </c>
      <c r="I463" s="79" t="str">
        <f aca="false">IF(B463="","",TEXT(B463,"mmm"))</f>
        <v/>
      </c>
      <c r="J463" s="80" t="str">
        <f aca="false">IF(B463="","",YEAR(B463))</f>
        <v/>
      </c>
    </row>
    <row r="464" customFormat="false" ht="18" hidden="false" customHeight="true" outlineLevel="0" collapsed="false">
      <c r="A464" s="81" t="n">
        <v>459</v>
      </c>
      <c r="B464" s="95"/>
      <c r="C464" s="96"/>
      <c r="D464" s="96" t="str">
        <f aca="false">IF(C464="","",IF(OR(ISNUMBER(SEARCH("PAYROLL",UPPER(C464))),ISNUMBER(SEARCH("PAYCHECK",UPPER(C464))),ISNUMBER(SEARCH("DEPOSIT",UPPER(C464)))),"Income",IF(ISNUMBER(SEARCH("TRANSFER",UPPER(C464))),"Transfer","Expense")))</f>
        <v/>
      </c>
      <c r="E464" s="97" t="str">
        <f aca="false">IF(C464="","",IFERROR(INDEX(Mapping!$B$5:$B$200,SUMPRODUCT(MAX((ISNUMBER(SEARCH(Mapping!$A$5:$A$200,UPPER(C464&amp;""))))*ROW(Mapping!$A$5:$A$200)))-4),""))</f>
        <v/>
      </c>
      <c r="F464" s="98"/>
      <c r="G464" s="99" t="n">
        <f aca="false">IF(F464="",G463,G463+IF(D464="Income",F464,IF(D464="Expense",-F464,F464)))</f>
        <v>3408.09</v>
      </c>
      <c r="H464" s="100" t="str">
        <f aca="false">IF(C464="","",IFERROR(INDEX(Mapping!$A$5:$A$200,SUMPRODUCT(MAX((ISNUMBER(SEARCH(Mapping!$A$5:$A$200,UPPER(C464&amp;""))))*ROW(Mapping!$A$5:$A$200)))-4)&amp;" → "&amp;INDEX(Mapping!$B$5:$B$200,SUMPRODUCT(MAX((ISNUMBER(SEARCH(Mapping!$A$5:$A$200,UPPER(C464&amp;""))))*ROW(Mapping!$A$5:$A$200)))-4),"❓ no rule (add to Mapping)"))</f>
        <v/>
      </c>
      <c r="I464" s="79" t="str">
        <f aca="false">IF(B464="","",TEXT(B464,"mmm"))</f>
        <v/>
      </c>
      <c r="J464" s="80" t="str">
        <f aca="false">IF(B464="","",YEAR(B464))</f>
        <v/>
      </c>
    </row>
    <row r="465" customFormat="false" ht="18" hidden="false" customHeight="true" outlineLevel="0" collapsed="false">
      <c r="A465" s="81" t="n">
        <v>460</v>
      </c>
      <c r="B465" s="95"/>
      <c r="C465" s="96"/>
      <c r="D465" s="96" t="str">
        <f aca="false">IF(C465="","",IF(OR(ISNUMBER(SEARCH("PAYROLL",UPPER(C465))),ISNUMBER(SEARCH("PAYCHECK",UPPER(C465))),ISNUMBER(SEARCH("DEPOSIT",UPPER(C465)))),"Income",IF(ISNUMBER(SEARCH("TRANSFER",UPPER(C465))),"Transfer","Expense")))</f>
        <v/>
      </c>
      <c r="E465" s="97" t="str">
        <f aca="false">IF(C465="","",IFERROR(INDEX(Mapping!$B$5:$B$200,SUMPRODUCT(MAX((ISNUMBER(SEARCH(Mapping!$A$5:$A$200,UPPER(C465&amp;""))))*ROW(Mapping!$A$5:$A$200)))-4),""))</f>
        <v/>
      </c>
      <c r="F465" s="98"/>
      <c r="G465" s="99" t="n">
        <f aca="false">IF(F465="",G464,G464+IF(D465="Income",F465,IF(D465="Expense",-F465,F465)))</f>
        <v>3408.09</v>
      </c>
      <c r="H465" s="100" t="str">
        <f aca="false">IF(C465="","",IFERROR(INDEX(Mapping!$A$5:$A$200,SUMPRODUCT(MAX((ISNUMBER(SEARCH(Mapping!$A$5:$A$200,UPPER(C465&amp;""))))*ROW(Mapping!$A$5:$A$200)))-4)&amp;" → "&amp;INDEX(Mapping!$B$5:$B$200,SUMPRODUCT(MAX((ISNUMBER(SEARCH(Mapping!$A$5:$A$200,UPPER(C465&amp;""))))*ROW(Mapping!$A$5:$A$200)))-4),"❓ no rule (add to Mapping)"))</f>
        <v/>
      </c>
      <c r="I465" s="79" t="str">
        <f aca="false">IF(B465="","",TEXT(B465,"mmm"))</f>
        <v/>
      </c>
      <c r="J465" s="80" t="str">
        <f aca="false">IF(B465="","",YEAR(B465))</f>
        <v/>
      </c>
    </row>
    <row r="466" customFormat="false" ht="18" hidden="false" customHeight="true" outlineLevel="0" collapsed="false">
      <c r="A466" s="81" t="n">
        <v>461</v>
      </c>
      <c r="B466" s="95"/>
      <c r="C466" s="96"/>
      <c r="D466" s="96" t="str">
        <f aca="false">IF(C466="","",IF(OR(ISNUMBER(SEARCH("PAYROLL",UPPER(C466))),ISNUMBER(SEARCH("PAYCHECK",UPPER(C466))),ISNUMBER(SEARCH("DEPOSIT",UPPER(C466)))),"Income",IF(ISNUMBER(SEARCH("TRANSFER",UPPER(C466))),"Transfer","Expense")))</f>
        <v/>
      </c>
      <c r="E466" s="97" t="str">
        <f aca="false">IF(C466="","",IFERROR(INDEX(Mapping!$B$5:$B$200,SUMPRODUCT(MAX((ISNUMBER(SEARCH(Mapping!$A$5:$A$200,UPPER(C466&amp;""))))*ROW(Mapping!$A$5:$A$200)))-4),""))</f>
        <v/>
      </c>
      <c r="F466" s="98"/>
      <c r="G466" s="99" t="n">
        <f aca="false">IF(F466="",G465,G465+IF(D466="Income",F466,IF(D466="Expense",-F466,F466)))</f>
        <v>3408.09</v>
      </c>
      <c r="H466" s="100" t="str">
        <f aca="false">IF(C466="","",IFERROR(INDEX(Mapping!$A$5:$A$200,SUMPRODUCT(MAX((ISNUMBER(SEARCH(Mapping!$A$5:$A$200,UPPER(C466&amp;""))))*ROW(Mapping!$A$5:$A$200)))-4)&amp;" → "&amp;INDEX(Mapping!$B$5:$B$200,SUMPRODUCT(MAX((ISNUMBER(SEARCH(Mapping!$A$5:$A$200,UPPER(C466&amp;""))))*ROW(Mapping!$A$5:$A$200)))-4),"❓ no rule (add to Mapping)"))</f>
        <v/>
      </c>
      <c r="I466" s="79" t="str">
        <f aca="false">IF(B466="","",TEXT(B466,"mmm"))</f>
        <v/>
      </c>
      <c r="J466" s="80" t="str">
        <f aca="false">IF(B466="","",YEAR(B466))</f>
        <v/>
      </c>
    </row>
    <row r="467" customFormat="false" ht="18" hidden="false" customHeight="true" outlineLevel="0" collapsed="false">
      <c r="A467" s="81" t="n">
        <v>462</v>
      </c>
      <c r="B467" s="95"/>
      <c r="C467" s="96"/>
      <c r="D467" s="96" t="str">
        <f aca="false">IF(C467="","",IF(OR(ISNUMBER(SEARCH("PAYROLL",UPPER(C467))),ISNUMBER(SEARCH("PAYCHECK",UPPER(C467))),ISNUMBER(SEARCH("DEPOSIT",UPPER(C467)))),"Income",IF(ISNUMBER(SEARCH("TRANSFER",UPPER(C467))),"Transfer","Expense")))</f>
        <v/>
      </c>
      <c r="E467" s="97" t="str">
        <f aca="false">IF(C467="","",IFERROR(INDEX(Mapping!$B$5:$B$200,SUMPRODUCT(MAX((ISNUMBER(SEARCH(Mapping!$A$5:$A$200,UPPER(C467&amp;""))))*ROW(Mapping!$A$5:$A$200)))-4),""))</f>
        <v/>
      </c>
      <c r="F467" s="98"/>
      <c r="G467" s="99" t="n">
        <f aca="false">IF(F467="",G466,G466+IF(D467="Income",F467,IF(D467="Expense",-F467,F467)))</f>
        <v>3408.09</v>
      </c>
      <c r="H467" s="100" t="str">
        <f aca="false">IF(C467="","",IFERROR(INDEX(Mapping!$A$5:$A$200,SUMPRODUCT(MAX((ISNUMBER(SEARCH(Mapping!$A$5:$A$200,UPPER(C467&amp;""))))*ROW(Mapping!$A$5:$A$200)))-4)&amp;" → "&amp;INDEX(Mapping!$B$5:$B$200,SUMPRODUCT(MAX((ISNUMBER(SEARCH(Mapping!$A$5:$A$200,UPPER(C467&amp;""))))*ROW(Mapping!$A$5:$A$200)))-4),"❓ no rule (add to Mapping)"))</f>
        <v/>
      </c>
      <c r="I467" s="79" t="str">
        <f aca="false">IF(B467="","",TEXT(B467,"mmm"))</f>
        <v/>
      </c>
      <c r="J467" s="80" t="str">
        <f aca="false">IF(B467="","",YEAR(B467))</f>
        <v/>
      </c>
    </row>
    <row r="468" customFormat="false" ht="18" hidden="false" customHeight="true" outlineLevel="0" collapsed="false">
      <c r="A468" s="81" t="n">
        <v>463</v>
      </c>
      <c r="B468" s="95"/>
      <c r="C468" s="96"/>
      <c r="D468" s="96" t="str">
        <f aca="false">IF(C468="","",IF(OR(ISNUMBER(SEARCH("PAYROLL",UPPER(C468))),ISNUMBER(SEARCH("PAYCHECK",UPPER(C468))),ISNUMBER(SEARCH("DEPOSIT",UPPER(C468)))),"Income",IF(ISNUMBER(SEARCH("TRANSFER",UPPER(C468))),"Transfer","Expense")))</f>
        <v/>
      </c>
      <c r="E468" s="97" t="str">
        <f aca="false">IF(C468="","",IFERROR(INDEX(Mapping!$B$5:$B$200,SUMPRODUCT(MAX((ISNUMBER(SEARCH(Mapping!$A$5:$A$200,UPPER(C468&amp;""))))*ROW(Mapping!$A$5:$A$200)))-4),""))</f>
        <v/>
      </c>
      <c r="F468" s="98"/>
      <c r="G468" s="99" t="n">
        <f aca="false">IF(F468="",G467,G467+IF(D468="Income",F468,IF(D468="Expense",-F468,F468)))</f>
        <v>3408.09</v>
      </c>
      <c r="H468" s="100" t="str">
        <f aca="false">IF(C468="","",IFERROR(INDEX(Mapping!$A$5:$A$200,SUMPRODUCT(MAX((ISNUMBER(SEARCH(Mapping!$A$5:$A$200,UPPER(C468&amp;""))))*ROW(Mapping!$A$5:$A$200)))-4)&amp;" → "&amp;INDEX(Mapping!$B$5:$B$200,SUMPRODUCT(MAX((ISNUMBER(SEARCH(Mapping!$A$5:$A$200,UPPER(C468&amp;""))))*ROW(Mapping!$A$5:$A$200)))-4),"❓ no rule (add to Mapping)"))</f>
        <v/>
      </c>
      <c r="I468" s="79" t="str">
        <f aca="false">IF(B468="","",TEXT(B468,"mmm"))</f>
        <v/>
      </c>
      <c r="J468" s="80" t="str">
        <f aca="false">IF(B468="","",YEAR(B468))</f>
        <v/>
      </c>
    </row>
    <row r="469" customFormat="false" ht="18" hidden="false" customHeight="true" outlineLevel="0" collapsed="false">
      <c r="A469" s="81" t="n">
        <v>464</v>
      </c>
      <c r="B469" s="95"/>
      <c r="C469" s="96"/>
      <c r="D469" s="96" t="str">
        <f aca="false">IF(C469="","",IF(OR(ISNUMBER(SEARCH("PAYROLL",UPPER(C469))),ISNUMBER(SEARCH("PAYCHECK",UPPER(C469))),ISNUMBER(SEARCH("DEPOSIT",UPPER(C469)))),"Income",IF(ISNUMBER(SEARCH("TRANSFER",UPPER(C469))),"Transfer","Expense")))</f>
        <v/>
      </c>
      <c r="E469" s="97" t="str">
        <f aca="false">IF(C469="","",IFERROR(INDEX(Mapping!$B$5:$B$200,SUMPRODUCT(MAX((ISNUMBER(SEARCH(Mapping!$A$5:$A$200,UPPER(C469&amp;""))))*ROW(Mapping!$A$5:$A$200)))-4),""))</f>
        <v/>
      </c>
      <c r="F469" s="98"/>
      <c r="G469" s="99" t="n">
        <f aca="false">IF(F469="",G468,G468+IF(D469="Income",F469,IF(D469="Expense",-F469,F469)))</f>
        <v>3408.09</v>
      </c>
      <c r="H469" s="100" t="str">
        <f aca="false">IF(C469="","",IFERROR(INDEX(Mapping!$A$5:$A$200,SUMPRODUCT(MAX((ISNUMBER(SEARCH(Mapping!$A$5:$A$200,UPPER(C469&amp;""))))*ROW(Mapping!$A$5:$A$200)))-4)&amp;" → "&amp;INDEX(Mapping!$B$5:$B$200,SUMPRODUCT(MAX((ISNUMBER(SEARCH(Mapping!$A$5:$A$200,UPPER(C469&amp;""))))*ROW(Mapping!$A$5:$A$200)))-4),"❓ no rule (add to Mapping)"))</f>
        <v/>
      </c>
      <c r="I469" s="79" t="str">
        <f aca="false">IF(B469="","",TEXT(B469,"mmm"))</f>
        <v/>
      </c>
      <c r="J469" s="80" t="str">
        <f aca="false">IF(B469="","",YEAR(B469))</f>
        <v/>
      </c>
    </row>
    <row r="470" customFormat="false" ht="18" hidden="false" customHeight="true" outlineLevel="0" collapsed="false">
      <c r="A470" s="81" t="n">
        <v>465</v>
      </c>
      <c r="B470" s="95"/>
      <c r="C470" s="96"/>
      <c r="D470" s="96" t="str">
        <f aca="false">IF(C470="","",IF(OR(ISNUMBER(SEARCH("PAYROLL",UPPER(C470))),ISNUMBER(SEARCH("PAYCHECK",UPPER(C470))),ISNUMBER(SEARCH("DEPOSIT",UPPER(C470)))),"Income",IF(ISNUMBER(SEARCH("TRANSFER",UPPER(C470))),"Transfer","Expense")))</f>
        <v/>
      </c>
      <c r="E470" s="97" t="str">
        <f aca="false">IF(C470="","",IFERROR(INDEX(Mapping!$B$5:$B$200,SUMPRODUCT(MAX((ISNUMBER(SEARCH(Mapping!$A$5:$A$200,UPPER(C470&amp;""))))*ROW(Mapping!$A$5:$A$200)))-4),""))</f>
        <v/>
      </c>
      <c r="F470" s="98"/>
      <c r="G470" s="99" t="n">
        <f aca="false">IF(F470="",G469,G469+IF(D470="Income",F470,IF(D470="Expense",-F470,F470)))</f>
        <v>3408.09</v>
      </c>
      <c r="H470" s="100" t="str">
        <f aca="false">IF(C470="","",IFERROR(INDEX(Mapping!$A$5:$A$200,SUMPRODUCT(MAX((ISNUMBER(SEARCH(Mapping!$A$5:$A$200,UPPER(C470&amp;""))))*ROW(Mapping!$A$5:$A$200)))-4)&amp;" → "&amp;INDEX(Mapping!$B$5:$B$200,SUMPRODUCT(MAX((ISNUMBER(SEARCH(Mapping!$A$5:$A$200,UPPER(C470&amp;""))))*ROW(Mapping!$A$5:$A$200)))-4),"❓ no rule (add to Mapping)"))</f>
        <v/>
      </c>
      <c r="I470" s="79" t="str">
        <f aca="false">IF(B470="","",TEXT(B470,"mmm"))</f>
        <v/>
      </c>
      <c r="J470" s="80" t="str">
        <f aca="false">IF(B470="","",YEAR(B470))</f>
        <v/>
      </c>
    </row>
    <row r="471" customFormat="false" ht="18" hidden="false" customHeight="true" outlineLevel="0" collapsed="false">
      <c r="A471" s="81" t="n">
        <v>466</v>
      </c>
      <c r="B471" s="95"/>
      <c r="C471" s="96"/>
      <c r="D471" s="96" t="str">
        <f aca="false">IF(C471="","",IF(OR(ISNUMBER(SEARCH("PAYROLL",UPPER(C471))),ISNUMBER(SEARCH("PAYCHECK",UPPER(C471))),ISNUMBER(SEARCH("DEPOSIT",UPPER(C471)))),"Income",IF(ISNUMBER(SEARCH("TRANSFER",UPPER(C471))),"Transfer","Expense")))</f>
        <v/>
      </c>
      <c r="E471" s="97" t="str">
        <f aca="false">IF(C471="","",IFERROR(INDEX(Mapping!$B$5:$B$200,SUMPRODUCT(MAX((ISNUMBER(SEARCH(Mapping!$A$5:$A$200,UPPER(C471&amp;""))))*ROW(Mapping!$A$5:$A$200)))-4),""))</f>
        <v/>
      </c>
      <c r="F471" s="98"/>
      <c r="G471" s="99" t="n">
        <f aca="false">IF(F471="",G470,G470+IF(D471="Income",F471,IF(D471="Expense",-F471,F471)))</f>
        <v>3408.09</v>
      </c>
      <c r="H471" s="100" t="str">
        <f aca="false">IF(C471="","",IFERROR(INDEX(Mapping!$A$5:$A$200,SUMPRODUCT(MAX((ISNUMBER(SEARCH(Mapping!$A$5:$A$200,UPPER(C471&amp;""))))*ROW(Mapping!$A$5:$A$200)))-4)&amp;" → "&amp;INDEX(Mapping!$B$5:$B$200,SUMPRODUCT(MAX((ISNUMBER(SEARCH(Mapping!$A$5:$A$200,UPPER(C471&amp;""))))*ROW(Mapping!$A$5:$A$200)))-4),"❓ no rule (add to Mapping)"))</f>
        <v/>
      </c>
      <c r="I471" s="79" t="str">
        <f aca="false">IF(B471="","",TEXT(B471,"mmm"))</f>
        <v/>
      </c>
      <c r="J471" s="80" t="str">
        <f aca="false">IF(B471="","",YEAR(B471))</f>
        <v/>
      </c>
    </row>
    <row r="472" customFormat="false" ht="18" hidden="false" customHeight="true" outlineLevel="0" collapsed="false">
      <c r="A472" s="81" t="n">
        <v>467</v>
      </c>
      <c r="B472" s="95"/>
      <c r="C472" s="96"/>
      <c r="D472" s="96" t="str">
        <f aca="false">IF(C472="","",IF(OR(ISNUMBER(SEARCH("PAYROLL",UPPER(C472))),ISNUMBER(SEARCH("PAYCHECK",UPPER(C472))),ISNUMBER(SEARCH("DEPOSIT",UPPER(C472)))),"Income",IF(ISNUMBER(SEARCH("TRANSFER",UPPER(C472))),"Transfer","Expense")))</f>
        <v/>
      </c>
      <c r="E472" s="97" t="str">
        <f aca="false">IF(C472="","",IFERROR(INDEX(Mapping!$B$5:$B$200,SUMPRODUCT(MAX((ISNUMBER(SEARCH(Mapping!$A$5:$A$200,UPPER(C472&amp;""))))*ROW(Mapping!$A$5:$A$200)))-4),""))</f>
        <v/>
      </c>
      <c r="F472" s="98"/>
      <c r="G472" s="99" t="n">
        <f aca="false">IF(F472="",G471,G471+IF(D472="Income",F472,IF(D472="Expense",-F472,F472)))</f>
        <v>3408.09</v>
      </c>
      <c r="H472" s="100" t="str">
        <f aca="false">IF(C472="","",IFERROR(INDEX(Mapping!$A$5:$A$200,SUMPRODUCT(MAX((ISNUMBER(SEARCH(Mapping!$A$5:$A$200,UPPER(C472&amp;""))))*ROW(Mapping!$A$5:$A$200)))-4)&amp;" → "&amp;INDEX(Mapping!$B$5:$B$200,SUMPRODUCT(MAX((ISNUMBER(SEARCH(Mapping!$A$5:$A$200,UPPER(C472&amp;""))))*ROW(Mapping!$A$5:$A$200)))-4),"❓ no rule (add to Mapping)"))</f>
        <v/>
      </c>
      <c r="I472" s="79" t="str">
        <f aca="false">IF(B472="","",TEXT(B472,"mmm"))</f>
        <v/>
      </c>
      <c r="J472" s="80" t="str">
        <f aca="false">IF(B472="","",YEAR(B472))</f>
        <v/>
      </c>
    </row>
    <row r="473" customFormat="false" ht="18" hidden="false" customHeight="true" outlineLevel="0" collapsed="false">
      <c r="A473" s="81" t="n">
        <v>468</v>
      </c>
      <c r="B473" s="95"/>
      <c r="C473" s="96"/>
      <c r="D473" s="96" t="str">
        <f aca="false">IF(C473="","",IF(OR(ISNUMBER(SEARCH("PAYROLL",UPPER(C473))),ISNUMBER(SEARCH("PAYCHECK",UPPER(C473))),ISNUMBER(SEARCH("DEPOSIT",UPPER(C473)))),"Income",IF(ISNUMBER(SEARCH("TRANSFER",UPPER(C473))),"Transfer","Expense")))</f>
        <v/>
      </c>
      <c r="E473" s="97" t="str">
        <f aca="false">IF(C473="","",IFERROR(INDEX(Mapping!$B$5:$B$200,SUMPRODUCT(MAX((ISNUMBER(SEARCH(Mapping!$A$5:$A$200,UPPER(C473&amp;""))))*ROW(Mapping!$A$5:$A$200)))-4),""))</f>
        <v/>
      </c>
      <c r="F473" s="98"/>
      <c r="G473" s="99" t="n">
        <f aca="false">IF(F473="",G472,G472+IF(D473="Income",F473,IF(D473="Expense",-F473,F473)))</f>
        <v>3408.09</v>
      </c>
      <c r="H473" s="100" t="str">
        <f aca="false">IF(C473="","",IFERROR(INDEX(Mapping!$A$5:$A$200,SUMPRODUCT(MAX((ISNUMBER(SEARCH(Mapping!$A$5:$A$200,UPPER(C473&amp;""))))*ROW(Mapping!$A$5:$A$200)))-4)&amp;" → "&amp;INDEX(Mapping!$B$5:$B$200,SUMPRODUCT(MAX((ISNUMBER(SEARCH(Mapping!$A$5:$A$200,UPPER(C473&amp;""))))*ROW(Mapping!$A$5:$A$200)))-4),"❓ no rule (add to Mapping)"))</f>
        <v/>
      </c>
      <c r="I473" s="79" t="str">
        <f aca="false">IF(B473="","",TEXT(B473,"mmm"))</f>
        <v/>
      </c>
      <c r="J473" s="80" t="str">
        <f aca="false">IF(B473="","",YEAR(B473))</f>
        <v/>
      </c>
    </row>
    <row r="474" customFormat="false" ht="18" hidden="false" customHeight="true" outlineLevel="0" collapsed="false">
      <c r="A474" s="81" t="n">
        <v>469</v>
      </c>
      <c r="B474" s="95"/>
      <c r="C474" s="96"/>
      <c r="D474" s="96" t="str">
        <f aca="false">IF(C474="","",IF(OR(ISNUMBER(SEARCH("PAYROLL",UPPER(C474))),ISNUMBER(SEARCH("PAYCHECK",UPPER(C474))),ISNUMBER(SEARCH("DEPOSIT",UPPER(C474)))),"Income",IF(ISNUMBER(SEARCH("TRANSFER",UPPER(C474))),"Transfer","Expense")))</f>
        <v/>
      </c>
      <c r="E474" s="97" t="str">
        <f aca="false">IF(C474="","",IFERROR(INDEX(Mapping!$B$5:$B$200,SUMPRODUCT(MAX((ISNUMBER(SEARCH(Mapping!$A$5:$A$200,UPPER(C474&amp;""))))*ROW(Mapping!$A$5:$A$200)))-4),""))</f>
        <v/>
      </c>
      <c r="F474" s="98"/>
      <c r="G474" s="99" t="n">
        <f aca="false">IF(F474="",G473,G473+IF(D474="Income",F474,IF(D474="Expense",-F474,F474)))</f>
        <v>3408.09</v>
      </c>
      <c r="H474" s="100" t="str">
        <f aca="false">IF(C474="","",IFERROR(INDEX(Mapping!$A$5:$A$200,SUMPRODUCT(MAX((ISNUMBER(SEARCH(Mapping!$A$5:$A$200,UPPER(C474&amp;""))))*ROW(Mapping!$A$5:$A$200)))-4)&amp;" → "&amp;INDEX(Mapping!$B$5:$B$200,SUMPRODUCT(MAX((ISNUMBER(SEARCH(Mapping!$A$5:$A$200,UPPER(C474&amp;""))))*ROW(Mapping!$A$5:$A$200)))-4),"❓ no rule (add to Mapping)"))</f>
        <v/>
      </c>
      <c r="I474" s="79" t="str">
        <f aca="false">IF(B474="","",TEXT(B474,"mmm"))</f>
        <v/>
      </c>
      <c r="J474" s="80" t="str">
        <f aca="false">IF(B474="","",YEAR(B474))</f>
        <v/>
      </c>
    </row>
    <row r="475" customFormat="false" ht="18" hidden="false" customHeight="true" outlineLevel="0" collapsed="false">
      <c r="A475" s="81" t="n">
        <v>470</v>
      </c>
      <c r="B475" s="95"/>
      <c r="C475" s="96"/>
      <c r="D475" s="96" t="str">
        <f aca="false">IF(C475="","",IF(OR(ISNUMBER(SEARCH("PAYROLL",UPPER(C475))),ISNUMBER(SEARCH("PAYCHECK",UPPER(C475))),ISNUMBER(SEARCH("DEPOSIT",UPPER(C475)))),"Income",IF(ISNUMBER(SEARCH("TRANSFER",UPPER(C475))),"Transfer","Expense")))</f>
        <v/>
      </c>
      <c r="E475" s="97" t="str">
        <f aca="false">IF(C475="","",IFERROR(INDEX(Mapping!$B$5:$B$200,SUMPRODUCT(MAX((ISNUMBER(SEARCH(Mapping!$A$5:$A$200,UPPER(C475&amp;""))))*ROW(Mapping!$A$5:$A$200)))-4),""))</f>
        <v/>
      </c>
      <c r="F475" s="98"/>
      <c r="G475" s="99" t="n">
        <f aca="false">IF(F475="",G474,G474+IF(D475="Income",F475,IF(D475="Expense",-F475,F475)))</f>
        <v>3408.09</v>
      </c>
      <c r="H475" s="100" t="str">
        <f aca="false">IF(C475="","",IFERROR(INDEX(Mapping!$A$5:$A$200,SUMPRODUCT(MAX((ISNUMBER(SEARCH(Mapping!$A$5:$A$200,UPPER(C475&amp;""))))*ROW(Mapping!$A$5:$A$200)))-4)&amp;" → "&amp;INDEX(Mapping!$B$5:$B$200,SUMPRODUCT(MAX((ISNUMBER(SEARCH(Mapping!$A$5:$A$200,UPPER(C475&amp;""))))*ROW(Mapping!$A$5:$A$200)))-4),"❓ no rule (add to Mapping)"))</f>
        <v/>
      </c>
      <c r="I475" s="79" t="str">
        <f aca="false">IF(B475="","",TEXT(B475,"mmm"))</f>
        <v/>
      </c>
      <c r="J475" s="80" t="str">
        <f aca="false">IF(B475="","",YEAR(B475))</f>
        <v/>
      </c>
    </row>
    <row r="476" customFormat="false" ht="18" hidden="false" customHeight="true" outlineLevel="0" collapsed="false">
      <c r="A476" s="81" t="n">
        <v>471</v>
      </c>
      <c r="B476" s="95"/>
      <c r="C476" s="96"/>
      <c r="D476" s="96" t="str">
        <f aca="false">IF(C476="","",IF(OR(ISNUMBER(SEARCH("PAYROLL",UPPER(C476))),ISNUMBER(SEARCH("PAYCHECK",UPPER(C476))),ISNUMBER(SEARCH("DEPOSIT",UPPER(C476)))),"Income",IF(ISNUMBER(SEARCH("TRANSFER",UPPER(C476))),"Transfer","Expense")))</f>
        <v/>
      </c>
      <c r="E476" s="97" t="str">
        <f aca="false">IF(C476="","",IFERROR(INDEX(Mapping!$B$5:$B$200,SUMPRODUCT(MAX((ISNUMBER(SEARCH(Mapping!$A$5:$A$200,UPPER(C476&amp;""))))*ROW(Mapping!$A$5:$A$200)))-4),""))</f>
        <v/>
      </c>
      <c r="F476" s="98"/>
      <c r="G476" s="99" t="n">
        <f aca="false">IF(F476="",G475,G475+IF(D476="Income",F476,IF(D476="Expense",-F476,F476)))</f>
        <v>3408.09</v>
      </c>
      <c r="H476" s="100" t="str">
        <f aca="false">IF(C476="","",IFERROR(INDEX(Mapping!$A$5:$A$200,SUMPRODUCT(MAX((ISNUMBER(SEARCH(Mapping!$A$5:$A$200,UPPER(C476&amp;""))))*ROW(Mapping!$A$5:$A$200)))-4)&amp;" → "&amp;INDEX(Mapping!$B$5:$B$200,SUMPRODUCT(MAX((ISNUMBER(SEARCH(Mapping!$A$5:$A$200,UPPER(C476&amp;""))))*ROW(Mapping!$A$5:$A$200)))-4),"❓ no rule (add to Mapping)"))</f>
        <v/>
      </c>
      <c r="I476" s="79" t="str">
        <f aca="false">IF(B476="","",TEXT(B476,"mmm"))</f>
        <v/>
      </c>
      <c r="J476" s="80" t="str">
        <f aca="false">IF(B476="","",YEAR(B476))</f>
        <v/>
      </c>
    </row>
    <row r="477" customFormat="false" ht="18" hidden="false" customHeight="true" outlineLevel="0" collapsed="false">
      <c r="A477" s="81" t="n">
        <v>472</v>
      </c>
      <c r="B477" s="95"/>
      <c r="C477" s="96"/>
      <c r="D477" s="96" t="str">
        <f aca="false">IF(C477="","",IF(OR(ISNUMBER(SEARCH("PAYROLL",UPPER(C477))),ISNUMBER(SEARCH("PAYCHECK",UPPER(C477))),ISNUMBER(SEARCH("DEPOSIT",UPPER(C477)))),"Income",IF(ISNUMBER(SEARCH("TRANSFER",UPPER(C477))),"Transfer","Expense")))</f>
        <v/>
      </c>
      <c r="E477" s="97" t="str">
        <f aca="false">IF(C477="","",IFERROR(INDEX(Mapping!$B$5:$B$200,SUMPRODUCT(MAX((ISNUMBER(SEARCH(Mapping!$A$5:$A$200,UPPER(C477&amp;""))))*ROW(Mapping!$A$5:$A$200)))-4),""))</f>
        <v/>
      </c>
      <c r="F477" s="98"/>
      <c r="G477" s="99" t="n">
        <f aca="false">IF(F477="",G476,G476+IF(D477="Income",F477,IF(D477="Expense",-F477,F477)))</f>
        <v>3408.09</v>
      </c>
      <c r="H477" s="100" t="str">
        <f aca="false">IF(C477="","",IFERROR(INDEX(Mapping!$A$5:$A$200,SUMPRODUCT(MAX((ISNUMBER(SEARCH(Mapping!$A$5:$A$200,UPPER(C477&amp;""))))*ROW(Mapping!$A$5:$A$200)))-4)&amp;" → "&amp;INDEX(Mapping!$B$5:$B$200,SUMPRODUCT(MAX((ISNUMBER(SEARCH(Mapping!$A$5:$A$200,UPPER(C477&amp;""))))*ROW(Mapping!$A$5:$A$200)))-4),"❓ no rule (add to Mapping)"))</f>
        <v/>
      </c>
      <c r="I477" s="79" t="str">
        <f aca="false">IF(B477="","",TEXT(B477,"mmm"))</f>
        <v/>
      </c>
      <c r="J477" s="80" t="str">
        <f aca="false">IF(B477="","",YEAR(B477))</f>
        <v/>
      </c>
    </row>
    <row r="478" customFormat="false" ht="18" hidden="false" customHeight="true" outlineLevel="0" collapsed="false">
      <c r="A478" s="81" t="n">
        <v>473</v>
      </c>
      <c r="B478" s="95"/>
      <c r="C478" s="96"/>
      <c r="D478" s="96" t="str">
        <f aca="false">IF(C478="","",IF(OR(ISNUMBER(SEARCH("PAYROLL",UPPER(C478))),ISNUMBER(SEARCH("PAYCHECK",UPPER(C478))),ISNUMBER(SEARCH("DEPOSIT",UPPER(C478)))),"Income",IF(ISNUMBER(SEARCH("TRANSFER",UPPER(C478))),"Transfer","Expense")))</f>
        <v/>
      </c>
      <c r="E478" s="97" t="str">
        <f aca="false">IF(C478="","",IFERROR(INDEX(Mapping!$B$5:$B$200,SUMPRODUCT(MAX((ISNUMBER(SEARCH(Mapping!$A$5:$A$200,UPPER(C478&amp;""))))*ROW(Mapping!$A$5:$A$200)))-4),""))</f>
        <v/>
      </c>
      <c r="F478" s="98"/>
      <c r="G478" s="99" t="n">
        <f aca="false">IF(F478="",G477,G477+IF(D478="Income",F478,IF(D478="Expense",-F478,F478)))</f>
        <v>3408.09</v>
      </c>
      <c r="H478" s="100" t="str">
        <f aca="false">IF(C478="","",IFERROR(INDEX(Mapping!$A$5:$A$200,SUMPRODUCT(MAX((ISNUMBER(SEARCH(Mapping!$A$5:$A$200,UPPER(C478&amp;""))))*ROW(Mapping!$A$5:$A$200)))-4)&amp;" → "&amp;INDEX(Mapping!$B$5:$B$200,SUMPRODUCT(MAX((ISNUMBER(SEARCH(Mapping!$A$5:$A$200,UPPER(C478&amp;""))))*ROW(Mapping!$A$5:$A$200)))-4),"❓ no rule (add to Mapping)"))</f>
        <v/>
      </c>
      <c r="I478" s="79" t="str">
        <f aca="false">IF(B478="","",TEXT(B478,"mmm"))</f>
        <v/>
      </c>
      <c r="J478" s="80" t="str">
        <f aca="false">IF(B478="","",YEAR(B478))</f>
        <v/>
      </c>
    </row>
    <row r="479" customFormat="false" ht="18" hidden="false" customHeight="true" outlineLevel="0" collapsed="false">
      <c r="A479" s="81" t="n">
        <v>474</v>
      </c>
      <c r="B479" s="95"/>
      <c r="C479" s="96"/>
      <c r="D479" s="96" t="str">
        <f aca="false">IF(C479="","",IF(OR(ISNUMBER(SEARCH("PAYROLL",UPPER(C479))),ISNUMBER(SEARCH("PAYCHECK",UPPER(C479))),ISNUMBER(SEARCH("DEPOSIT",UPPER(C479)))),"Income",IF(ISNUMBER(SEARCH("TRANSFER",UPPER(C479))),"Transfer","Expense")))</f>
        <v/>
      </c>
      <c r="E479" s="97" t="str">
        <f aca="false">IF(C479="","",IFERROR(INDEX(Mapping!$B$5:$B$200,SUMPRODUCT(MAX((ISNUMBER(SEARCH(Mapping!$A$5:$A$200,UPPER(C479&amp;""))))*ROW(Mapping!$A$5:$A$200)))-4),""))</f>
        <v/>
      </c>
      <c r="F479" s="98"/>
      <c r="G479" s="99" t="n">
        <f aca="false">IF(F479="",G478,G478+IF(D479="Income",F479,IF(D479="Expense",-F479,F479)))</f>
        <v>3408.09</v>
      </c>
      <c r="H479" s="100" t="str">
        <f aca="false">IF(C479="","",IFERROR(INDEX(Mapping!$A$5:$A$200,SUMPRODUCT(MAX((ISNUMBER(SEARCH(Mapping!$A$5:$A$200,UPPER(C479&amp;""))))*ROW(Mapping!$A$5:$A$200)))-4)&amp;" → "&amp;INDEX(Mapping!$B$5:$B$200,SUMPRODUCT(MAX((ISNUMBER(SEARCH(Mapping!$A$5:$A$200,UPPER(C479&amp;""))))*ROW(Mapping!$A$5:$A$200)))-4),"❓ no rule (add to Mapping)"))</f>
        <v/>
      </c>
      <c r="I479" s="79" t="str">
        <f aca="false">IF(B479="","",TEXT(B479,"mmm"))</f>
        <v/>
      </c>
      <c r="J479" s="80" t="str">
        <f aca="false">IF(B479="","",YEAR(B479))</f>
        <v/>
      </c>
    </row>
    <row r="480" customFormat="false" ht="18" hidden="false" customHeight="true" outlineLevel="0" collapsed="false">
      <c r="A480" s="81" t="n">
        <v>475</v>
      </c>
      <c r="B480" s="95"/>
      <c r="C480" s="96"/>
      <c r="D480" s="96" t="str">
        <f aca="false">IF(C480="","",IF(OR(ISNUMBER(SEARCH("PAYROLL",UPPER(C480))),ISNUMBER(SEARCH("PAYCHECK",UPPER(C480))),ISNUMBER(SEARCH("DEPOSIT",UPPER(C480)))),"Income",IF(ISNUMBER(SEARCH("TRANSFER",UPPER(C480))),"Transfer","Expense")))</f>
        <v/>
      </c>
      <c r="E480" s="97" t="str">
        <f aca="false">IF(C480="","",IFERROR(INDEX(Mapping!$B$5:$B$200,SUMPRODUCT(MAX((ISNUMBER(SEARCH(Mapping!$A$5:$A$200,UPPER(C480&amp;""))))*ROW(Mapping!$A$5:$A$200)))-4),""))</f>
        <v/>
      </c>
      <c r="F480" s="98"/>
      <c r="G480" s="99" t="n">
        <f aca="false">IF(F480="",G479,G479+IF(D480="Income",F480,IF(D480="Expense",-F480,F480)))</f>
        <v>3408.09</v>
      </c>
      <c r="H480" s="100" t="str">
        <f aca="false">IF(C480="","",IFERROR(INDEX(Mapping!$A$5:$A$200,SUMPRODUCT(MAX((ISNUMBER(SEARCH(Mapping!$A$5:$A$200,UPPER(C480&amp;""))))*ROW(Mapping!$A$5:$A$200)))-4)&amp;" → "&amp;INDEX(Mapping!$B$5:$B$200,SUMPRODUCT(MAX((ISNUMBER(SEARCH(Mapping!$A$5:$A$200,UPPER(C480&amp;""))))*ROW(Mapping!$A$5:$A$200)))-4),"❓ no rule (add to Mapping)"))</f>
        <v/>
      </c>
      <c r="I480" s="79" t="str">
        <f aca="false">IF(B480="","",TEXT(B480,"mmm"))</f>
        <v/>
      </c>
      <c r="J480" s="80" t="str">
        <f aca="false">IF(B480="","",YEAR(B480))</f>
        <v/>
      </c>
    </row>
    <row r="481" customFormat="false" ht="18" hidden="false" customHeight="true" outlineLevel="0" collapsed="false">
      <c r="A481" s="81" t="n">
        <v>476</v>
      </c>
      <c r="B481" s="95"/>
      <c r="C481" s="96"/>
      <c r="D481" s="96" t="str">
        <f aca="false">IF(C481="","",IF(OR(ISNUMBER(SEARCH("PAYROLL",UPPER(C481))),ISNUMBER(SEARCH("PAYCHECK",UPPER(C481))),ISNUMBER(SEARCH("DEPOSIT",UPPER(C481)))),"Income",IF(ISNUMBER(SEARCH("TRANSFER",UPPER(C481))),"Transfer","Expense")))</f>
        <v/>
      </c>
      <c r="E481" s="97" t="str">
        <f aca="false">IF(C481="","",IFERROR(INDEX(Mapping!$B$5:$B$200,SUMPRODUCT(MAX((ISNUMBER(SEARCH(Mapping!$A$5:$A$200,UPPER(C481&amp;""))))*ROW(Mapping!$A$5:$A$200)))-4),""))</f>
        <v/>
      </c>
      <c r="F481" s="98"/>
      <c r="G481" s="99" t="n">
        <f aca="false">IF(F481="",G480,G480+IF(D481="Income",F481,IF(D481="Expense",-F481,F481)))</f>
        <v>3408.09</v>
      </c>
      <c r="H481" s="100" t="str">
        <f aca="false">IF(C481="","",IFERROR(INDEX(Mapping!$A$5:$A$200,SUMPRODUCT(MAX((ISNUMBER(SEARCH(Mapping!$A$5:$A$200,UPPER(C481&amp;""))))*ROW(Mapping!$A$5:$A$200)))-4)&amp;" → "&amp;INDEX(Mapping!$B$5:$B$200,SUMPRODUCT(MAX((ISNUMBER(SEARCH(Mapping!$A$5:$A$200,UPPER(C481&amp;""))))*ROW(Mapping!$A$5:$A$200)))-4),"❓ no rule (add to Mapping)"))</f>
        <v/>
      </c>
      <c r="I481" s="79" t="str">
        <f aca="false">IF(B481="","",TEXT(B481,"mmm"))</f>
        <v/>
      </c>
      <c r="J481" s="80" t="str">
        <f aca="false">IF(B481="","",YEAR(B481))</f>
        <v/>
      </c>
    </row>
    <row r="482" customFormat="false" ht="18" hidden="false" customHeight="true" outlineLevel="0" collapsed="false">
      <c r="A482" s="81" t="n">
        <v>477</v>
      </c>
      <c r="B482" s="95"/>
      <c r="C482" s="96"/>
      <c r="D482" s="96" t="str">
        <f aca="false">IF(C482="","",IF(OR(ISNUMBER(SEARCH("PAYROLL",UPPER(C482))),ISNUMBER(SEARCH("PAYCHECK",UPPER(C482))),ISNUMBER(SEARCH("DEPOSIT",UPPER(C482)))),"Income",IF(ISNUMBER(SEARCH("TRANSFER",UPPER(C482))),"Transfer","Expense")))</f>
        <v/>
      </c>
      <c r="E482" s="97" t="str">
        <f aca="false">IF(C482="","",IFERROR(INDEX(Mapping!$B$5:$B$200,SUMPRODUCT(MAX((ISNUMBER(SEARCH(Mapping!$A$5:$A$200,UPPER(C482&amp;""))))*ROW(Mapping!$A$5:$A$200)))-4),""))</f>
        <v/>
      </c>
      <c r="F482" s="98"/>
      <c r="G482" s="99" t="n">
        <f aca="false">IF(F482="",G481,G481+IF(D482="Income",F482,IF(D482="Expense",-F482,F482)))</f>
        <v>3408.09</v>
      </c>
      <c r="H482" s="100" t="str">
        <f aca="false">IF(C482="","",IFERROR(INDEX(Mapping!$A$5:$A$200,SUMPRODUCT(MAX((ISNUMBER(SEARCH(Mapping!$A$5:$A$200,UPPER(C482&amp;""))))*ROW(Mapping!$A$5:$A$200)))-4)&amp;" → "&amp;INDEX(Mapping!$B$5:$B$200,SUMPRODUCT(MAX((ISNUMBER(SEARCH(Mapping!$A$5:$A$200,UPPER(C482&amp;""))))*ROW(Mapping!$A$5:$A$200)))-4),"❓ no rule (add to Mapping)"))</f>
        <v/>
      </c>
      <c r="I482" s="79" t="str">
        <f aca="false">IF(B482="","",TEXT(B482,"mmm"))</f>
        <v/>
      </c>
      <c r="J482" s="80" t="str">
        <f aca="false">IF(B482="","",YEAR(B482))</f>
        <v/>
      </c>
    </row>
    <row r="483" customFormat="false" ht="18" hidden="false" customHeight="true" outlineLevel="0" collapsed="false">
      <c r="A483" s="81" t="n">
        <v>478</v>
      </c>
      <c r="B483" s="95"/>
      <c r="C483" s="96"/>
      <c r="D483" s="96" t="str">
        <f aca="false">IF(C483="","",IF(OR(ISNUMBER(SEARCH("PAYROLL",UPPER(C483))),ISNUMBER(SEARCH("PAYCHECK",UPPER(C483))),ISNUMBER(SEARCH("DEPOSIT",UPPER(C483)))),"Income",IF(ISNUMBER(SEARCH("TRANSFER",UPPER(C483))),"Transfer","Expense")))</f>
        <v/>
      </c>
      <c r="E483" s="97" t="str">
        <f aca="false">IF(C483="","",IFERROR(INDEX(Mapping!$B$5:$B$200,SUMPRODUCT(MAX((ISNUMBER(SEARCH(Mapping!$A$5:$A$200,UPPER(C483&amp;""))))*ROW(Mapping!$A$5:$A$200)))-4),""))</f>
        <v/>
      </c>
      <c r="F483" s="98"/>
      <c r="G483" s="99" t="n">
        <f aca="false">IF(F483="",G482,G482+IF(D483="Income",F483,IF(D483="Expense",-F483,F483)))</f>
        <v>3408.09</v>
      </c>
      <c r="H483" s="100" t="str">
        <f aca="false">IF(C483="","",IFERROR(INDEX(Mapping!$A$5:$A$200,SUMPRODUCT(MAX((ISNUMBER(SEARCH(Mapping!$A$5:$A$200,UPPER(C483&amp;""))))*ROW(Mapping!$A$5:$A$200)))-4)&amp;" → "&amp;INDEX(Mapping!$B$5:$B$200,SUMPRODUCT(MAX((ISNUMBER(SEARCH(Mapping!$A$5:$A$200,UPPER(C483&amp;""))))*ROW(Mapping!$A$5:$A$200)))-4),"❓ no rule (add to Mapping)"))</f>
        <v/>
      </c>
      <c r="I483" s="79" t="str">
        <f aca="false">IF(B483="","",TEXT(B483,"mmm"))</f>
        <v/>
      </c>
      <c r="J483" s="80" t="str">
        <f aca="false">IF(B483="","",YEAR(B483))</f>
        <v/>
      </c>
    </row>
    <row r="484" customFormat="false" ht="18" hidden="false" customHeight="true" outlineLevel="0" collapsed="false">
      <c r="A484" s="81" t="n">
        <v>479</v>
      </c>
      <c r="B484" s="95"/>
      <c r="C484" s="96"/>
      <c r="D484" s="96" t="str">
        <f aca="false">IF(C484="","",IF(OR(ISNUMBER(SEARCH("PAYROLL",UPPER(C484))),ISNUMBER(SEARCH("PAYCHECK",UPPER(C484))),ISNUMBER(SEARCH("DEPOSIT",UPPER(C484)))),"Income",IF(ISNUMBER(SEARCH("TRANSFER",UPPER(C484))),"Transfer","Expense")))</f>
        <v/>
      </c>
      <c r="E484" s="97" t="str">
        <f aca="false">IF(C484="","",IFERROR(INDEX(Mapping!$B$5:$B$200,SUMPRODUCT(MAX((ISNUMBER(SEARCH(Mapping!$A$5:$A$200,UPPER(C484&amp;""))))*ROW(Mapping!$A$5:$A$200)))-4),""))</f>
        <v/>
      </c>
      <c r="F484" s="98"/>
      <c r="G484" s="99" t="n">
        <f aca="false">IF(F484="",G483,G483+IF(D484="Income",F484,IF(D484="Expense",-F484,F484)))</f>
        <v>3408.09</v>
      </c>
      <c r="H484" s="100" t="str">
        <f aca="false">IF(C484="","",IFERROR(INDEX(Mapping!$A$5:$A$200,SUMPRODUCT(MAX((ISNUMBER(SEARCH(Mapping!$A$5:$A$200,UPPER(C484&amp;""))))*ROW(Mapping!$A$5:$A$200)))-4)&amp;" → "&amp;INDEX(Mapping!$B$5:$B$200,SUMPRODUCT(MAX((ISNUMBER(SEARCH(Mapping!$A$5:$A$200,UPPER(C484&amp;""))))*ROW(Mapping!$A$5:$A$200)))-4),"❓ no rule (add to Mapping)"))</f>
        <v/>
      </c>
      <c r="I484" s="79" t="str">
        <f aca="false">IF(B484="","",TEXT(B484,"mmm"))</f>
        <v/>
      </c>
      <c r="J484" s="80" t="str">
        <f aca="false">IF(B484="","",YEAR(B484))</f>
        <v/>
      </c>
    </row>
    <row r="485" customFormat="false" ht="18" hidden="false" customHeight="true" outlineLevel="0" collapsed="false">
      <c r="A485" s="81" t="n">
        <v>480</v>
      </c>
      <c r="B485" s="95"/>
      <c r="C485" s="96"/>
      <c r="D485" s="96" t="str">
        <f aca="false">IF(C485="","",IF(OR(ISNUMBER(SEARCH("PAYROLL",UPPER(C485))),ISNUMBER(SEARCH("PAYCHECK",UPPER(C485))),ISNUMBER(SEARCH("DEPOSIT",UPPER(C485)))),"Income",IF(ISNUMBER(SEARCH("TRANSFER",UPPER(C485))),"Transfer","Expense")))</f>
        <v/>
      </c>
      <c r="E485" s="97" t="str">
        <f aca="false">IF(C485="","",IFERROR(INDEX(Mapping!$B$5:$B$200,SUMPRODUCT(MAX((ISNUMBER(SEARCH(Mapping!$A$5:$A$200,UPPER(C485&amp;""))))*ROW(Mapping!$A$5:$A$200)))-4),""))</f>
        <v/>
      </c>
      <c r="F485" s="98"/>
      <c r="G485" s="99" t="n">
        <f aca="false">IF(F485="",G484,G484+IF(D485="Income",F485,IF(D485="Expense",-F485,F485)))</f>
        <v>3408.09</v>
      </c>
      <c r="H485" s="100" t="str">
        <f aca="false">IF(C485="","",IFERROR(INDEX(Mapping!$A$5:$A$200,SUMPRODUCT(MAX((ISNUMBER(SEARCH(Mapping!$A$5:$A$200,UPPER(C485&amp;""))))*ROW(Mapping!$A$5:$A$200)))-4)&amp;" → "&amp;INDEX(Mapping!$B$5:$B$200,SUMPRODUCT(MAX((ISNUMBER(SEARCH(Mapping!$A$5:$A$200,UPPER(C485&amp;""))))*ROW(Mapping!$A$5:$A$200)))-4),"❓ no rule (add to Mapping)"))</f>
        <v/>
      </c>
      <c r="I485" s="79" t="str">
        <f aca="false">IF(B485="","",TEXT(B485,"mmm"))</f>
        <v/>
      </c>
      <c r="J485" s="80" t="str">
        <f aca="false">IF(B485="","",YEAR(B485))</f>
        <v/>
      </c>
    </row>
    <row r="486" customFormat="false" ht="18" hidden="false" customHeight="true" outlineLevel="0" collapsed="false">
      <c r="A486" s="81" t="n">
        <v>481</v>
      </c>
      <c r="B486" s="95"/>
      <c r="C486" s="96"/>
      <c r="D486" s="96" t="str">
        <f aca="false">IF(C486="","",IF(OR(ISNUMBER(SEARCH("PAYROLL",UPPER(C486))),ISNUMBER(SEARCH("PAYCHECK",UPPER(C486))),ISNUMBER(SEARCH("DEPOSIT",UPPER(C486)))),"Income",IF(ISNUMBER(SEARCH("TRANSFER",UPPER(C486))),"Transfer","Expense")))</f>
        <v/>
      </c>
      <c r="E486" s="97" t="str">
        <f aca="false">IF(C486="","",IFERROR(INDEX(Mapping!$B$5:$B$200,SUMPRODUCT(MAX((ISNUMBER(SEARCH(Mapping!$A$5:$A$200,UPPER(C486&amp;""))))*ROW(Mapping!$A$5:$A$200)))-4),""))</f>
        <v/>
      </c>
      <c r="F486" s="98"/>
      <c r="G486" s="99" t="n">
        <f aca="false">IF(F486="",G485,G485+IF(D486="Income",F486,IF(D486="Expense",-F486,F486)))</f>
        <v>3408.09</v>
      </c>
      <c r="H486" s="100" t="str">
        <f aca="false">IF(C486="","",IFERROR(INDEX(Mapping!$A$5:$A$200,SUMPRODUCT(MAX((ISNUMBER(SEARCH(Mapping!$A$5:$A$200,UPPER(C486&amp;""))))*ROW(Mapping!$A$5:$A$200)))-4)&amp;" → "&amp;INDEX(Mapping!$B$5:$B$200,SUMPRODUCT(MAX((ISNUMBER(SEARCH(Mapping!$A$5:$A$200,UPPER(C486&amp;""))))*ROW(Mapping!$A$5:$A$200)))-4),"❓ no rule (add to Mapping)"))</f>
        <v/>
      </c>
      <c r="I486" s="79" t="str">
        <f aca="false">IF(B486="","",TEXT(B486,"mmm"))</f>
        <v/>
      </c>
      <c r="J486" s="80" t="str">
        <f aca="false">IF(B486="","",YEAR(B486))</f>
        <v/>
      </c>
    </row>
    <row r="487" customFormat="false" ht="18" hidden="false" customHeight="true" outlineLevel="0" collapsed="false">
      <c r="A487" s="81" t="n">
        <v>482</v>
      </c>
      <c r="B487" s="95"/>
      <c r="C487" s="96"/>
      <c r="D487" s="96" t="str">
        <f aca="false">IF(C487="","",IF(OR(ISNUMBER(SEARCH("PAYROLL",UPPER(C487))),ISNUMBER(SEARCH("PAYCHECK",UPPER(C487))),ISNUMBER(SEARCH("DEPOSIT",UPPER(C487)))),"Income",IF(ISNUMBER(SEARCH("TRANSFER",UPPER(C487))),"Transfer","Expense")))</f>
        <v/>
      </c>
      <c r="E487" s="97" t="str">
        <f aca="false">IF(C487="","",IFERROR(INDEX(Mapping!$B$5:$B$200,SUMPRODUCT(MAX((ISNUMBER(SEARCH(Mapping!$A$5:$A$200,UPPER(C487&amp;""))))*ROW(Mapping!$A$5:$A$200)))-4),""))</f>
        <v/>
      </c>
      <c r="F487" s="98"/>
      <c r="G487" s="99" t="n">
        <f aca="false">IF(F487="",G486,G486+IF(D487="Income",F487,IF(D487="Expense",-F487,F487)))</f>
        <v>3408.09</v>
      </c>
      <c r="H487" s="100" t="str">
        <f aca="false">IF(C487="","",IFERROR(INDEX(Mapping!$A$5:$A$200,SUMPRODUCT(MAX((ISNUMBER(SEARCH(Mapping!$A$5:$A$200,UPPER(C487&amp;""))))*ROW(Mapping!$A$5:$A$200)))-4)&amp;" → "&amp;INDEX(Mapping!$B$5:$B$200,SUMPRODUCT(MAX((ISNUMBER(SEARCH(Mapping!$A$5:$A$200,UPPER(C487&amp;""))))*ROW(Mapping!$A$5:$A$200)))-4),"❓ no rule (add to Mapping)"))</f>
        <v/>
      </c>
      <c r="I487" s="79" t="str">
        <f aca="false">IF(B487="","",TEXT(B487,"mmm"))</f>
        <v/>
      </c>
      <c r="J487" s="80" t="str">
        <f aca="false">IF(B487="","",YEAR(B487))</f>
        <v/>
      </c>
    </row>
    <row r="488" customFormat="false" ht="18" hidden="false" customHeight="true" outlineLevel="0" collapsed="false">
      <c r="A488" s="81" t="n">
        <v>483</v>
      </c>
      <c r="B488" s="95"/>
      <c r="C488" s="96"/>
      <c r="D488" s="96" t="str">
        <f aca="false">IF(C488="","",IF(OR(ISNUMBER(SEARCH("PAYROLL",UPPER(C488))),ISNUMBER(SEARCH("PAYCHECK",UPPER(C488))),ISNUMBER(SEARCH("DEPOSIT",UPPER(C488)))),"Income",IF(ISNUMBER(SEARCH("TRANSFER",UPPER(C488))),"Transfer","Expense")))</f>
        <v/>
      </c>
      <c r="E488" s="97" t="str">
        <f aca="false">IF(C488="","",IFERROR(INDEX(Mapping!$B$5:$B$200,SUMPRODUCT(MAX((ISNUMBER(SEARCH(Mapping!$A$5:$A$200,UPPER(C488&amp;""))))*ROW(Mapping!$A$5:$A$200)))-4),""))</f>
        <v/>
      </c>
      <c r="F488" s="98"/>
      <c r="G488" s="99" t="n">
        <f aca="false">IF(F488="",G487,G487+IF(D488="Income",F488,IF(D488="Expense",-F488,F488)))</f>
        <v>3408.09</v>
      </c>
      <c r="H488" s="100" t="str">
        <f aca="false">IF(C488="","",IFERROR(INDEX(Mapping!$A$5:$A$200,SUMPRODUCT(MAX((ISNUMBER(SEARCH(Mapping!$A$5:$A$200,UPPER(C488&amp;""))))*ROW(Mapping!$A$5:$A$200)))-4)&amp;" → "&amp;INDEX(Mapping!$B$5:$B$200,SUMPRODUCT(MAX((ISNUMBER(SEARCH(Mapping!$A$5:$A$200,UPPER(C488&amp;""))))*ROW(Mapping!$A$5:$A$200)))-4),"❓ no rule (add to Mapping)"))</f>
        <v/>
      </c>
      <c r="I488" s="79" t="str">
        <f aca="false">IF(B488="","",TEXT(B488,"mmm"))</f>
        <v/>
      </c>
      <c r="J488" s="80" t="str">
        <f aca="false">IF(B488="","",YEAR(B488))</f>
        <v/>
      </c>
    </row>
    <row r="489" customFormat="false" ht="18" hidden="false" customHeight="true" outlineLevel="0" collapsed="false">
      <c r="A489" s="81" t="n">
        <v>484</v>
      </c>
      <c r="B489" s="95"/>
      <c r="C489" s="96"/>
      <c r="D489" s="96" t="str">
        <f aca="false">IF(C489="","",IF(OR(ISNUMBER(SEARCH("PAYROLL",UPPER(C489))),ISNUMBER(SEARCH("PAYCHECK",UPPER(C489))),ISNUMBER(SEARCH("DEPOSIT",UPPER(C489)))),"Income",IF(ISNUMBER(SEARCH("TRANSFER",UPPER(C489))),"Transfer","Expense")))</f>
        <v/>
      </c>
      <c r="E489" s="97" t="str">
        <f aca="false">IF(C489="","",IFERROR(INDEX(Mapping!$B$5:$B$200,SUMPRODUCT(MAX((ISNUMBER(SEARCH(Mapping!$A$5:$A$200,UPPER(C489&amp;""))))*ROW(Mapping!$A$5:$A$200)))-4),""))</f>
        <v/>
      </c>
      <c r="F489" s="98"/>
      <c r="G489" s="99" t="n">
        <f aca="false">IF(F489="",G488,G488+IF(D489="Income",F489,IF(D489="Expense",-F489,F489)))</f>
        <v>3408.09</v>
      </c>
      <c r="H489" s="100" t="str">
        <f aca="false">IF(C489="","",IFERROR(INDEX(Mapping!$A$5:$A$200,SUMPRODUCT(MAX((ISNUMBER(SEARCH(Mapping!$A$5:$A$200,UPPER(C489&amp;""))))*ROW(Mapping!$A$5:$A$200)))-4)&amp;" → "&amp;INDEX(Mapping!$B$5:$B$200,SUMPRODUCT(MAX((ISNUMBER(SEARCH(Mapping!$A$5:$A$200,UPPER(C489&amp;""))))*ROW(Mapping!$A$5:$A$200)))-4),"❓ no rule (add to Mapping)"))</f>
        <v/>
      </c>
      <c r="I489" s="79" t="str">
        <f aca="false">IF(B489="","",TEXT(B489,"mmm"))</f>
        <v/>
      </c>
      <c r="J489" s="80" t="str">
        <f aca="false">IF(B489="","",YEAR(B489))</f>
        <v/>
      </c>
    </row>
    <row r="490" customFormat="false" ht="18" hidden="false" customHeight="true" outlineLevel="0" collapsed="false">
      <c r="A490" s="81" t="n">
        <v>485</v>
      </c>
      <c r="B490" s="95"/>
      <c r="C490" s="96"/>
      <c r="D490" s="96" t="str">
        <f aca="false">IF(C490="","",IF(OR(ISNUMBER(SEARCH("PAYROLL",UPPER(C490))),ISNUMBER(SEARCH("PAYCHECK",UPPER(C490))),ISNUMBER(SEARCH("DEPOSIT",UPPER(C490)))),"Income",IF(ISNUMBER(SEARCH("TRANSFER",UPPER(C490))),"Transfer","Expense")))</f>
        <v/>
      </c>
      <c r="E490" s="97" t="str">
        <f aca="false">IF(C490="","",IFERROR(INDEX(Mapping!$B$5:$B$200,SUMPRODUCT(MAX((ISNUMBER(SEARCH(Mapping!$A$5:$A$200,UPPER(C490&amp;""))))*ROW(Mapping!$A$5:$A$200)))-4),""))</f>
        <v/>
      </c>
      <c r="F490" s="98"/>
      <c r="G490" s="99" t="n">
        <f aca="false">IF(F490="",G489,G489+IF(D490="Income",F490,IF(D490="Expense",-F490,F490)))</f>
        <v>3408.09</v>
      </c>
      <c r="H490" s="100" t="str">
        <f aca="false">IF(C490="","",IFERROR(INDEX(Mapping!$A$5:$A$200,SUMPRODUCT(MAX((ISNUMBER(SEARCH(Mapping!$A$5:$A$200,UPPER(C490&amp;""))))*ROW(Mapping!$A$5:$A$200)))-4)&amp;" → "&amp;INDEX(Mapping!$B$5:$B$200,SUMPRODUCT(MAX((ISNUMBER(SEARCH(Mapping!$A$5:$A$200,UPPER(C490&amp;""))))*ROW(Mapping!$A$5:$A$200)))-4),"❓ no rule (add to Mapping)"))</f>
        <v/>
      </c>
      <c r="I490" s="79" t="str">
        <f aca="false">IF(B490="","",TEXT(B490,"mmm"))</f>
        <v/>
      </c>
      <c r="J490" s="80" t="str">
        <f aca="false">IF(B490="","",YEAR(B490))</f>
        <v/>
      </c>
    </row>
    <row r="491" customFormat="false" ht="18" hidden="false" customHeight="true" outlineLevel="0" collapsed="false">
      <c r="A491" s="81" t="n">
        <v>486</v>
      </c>
      <c r="B491" s="95"/>
      <c r="C491" s="96"/>
      <c r="D491" s="96" t="str">
        <f aca="false">IF(C491="","",IF(OR(ISNUMBER(SEARCH("PAYROLL",UPPER(C491))),ISNUMBER(SEARCH("PAYCHECK",UPPER(C491))),ISNUMBER(SEARCH("DEPOSIT",UPPER(C491)))),"Income",IF(ISNUMBER(SEARCH("TRANSFER",UPPER(C491))),"Transfer","Expense")))</f>
        <v/>
      </c>
      <c r="E491" s="97" t="str">
        <f aca="false">IF(C491="","",IFERROR(INDEX(Mapping!$B$5:$B$200,SUMPRODUCT(MAX((ISNUMBER(SEARCH(Mapping!$A$5:$A$200,UPPER(C491&amp;""))))*ROW(Mapping!$A$5:$A$200)))-4),""))</f>
        <v/>
      </c>
      <c r="F491" s="98"/>
      <c r="G491" s="99" t="n">
        <f aca="false">IF(F491="",G490,G490+IF(D491="Income",F491,IF(D491="Expense",-F491,F491)))</f>
        <v>3408.09</v>
      </c>
      <c r="H491" s="100" t="str">
        <f aca="false">IF(C491="","",IFERROR(INDEX(Mapping!$A$5:$A$200,SUMPRODUCT(MAX((ISNUMBER(SEARCH(Mapping!$A$5:$A$200,UPPER(C491&amp;""))))*ROW(Mapping!$A$5:$A$200)))-4)&amp;" → "&amp;INDEX(Mapping!$B$5:$B$200,SUMPRODUCT(MAX((ISNUMBER(SEARCH(Mapping!$A$5:$A$200,UPPER(C491&amp;""))))*ROW(Mapping!$A$5:$A$200)))-4),"❓ no rule (add to Mapping)"))</f>
        <v/>
      </c>
      <c r="I491" s="79" t="str">
        <f aca="false">IF(B491="","",TEXT(B491,"mmm"))</f>
        <v/>
      </c>
      <c r="J491" s="80" t="str">
        <f aca="false">IF(B491="","",YEAR(B491))</f>
        <v/>
      </c>
    </row>
    <row r="492" customFormat="false" ht="18" hidden="false" customHeight="true" outlineLevel="0" collapsed="false">
      <c r="A492" s="81" t="n">
        <v>487</v>
      </c>
      <c r="B492" s="95"/>
      <c r="C492" s="96"/>
      <c r="D492" s="96" t="str">
        <f aca="false">IF(C492="","",IF(OR(ISNUMBER(SEARCH("PAYROLL",UPPER(C492))),ISNUMBER(SEARCH("PAYCHECK",UPPER(C492))),ISNUMBER(SEARCH("DEPOSIT",UPPER(C492)))),"Income",IF(ISNUMBER(SEARCH("TRANSFER",UPPER(C492))),"Transfer","Expense")))</f>
        <v/>
      </c>
      <c r="E492" s="97" t="str">
        <f aca="false">IF(C492="","",IFERROR(INDEX(Mapping!$B$5:$B$200,SUMPRODUCT(MAX((ISNUMBER(SEARCH(Mapping!$A$5:$A$200,UPPER(C492&amp;""))))*ROW(Mapping!$A$5:$A$200)))-4),""))</f>
        <v/>
      </c>
      <c r="F492" s="98"/>
      <c r="G492" s="99" t="n">
        <f aca="false">IF(F492="",G491,G491+IF(D492="Income",F492,IF(D492="Expense",-F492,F492)))</f>
        <v>3408.09</v>
      </c>
      <c r="H492" s="100" t="str">
        <f aca="false">IF(C492="","",IFERROR(INDEX(Mapping!$A$5:$A$200,SUMPRODUCT(MAX((ISNUMBER(SEARCH(Mapping!$A$5:$A$200,UPPER(C492&amp;""))))*ROW(Mapping!$A$5:$A$200)))-4)&amp;" → "&amp;INDEX(Mapping!$B$5:$B$200,SUMPRODUCT(MAX((ISNUMBER(SEARCH(Mapping!$A$5:$A$200,UPPER(C492&amp;""))))*ROW(Mapping!$A$5:$A$200)))-4),"❓ no rule (add to Mapping)"))</f>
        <v/>
      </c>
      <c r="I492" s="79" t="str">
        <f aca="false">IF(B492="","",TEXT(B492,"mmm"))</f>
        <v/>
      </c>
      <c r="J492" s="80" t="str">
        <f aca="false">IF(B492="","",YEAR(B492))</f>
        <v/>
      </c>
    </row>
    <row r="493" customFormat="false" ht="18" hidden="false" customHeight="true" outlineLevel="0" collapsed="false">
      <c r="A493" s="81" t="n">
        <v>488</v>
      </c>
      <c r="B493" s="95"/>
      <c r="C493" s="96"/>
      <c r="D493" s="96" t="str">
        <f aca="false">IF(C493="","",IF(OR(ISNUMBER(SEARCH("PAYROLL",UPPER(C493))),ISNUMBER(SEARCH("PAYCHECK",UPPER(C493))),ISNUMBER(SEARCH("DEPOSIT",UPPER(C493)))),"Income",IF(ISNUMBER(SEARCH("TRANSFER",UPPER(C493))),"Transfer","Expense")))</f>
        <v/>
      </c>
      <c r="E493" s="97" t="str">
        <f aca="false">IF(C493="","",IFERROR(INDEX(Mapping!$B$5:$B$200,SUMPRODUCT(MAX((ISNUMBER(SEARCH(Mapping!$A$5:$A$200,UPPER(C493&amp;""))))*ROW(Mapping!$A$5:$A$200)))-4),""))</f>
        <v/>
      </c>
      <c r="F493" s="98"/>
      <c r="G493" s="99" t="n">
        <f aca="false">IF(F493="",G492,G492+IF(D493="Income",F493,IF(D493="Expense",-F493,F493)))</f>
        <v>3408.09</v>
      </c>
      <c r="H493" s="100" t="str">
        <f aca="false">IF(C493="","",IFERROR(INDEX(Mapping!$A$5:$A$200,SUMPRODUCT(MAX((ISNUMBER(SEARCH(Mapping!$A$5:$A$200,UPPER(C493&amp;""))))*ROW(Mapping!$A$5:$A$200)))-4)&amp;" → "&amp;INDEX(Mapping!$B$5:$B$200,SUMPRODUCT(MAX((ISNUMBER(SEARCH(Mapping!$A$5:$A$200,UPPER(C493&amp;""))))*ROW(Mapping!$A$5:$A$200)))-4),"❓ no rule (add to Mapping)"))</f>
        <v/>
      </c>
      <c r="I493" s="79" t="str">
        <f aca="false">IF(B493="","",TEXT(B493,"mmm"))</f>
        <v/>
      </c>
      <c r="J493" s="80" t="str">
        <f aca="false">IF(B493="","",YEAR(B493))</f>
        <v/>
      </c>
    </row>
    <row r="494" customFormat="false" ht="18" hidden="false" customHeight="true" outlineLevel="0" collapsed="false">
      <c r="A494" s="81" t="n">
        <v>489</v>
      </c>
      <c r="B494" s="95"/>
      <c r="C494" s="96"/>
      <c r="D494" s="96" t="str">
        <f aca="false">IF(C494="","",IF(OR(ISNUMBER(SEARCH("PAYROLL",UPPER(C494))),ISNUMBER(SEARCH("PAYCHECK",UPPER(C494))),ISNUMBER(SEARCH("DEPOSIT",UPPER(C494)))),"Income",IF(ISNUMBER(SEARCH("TRANSFER",UPPER(C494))),"Transfer","Expense")))</f>
        <v/>
      </c>
      <c r="E494" s="97" t="str">
        <f aca="false">IF(C494="","",IFERROR(INDEX(Mapping!$B$5:$B$200,SUMPRODUCT(MAX((ISNUMBER(SEARCH(Mapping!$A$5:$A$200,UPPER(C494&amp;""))))*ROW(Mapping!$A$5:$A$200)))-4),""))</f>
        <v/>
      </c>
      <c r="F494" s="98"/>
      <c r="G494" s="99" t="n">
        <f aca="false">IF(F494="",G493,G493+IF(D494="Income",F494,IF(D494="Expense",-F494,F494)))</f>
        <v>3408.09</v>
      </c>
      <c r="H494" s="100" t="str">
        <f aca="false">IF(C494="","",IFERROR(INDEX(Mapping!$A$5:$A$200,SUMPRODUCT(MAX((ISNUMBER(SEARCH(Mapping!$A$5:$A$200,UPPER(C494&amp;""))))*ROW(Mapping!$A$5:$A$200)))-4)&amp;" → "&amp;INDEX(Mapping!$B$5:$B$200,SUMPRODUCT(MAX((ISNUMBER(SEARCH(Mapping!$A$5:$A$200,UPPER(C494&amp;""))))*ROW(Mapping!$A$5:$A$200)))-4),"❓ no rule (add to Mapping)"))</f>
        <v/>
      </c>
      <c r="I494" s="79" t="str">
        <f aca="false">IF(B494="","",TEXT(B494,"mmm"))</f>
        <v/>
      </c>
      <c r="J494" s="80" t="str">
        <f aca="false">IF(B494="","",YEAR(B494))</f>
        <v/>
      </c>
    </row>
    <row r="495" customFormat="false" ht="18" hidden="false" customHeight="true" outlineLevel="0" collapsed="false">
      <c r="A495" s="81" t="n">
        <v>490</v>
      </c>
      <c r="B495" s="95"/>
      <c r="C495" s="96"/>
      <c r="D495" s="96" t="str">
        <f aca="false">IF(C495="","",IF(OR(ISNUMBER(SEARCH("PAYROLL",UPPER(C495))),ISNUMBER(SEARCH("PAYCHECK",UPPER(C495))),ISNUMBER(SEARCH("DEPOSIT",UPPER(C495)))),"Income",IF(ISNUMBER(SEARCH("TRANSFER",UPPER(C495))),"Transfer","Expense")))</f>
        <v/>
      </c>
      <c r="E495" s="97" t="str">
        <f aca="false">IF(C495="","",IFERROR(INDEX(Mapping!$B$5:$B$200,SUMPRODUCT(MAX((ISNUMBER(SEARCH(Mapping!$A$5:$A$200,UPPER(C495&amp;""))))*ROW(Mapping!$A$5:$A$200)))-4),""))</f>
        <v/>
      </c>
      <c r="F495" s="98"/>
      <c r="G495" s="99" t="n">
        <f aca="false">IF(F495="",G494,G494+IF(D495="Income",F495,IF(D495="Expense",-F495,F495)))</f>
        <v>3408.09</v>
      </c>
      <c r="H495" s="100" t="str">
        <f aca="false">IF(C495="","",IFERROR(INDEX(Mapping!$A$5:$A$200,SUMPRODUCT(MAX((ISNUMBER(SEARCH(Mapping!$A$5:$A$200,UPPER(C495&amp;""))))*ROW(Mapping!$A$5:$A$200)))-4)&amp;" → "&amp;INDEX(Mapping!$B$5:$B$200,SUMPRODUCT(MAX((ISNUMBER(SEARCH(Mapping!$A$5:$A$200,UPPER(C495&amp;""))))*ROW(Mapping!$A$5:$A$200)))-4),"❓ no rule (add to Mapping)"))</f>
        <v/>
      </c>
      <c r="I495" s="79" t="str">
        <f aca="false">IF(B495="","",TEXT(B495,"mmm"))</f>
        <v/>
      </c>
      <c r="J495" s="80" t="str">
        <f aca="false">IF(B495="","",YEAR(B495))</f>
        <v/>
      </c>
    </row>
    <row r="496" customFormat="false" ht="18" hidden="false" customHeight="true" outlineLevel="0" collapsed="false">
      <c r="A496" s="81" t="n">
        <v>491</v>
      </c>
      <c r="B496" s="95"/>
      <c r="C496" s="96"/>
      <c r="D496" s="96" t="str">
        <f aca="false">IF(C496="","",IF(OR(ISNUMBER(SEARCH("PAYROLL",UPPER(C496))),ISNUMBER(SEARCH("PAYCHECK",UPPER(C496))),ISNUMBER(SEARCH("DEPOSIT",UPPER(C496)))),"Income",IF(ISNUMBER(SEARCH("TRANSFER",UPPER(C496))),"Transfer","Expense")))</f>
        <v/>
      </c>
      <c r="E496" s="97" t="str">
        <f aca="false">IF(C496="","",IFERROR(INDEX(Mapping!$B$5:$B$200,SUMPRODUCT(MAX((ISNUMBER(SEARCH(Mapping!$A$5:$A$200,UPPER(C496&amp;""))))*ROW(Mapping!$A$5:$A$200)))-4),""))</f>
        <v/>
      </c>
      <c r="F496" s="98"/>
      <c r="G496" s="99" t="n">
        <f aca="false">IF(F496="",G495,G495+IF(D496="Income",F496,IF(D496="Expense",-F496,F496)))</f>
        <v>3408.09</v>
      </c>
      <c r="H496" s="100" t="str">
        <f aca="false">IF(C496="","",IFERROR(INDEX(Mapping!$A$5:$A$200,SUMPRODUCT(MAX((ISNUMBER(SEARCH(Mapping!$A$5:$A$200,UPPER(C496&amp;""))))*ROW(Mapping!$A$5:$A$200)))-4)&amp;" → "&amp;INDEX(Mapping!$B$5:$B$200,SUMPRODUCT(MAX((ISNUMBER(SEARCH(Mapping!$A$5:$A$200,UPPER(C496&amp;""))))*ROW(Mapping!$A$5:$A$200)))-4),"❓ no rule (add to Mapping)"))</f>
        <v/>
      </c>
      <c r="I496" s="79" t="str">
        <f aca="false">IF(B496="","",TEXT(B496,"mmm"))</f>
        <v/>
      </c>
      <c r="J496" s="80" t="str">
        <f aca="false">IF(B496="","",YEAR(B496))</f>
        <v/>
      </c>
    </row>
    <row r="497" customFormat="false" ht="18" hidden="false" customHeight="true" outlineLevel="0" collapsed="false">
      <c r="A497" s="81" t="n">
        <v>492</v>
      </c>
      <c r="B497" s="95"/>
      <c r="C497" s="96"/>
      <c r="D497" s="96" t="str">
        <f aca="false">IF(C497="","",IF(OR(ISNUMBER(SEARCH("PAYROLL",UPPER(C497))),ISNUMBER(SEARCH("PAYCHECK",UPPER(C497))),ISNUMBER(SEARCH("DEPOSIT",UPPER(C497)))),"Income",IF(ISNUMBER(SEARCH("TRANSFER",UPPER(C497))),"Transfer","Expense")))</f>
        <v/>
      </c>
      <c r="E497" s="97" t="str">
        <f aca="false">IF(C497="","",IFERROR(INDEX(Mapping!$B$5:$B$200,SUMPRODUCT(MAX((ISNUMBER(SEARCH(Mapping!$A$5:$A$200,UPPER(C497&amp;""))))*ROW(Mapping!$A$5:$A$200)))-4),""))</f>
        <v/>
      </c>
      <c r="F497" s="98"/>
      <c r="G497" s="99" t="n">
        <f aca="false">IF(F497="",G496,G496+IF(D497="Income",F497,IF(D497="Expense",-F497,F497)))</f>
        <v>3408.09</v>
      </c>
      <c r="H497" s="100" t="str">
        <f aca="false">IF(C497="","",IFERROR(INDEX(Mapping!$A$5:$A$200,SUMPRODUCT(MAX((ISNUMBER(SEARCH(Mapping!$A$5:$A$200,UPPER(C497&amp;""))))*ROW(Mapping!$A$5:$A$200)))-4)&amp;" → "&amp;INDEX(Mapping!$B$5:$B$200,SUMPRODUCT(MAX((ISNUMBER(SEARCH(Mapping!$A$5:$A$200,UPPER(C497&amp;""))))*ROW(Mapping!$A$5:$A$200)))-4),"❓ no rule (add to Mapping)"))</f>
        <v/>
      </c>
      <c r="I497" s="79" t="str">
        <f aca="false">IF(B497="","",TEXT(B497,"mmm"))</f>
        <v/>
      </c>
      <c r="J497" s="80" t="str">
        <f aca="false">IF(B497="","",YEAR(B497))</f>
        <v/>
      </c>
    </row>
    <row r="498" customFormat="false" ht="18" hidden="false" customHeight="true" outlineLevel="0" collapsed="false">
      <c r="A498" s="81" t="n">
        <v>493</v>
      </c>
      <c r="B498" s="95"/>
      <c r="C498" s="96"/>
      <c r="D498" s="96" t="str">
        <f aca="false">IF(C498="","",IF(OR(ISNUMBER(SEARCH("PAYROLL",UPPER(C498))),ISNUMBER(SEARCH("PAYCHECK",UPPER(C498))),ISNUMBER(SEARCH("DEPOSIT",UPPER(C498)))),"Income",IF(ISNUMBER(SEARCH("TRANSFER",UPPER(C498))),"Transfer","Expense")))</f>
        <v/>
      </c>
      <c r="E498" s="97" t="str">
        <f aca="false">IF(C498="","",IFERROR(INDEX(Mapping!$B$5:$B$200,SUMPRODUCT(MAX((ISNUMBER(SEARCH(Mapping!$A$5:$A$200,UPPER(C498&amp;""))))*ROW(Mapping!$A$5:$A$200)))-4),""))</f>
        <v/>
      </c>
      <c r="F498" s="98"/>
      <c r="G498" s="99" t="n">
        <f aca="false">IF(F498="",G497,G497+IF(D498="Income",F498,IF(D498="Expense",-F498,F498)))</f>
        <v>3408.09</v>
      </c>
      <c r="H498" s="100" t="str">
        <f aca="false">IF(C498="","",IFERROR(INDEX(Mapping!$A$5:$A$200,SUMPRODUCT(MAX((ISNUMBER(SEARCH(Mapping!$A$5:$A$200,UPPER(C498&amp;""))))*ROW(Mapping!$A$5:$A$200)))-4)&amp;" → "&amp;INDEX(Mapping!$B$5:$B$200,SUMPRODUCT(MAX((ISNUMBER(SEARCH(Mapping!$A$5:$A$200,UPPER(C498&amp;""))))*ROW(Mapping!$A$5:$A$200)))-4),"❓ no rule (add to Mapping)"))</f>
        <v/>
      </c>
      <c r="I498" s="79" t="str">
        <f aca="false">IF(B498="","",TEXT(B498,"mmm"))</f>
        <v/>
      </c>
      <c r="J498" s="80" t="str">
        <f aca="false">IF(B498="","",YEAR(B498))</f>
        <v/>
      </c>
    </row>
    <row r="499" customFormat="false" ht="18" hidden="false" customHeight="true" outlineLevel="0" collapsed="false">
      <c r="A499" s="81" t="n">
        <v>494</v>
      </c>
      <c r="B499" s="95"/>
      <c r="C499" s="96"/>
      <c r="D499" s="96" t="str">
        <f aca="false">IF(C499="","",IF(OR(ISNUMBER(SEARCH("PAYROLL",UPPER(C499))),ISNUMBER(SEARCH("PAYCHECK",UPPER(C499))),ISNUMBER(SEARCH("DEPOSIT",UPPER(C499)))),"Income",IF(ISNUMBER(SEARCH("TRANSFER",UPPER(C499))),"Transfer","Expense")))</f>
        <v/>
      </c>
      <c r="E499" s="97" t="str">
        <f aca="false">IF(C499="","",IFERROR(INDEX(Mapping!$B$5:$B$200,SUMPRODUCT(MAX((ISNUMBER(SEARCH(Mapping!$A$5:$A$200,UPPER(C499&amp;""))))*ROW(Mapping!$A$5:$A$200)))-4),""))</f>
        <v/>
      </c>
      <c r="F499" s="98"/>
      <c r="G499" s="99" t="n">
        <f aca="false">IF(F499="",G498,G498+IF(D499="Income",F499,IF(D499="Expense",-F499,F499)))</f>
        <v>3408.09</v>
      </c>
      <c r="H499" s="100" t="str">
        <f aca="false">IF(C499="","",IFERROR(INDEX(Mapping!$A$5:$A$200,SUMPRODUCT(MAX((ISNUMBER(SEARCH(Mapping!$A$5:$A$200,UPPER(C499&amp;""))))*ROW(Mapping!$A$5:$A$200)))-4)&amp;" → "&amp;INDEX(Mapping!$B$5:$B$200,SUMPRODUCT(MAX((ISNUMBER(SEARCH(Mapping!$A$5:$A$200,UPPER(C499&amp;""))))*ROW(Mapping!$A$5:$A$200)))-4),"❓ no rule (add to Mapping)"))</f>
        <v/>
      </c>
      <c r="I499" s="79" t="str">
        <f aca="false">IF(B499="","",TEXT(B499,"mmm"))</f>
        <v/>
      </c>
      <c r="J499" s="80" t="str">
        <f aca="false">IF(B499="","",YEAR(B499))</f>
        <v/>
      </c>
    </row>
    <row r="500" customFormat="false" ht="18" hidden="false" customHeight="true" outlineLevel="0" collapsed="false">
      <c r="A500" s="81" t="n">
        <v>495</v>
      </c>
      <c r="B500" s="95"/>
      <c r="C500" s="96"/>
      <c r="D500" s="96" t="str">
        <f aca="false">IF(C500="","",IF(OR(ISNUMBER(SEARCH("PAYROLL",UPPER(C500))),ISNUMBER(SEARCH("PAYCHECK",UPPER(C500))),ISNUMBER(SEARCH("DEPOSIT",UPPER(C500)))),"Income",IF(ISNUMBER(SEARCH("TRANSFER",UPPER(C500))),"Transfer","Expense")))</f>
        <v/>
      </c>
      <c r="E500" s="97" t="str">
        <f aca="false">IF(C500="","",IFERROR(INDEX(Mapping!$B$5:$B$200,SUMPRODUCT(MAX((ISNUMBER(SEARCH(Mapping!$A$5:$A$200,UPPER(C500&amp;""))))*ROW(Mapping!$A$5:$A$200)))-4),""))</f>
        <v/>
      </c>
      <c r="F500" s="98"/>
      <c r="G500" s="99" t="n">
        <f aca="false">IF(F500="",G499,G499+IF(D500="Income",F500,IF(D500="Expense",-F500,F500)))</f>
        <v>3408.09</v>
      </c>
      <c r="H500" s="100" t="str">
        <f aca="false">IF(C500="","",IFERROR(INDEX(Mapping!$A$5:$A$200,SUMPRODUCT(MAX((ISNUMBER(SEARCH(Mapping!$A$5:$A$200,UPPER(C500&amp;""))))*ROW(Mapping!$A$5:$A$200)))-4)&amp;" → "&amp;INDEX(Mapping!$B$5:$B$200,SUMPRODUCT(MAX((ISNUMBER(SEARCH(Mapping!$A$5:$A$200,UPPER(C500&amp;""))))*ROW(Mapping!$A$5:$A$200)))-4),"❓ no rule (add to Mapping)"))</f>
        <v/>
      </c>
      <c r="I500" s="79" t="str">
        <f aca="false">IF(B500="","",TEXT(B500,"mmm"))</f>
        <v/>
      </c>
      <c r="J500" s="80" t="str">
        <f aca="false">IF(B500="","",YEAR(B500))</f>
        <v/>
      </c>
    </row>
    <row r="501" customFormat="false" ht="18" hidden="false" customHeight="true" outlineLevel="0" collapsed="false">
      <c r="A501" s="81" t="n">
        <v>496</v>
      </c>
      <c r="B501" s="95"/>
      <c r="C501" s="96"/>
      <c r="D501" s="96" t="str">
        <f aca="false">IF(C501="","",IF(OR(ISNUMBER(SEARCH("PAYROLL",UPPER(C501))),ISNUMBER(SEARCH("PAYCHECK",UPPER(C501))),ISNUMBER(SEARCH("DEPOSIT",UPPER(C501)))),"Income",IF(ISNUMBER(SEARCH("TRANSFER",UPPER(C501))),"Transfer","Expense")))</f>
        <v/>
      </c>
      <c r="E501" s="97" t="str">
        <f aca="false">IF(C501="","",IFERROR(INDEX(Mapping!$B$5:$B$200,SUMPRODUCT(MAX((ISNUMBER(SEARCH(Mapping!$A$5:$A$200,UPPER(C501&amp;""))))*ROW(Mapping!$A$5:$A$200)))-4),""))</f>
        <v/>
      </c>
      <c r="F501" s="98"/>
      <c r="G501" s="99" t="n">
        <f aca="false">IF(F501="",G500,G500+IF(D501="Income",F501,IF(D501="Expense",-F501,F501)))</f>
        <v>3408.09</v>
      </c>
      <c r="H501" s="100" t="str">
        <f aca="false">IF(C501="","",IFERROR(INDEX(Mapping!$A$5:$A$200,SUMPRODUCT(MAX((ISNUMBER(SEARCH(Mapping!$A$5:$A$200,UPPER(C501&amp;""))))*ROW(Mapping!$A$5:$A$200)))-4)&amp;" → "&amp;INDEX(Mapping!$B$5:$B$200,SUMPRODUCT(MAX((ISNUMBER(SEARCH(Mapping!$A$5:$A$200,UPPER(C501&amp;""))))*ROW(Mapping!$A$5:$A$200)))-4),"❓ no rule (add to Mapping)"))</f>
        <v/>
      </c>
      <c r="I501" s="79" t="str">
        <f aca="false">IF(B501="","",TEXT(B501,"mmm"))</f>
        <v/>
      </c>
      <c r="J501" s="80" t="str">
        <f aca="false">IF(B501="","",YEAR(B501))</f>
        <v/>
      </c>
    </row>
    <row r="502" customFormat="false" ht="18" hidden="false" customHeight="true" outlineLevel="0" collapsed="false">
      <c r="A502" s="81" t="n">
        <v>497</v>
      </c>
      <c r="B502" s="95"/>
      <c r="C502" s="96"/>
      <c r="D502" s="96" t="str">
        <f aca="false">IF(C502="","",IF(OR(ISNUMBER(SEARCH("PAYROLL",UPPER(C502))),ISNUMBER(SEARCH("PAYCHECK",UPPER(C502))),ISNUMBER(SEARCH("DEPOSIT",UPPER(C502)))),"Income",IF(ISNUMBER(SEARCH("TRANSFER",UPPER(C502))),"Transfer","Expense")))</f>
        <v/>
      </c>
      <c r="E502" s="97" t="str">
        <f aca="false">IF(C502="","",IFERROR(INDEX(Mapping!$B$5:$B$200,SUMPRODUCT(MAX((ISNUMBER(SEARCH(Mapping!$A$5:$A$200,UPPER(C502&amp;""))))*ROW(Mapping!$A$5:$A$200)))-4),""))</f>
        <v/>
      </c>
      <c r="F502" s="98"/>
      <c r="G502" s="99" t="n">
        <f aca="false">IF(F502="",G501,G501+IF(D502="Income",F502,IF(D502="Expense",-F502,F502)))</f>
        <v>3408.09</v>
      </c>
      <c r="H502" s="100" t="str">
        <f aca="false">IF(C502="","",IFERROR(INDEX(Mapping!$A$5:$A$200,SUMPRODUCT(MAX((ISNUMBER(SEARCH(Mapping!$A$5:$A$200,UPPER(C502&amp;""))))*ROW(Mapping!$A$5:$A$200)))-4)&amp;" → "&amp;INDEX(Mapping!$B$5:$B$200,SUMPRODUCT(MAX((ISNUMBER(SEARCH(Mapping!$A$5:$A$200,UPPER(C502&amp;""))))*ROW(Mapping!$A$5:$A$200)))-4),"❓ no rule (add to Mapping)"))</f>
        <v/>
      </c>
      <c r="I502" s="79" t="str">
        <f aca="false">IF(B502="","",TEXT(B502,"mmm"))</f>
        <v/>
      </c>
      <c r="J502" s="80" t="str">
        <f aca="false">IF(B502="","",YEAR(B502))</f>
        <v/>
      </c>
    </row>
    <row r="503" customFormat="false" ht="18" hidden="false" customHeight="true" outlineLevel="0" collapsed="false">
      <c r="A503" s="81" t="n">
        <v>498</v>
      </c>
      <c r="B503" s="95"/>
      <c r="C503" s="96"/>
      <c r="D503" s="96" t="str">
        <f aca="false">IF(C503="","",IF(OR(ISNUMBER(SEARCH("PAYROLL",UPPER(C503))),ISNUMBER(SEARCH("PAYCHECK",UPPER(C503))),ISNUMBER(SEARCH("DEPOSIT",UPPER(C503)))),"Income",IF(ISNUMBER(SEARCH("TRANSFER",UPPER(C503))),"Transfer","Expense")))</f>
        <v/>
      </c>
      <c r="E503" s="97" t="str">
        <f aca="false">IF(C503="","",IFERROR(INDEX(Mapping!$B$5:$B$200,SUMPRODUCT(MAX((ISNUMBER(SEARCH(Mapping!$A$5:$A$200,UPPER(C503&amp;""))))*ROW(Mapping!$A$5:$A$200)))-4),""))</f>
        <v/>
      </c>
      <c r="F503" s="98"/>
      <c r="G503" s="99" t="n">
        <f aca="false">IF(F503="",G502,G502+IF(D503="Income",F503,IF(D503="Expense",-F503,F503)))</f>
        <v>3408.09</v>
      </c>
      <c r="H503" s="100" t="str">
        <f aca="false">IF(C503="","",IFERROR(INDEX(Mapping!$A$5:$A$200,SUMPRODUCT(MAX((ISNUMBER(SEARCH(Mapping!$A$5:$A$200,UPPER(C503&amp;""))))*ROW(Mapping!$A$5:$A$200)))-4)&amp;" → "&amp;INDEX(Mapping!$B$5:$B$200,SUMPRODUCT(MAX((ISNUMBER(SEARCH(Mapping!$A$5:$A$200,UPPER(C503&amp;""))))*ROW(Mapping!$A$5:$A$200)))-4),"❓ no rule (add to Mapping)"))</f>
        <v/>
      </c>
      <c r="I503" s="79" t="str">
        <f aca="false">IF(B503="","",TEXT(B503,"mmm"))</f>
        <v/>
      </c>
      <c r="J503" s="80" t="str">
        <f aca="false">IF(B503="","",YEAR(B503))</f>
        <v/>
      </c>
    </row>
    <row r="504" customFormat="false" ht="18" hidden="false" customHeight="true" outlineLevel="0" collapsed="false">
      <c r="A504" s="81" t="n">
        <v>499</v>
      </c>
      <c r="B504" s="95"/>
      <c r="C504" s="96"/>
      <c r="D504" s="96" t="str">
        <f aca="false">IF(C504="","",IF(OR(ISNUMBER(SEARCH("PAYROLL",UPPER(C504))),ISNUMBER(SEARCH("PAYCHECK",UPPER(C504))),ISNUMBER(SEARCH("DEPOSIT",UPPER(C504)))),"Income",IF(ISNUMBER(SEARCH("TRANSFER",UPPER(C504))),"Transfer","Expense")))</f>
        <v/>
      </c>
      <c r="E504" s="97" t="str">
        <f aca="false">IF(C504="","",IFERROR(INDEX(Mapping!$B$5:$B$200,SUMPRODUCT(MAX((ISNUMBER(SEARCH(Mapping!$A$5:$A$200,UPPER(C504&amp;""))))*ROW(Mapping!$A$5:$A$200)))-4),""))</f>
        <v/>
      </c>
      <c r="F504" s="98"/>
      <c r="G504" s="99" t="n">
        <f aca="false">IF(F504="",G503,G503+IF(D504="Income",F504,IF(D504="Expense",-F504,F504)))</f>
        <v>3408.09</v>
      </c>
      <c r="H504" s="100" t="str">
        <f aca="false">IF(C504="","",IFERROR(INDEX(Mapping!$A$5:$A$200,SUMPRODUCT(MAX((ISNUMBER(SEARCH(Mapping!$A$5:$A$200,UPPER(C504&amp;""))))*ROW(Mapping!$A$5:$A$200)))-4)&amp;" → "&amp;INDEX(Mapping!$B$5:$B$200,SUMPRODUCT(MAX((ISNUMBER(SEARCH(Mapping!$A$5:$A$200,UPPER(C504&amp;""))))*ROW(Mapping!$A$5:$A$200)))-4),"❓ no rule (add to Mapping)"))</f>
        <v/>
      </c>
      <c r="I504" s="79" t="str">
        <f aca="false">IF(B504="","",TEXT(B504,"mmm"))</f>
        <v/>
      </c>
      <c r="J504" s="80" t="str">
        <f aca="false">IF(B504="","",YEAR(B504))</f>
        <v/>
      </c>
    </row>
    <row r="505" customFormat="false" ht="18" hidden="false" customHeight="true" outlineLevel="0" collapsed="false">
      <c r="A505" s="81" t="n">
        <v>500</v>
      </c>
      <c r="B505" s="95"/>
      <c r="C505" s="96"/>
      <c r="D505" s="96" t="str">
        <f aca="false">IF(C505="","",IF(OR(ISNUMBER(SEARCH("PAYROLL",UPPER(C505))),ISNUMBER(SEARCH("PAYCHECK",UPPER(C505))),ISNUMBER(SEARCH("DEPOSIT",UPPER(C505)))),"Income",IF(ISNUMBER(SEARCH("TRANSFER",UPPER(C505))),"Transfer","Expense")))</f>
        <v/>
      </c>
      <c r="E505" s="97" t="str">
        <f aca="false">IF(C505="","",IFERROR(INDEX(Mapping!$B$5:$B$200,SUMPRODUCT(MAX((ISNUMBER(SEARCH(Mapping!$A$5:$A$200,UPPER(C505&amp;""))))*ROW(Mapping!$A$5:$A$200)))-4),""))</f>
        <v/>
      </c>
      <c r="F505" s="98"/>
      <c r="G505" s="99" t="n">
        <f aca="false">IF(F505="",G504,G504+IF(D505="Income",F505,IF(D505="Expense",-F505,F505)))</f>
        <v>3408.09</v>
      </c>
      <c r="H505" s="100" t="str">
        <f aca="false">IF(C505="","",IFERROR(INDEX(Mapping!$A$5:$A$200,SUMPRODUCT(MAX((ISNUMBER(SEARCH(Mapping!$A$5:$A$200,UPPER(C505&amp;""))))*ROW(Mapping!$A$5:$A$200)))-4)&amp;" → "&amp;INDEX(Mapping!$B$5:$B$200,SUMPRODUCT(MAX((ISNUMBER(SEARCH(Mapping!$A$5:$A$200,UPPER(C505&amp;""))))*ROW(Mapping!$A$5:$A$200)))-4),"❓ no rule (add to Mapping)"))</f>
        <v/>
      </c>
      <c r="I505" s="79" t="str">
        <f aca="false">IF(B505="","",TEXT(B505,"mmm"))</f>
        <v/>
      </c>
      <c r="J505" s="80" t="str">
        <f aca="false">IF(B505="","",YEAR(B505))</f>
        <v/>
      </c>
    </row>
  </sheetData>
  <mergeCells count="4">
    <mergeCell ref="A1:H1"/>
    <mergeCell ref="A2:B2"/>
    <mergeCell ref="G2:H2"/>
    <mergeCell ref="A3:H3"/>
  </mergeCells>
  <conditionalFormatting sqref="H6:H505">
    <cfRule type="expression" priority="2" aboveAverage="0" equalAverage="0" bottom="0" percent="0" rank="0" text="" dxfId="2">
      <formula>ISNUMBER(SEARCH("no rule",H6))</formula>
    </cfRule>
  </conditionalFormatting>
  <dataValidations count="2">
    <dataValidation allowBlank="false" errorStyle="stop" operator="between" showDropDown="false" showErrorMessage="false" showInputMessage="false" sqref="D6:D505" type="list">
      <formula1>"Income,Expense,Transfer"</formula1>
      <formula2>0</formula2>
    </dataValidation>
    <dataValidation allowBlank="true" errorStyle="stop" operator="between" showDropDown="false" showErrorMessage="false" showInputMessage="false" sqref="E6:E505" type="list">
      <formula1>CreditorList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6" min="2" style="1" width="13"/>
    <col collapsed="false" customWidth="true" hidden="false" outlineLevel="0" max="7" min="7" style="1" width="16"/>
    <col collapsed="false" customWidth="true" hidden="false" outlineLevel="0" max="8" min="8" style="1" width="9"/>
    <col collapsed="false" customWidth="true" hidden="true" outlineLevel="0" max="9" min="9" style="1" width="30"/>
    <col collapsed="false" customWidth="true" hidden="false" outlineLevel="0" max="10" min="10" style="0" width="14"/>
    <col collapsed="false" customWidth="true" hidden="true" outlineLevel="0" max="34" min="27" style="1" width="13"/>
  </cols>
  <sheetData>
    <row r="1" customFormat="false" ht="39.75" hidden="false" customHeight="true" outlineLevel="0" collapsed="false">
      <c r="A1" s="101" t="s">
        <v>291</v>
      </c>
      <c r="B1" s="101"/>
      <c r="C1" s="101"/>
      <c r="D1" s="101"/>
      <c r="E1" s="101"/>
      <c r="F1" s="101"/>
      <c r="G1" s="101"/>
      <c r="H1" s="101"/>
      <c r="I1" s="101"/>
      <c r="J1" s="101"/>
    </row>
    <row r="3" customFormat="false" ht="30" hidden="false" customHeight="true" outlineLevel="0" collapsed="false">
      <c r="A3" s="67" t="s">
        <v>292</v>
      </c>
      <c r="B3" s="102" t="n">
        <f aca="false">Payments!E2</f>
        <v>3408.09</v>
      </c>
      <c r="C3" s="67" t="s">
        <v>293</v>
      </c>
      <c r="D3" s="103" t="n">
        <v>46143</v>
      </c>
      <c r="E3" s="67" t="s">
        <v>294</v>
      </c>
      <c r="F3" s="104" t="s">
        <v>295</v>
      </c>
      <c r="I3" s="1" t="n">
        <f aca="false">IF(F3="30 days",30,IF(F3="60 days",60,IF(F3="90 days",90,IF(F3="180 days",180,365))))</f>
        <v>90</v>
      </c>
    </row>
    <row r="5" customFormat="false" ht="31.5" hidden="false" customHeight="true" outlineLevel="0" collapsed="false">
      <c r="A5" s="21" t="s">
        <v>296</v>
      </c>
      <c r="B5" s="105" t="n">
        <f aca="true">MIN(OFFSET($AH$200,0,0,$I$3,1))</f>
        <v>2571.91</v>
      </c>
      <c r="C5" s="21" t="s">
        <v>297</v>
      </c>
      <c r="D5" s="102" t="n">
        <f aca="true">SUM(OFFSET($AD$200,0,0,$I$3,1))</f>
        <v>40385.05</v>
      </c>
      <c r="E5" s="21" t="s">
        <v>298</v>
      </c>
      <c r="F5" s="106" t="n">
        <f aca="true">SUM(OFFSET($AE$200,0,0,$I$3,1))</f>
        <v>26733.91</v>
      </c>
      <c r="G5" s="21" t="s">
        <v>299</v>
      </c>
      <c r="H5" s="107" t="n">
        <f aca="true">SUM(OFFSET($AF$200,0,0,$I$3,1))</f>
        <v>9572.72</v>
      </c>
      <c r="I5" s="21" t="s">
        <v>300</v>
      </c>
      <c r="J5" s="108" t="n">
        <f aca="false">INDEX($AH$200:$AH$564,$I$3)</f>
        <v>7486.51</v>
      </c>
    </row>
    <row r="7" customFormat="false" ht="25.5" hidden="false" customHeight="true" outlineLevel="0" collapsed="false">
      <c r="A7" s="109" t="s">
        <v>301</v>
      </c>
      <c r="B7" s="109"/>
      <c r="C7" s="109"/>
      <c r="D7" s="109"/>
      <c r="E7" s="109"/>
      <c r="F7" s="109"/>
      <c r="G7" s="109"/>
      <c r="H7" s="109"/>
      <c r="I7" s="109"/>
    </row>
    <row r="8" customFormat="false" ht="6" hidden="false" customHeight="true" outlineLevel="0" collapsed="false"/>
    <row r="9" customFormat="false" ht="21.75" hidden="false" customHeight="true" outlineLevel="0" collapsed="false">
      <c r="A9" s="110" t="s">
        <v>302</v>
      </c>
      <c r="B9" s="110" t="s">
        <v>129</v>
      </c>
      <c r="C9" s="110" t="s">
        <v>154</v>
      </c>
      <c r="D9" s="110" t="s">
        <v>139</v>
      </c>
      <c r="E9" s="110" t="s">
        <v>303</v>
      </c>
      <c r="F9" s="44" t="s">
        <v>304</v>
      </c>
      <c r="G9" s="44" t="s">
        <v>305</v>
      </c>
      <c r="H9" s="110" t="s">
        <v>306</v>
      </c>
      <c r="I9" s="43" t="s">
        <v>307</v>
      </c>
    </row>
    <row r="10" customFormat="false" ht="16.5" hidden="false" customHeight="true" outlineLevel="0" collapsed="false">
      <c r="A10" s="71" t="n">
        <v>1</v>
      </c>
      <c r="B10" s="111" t="n">
        <f aca="false">AB200</f>
        <v>46143</v>
      </c>
      <c r="C10" s="112" t="n">
        <f aca="false">AD200</f>
        <v>3819.79</v>
      </c>
      <c r="D10" s="113" t="n">
        <f aca="false">AE200</f>
        <v>601.16</v>
      </c>
      <c r="E10" s="114" t="n">
        <f aca="false">AF200</f>
        <v>557.5</v>
      </c>
      <c r="F10" s="115" t="n">
        <f aca="false">AG200</f>
        <v>2661.13</v>
      </c>
      <c r="G10" s="116" t="n">
        <f aca="false">AH200</f>
        <v>6069.22</v>
      </c>
      <c r="H10" s="117" t="str">
        <f aca="false">IF(G10&lt;0,"🚨",IF(G10&lt;500,"⚠",""))</f>
        <v/>
      </c>
      <c r="I10" s="118"/>
    </row>
    <row r="11" customFormat="false" ht="16.5" hidden="false" customHeight="true" outlineLevel="0" collapsed="false">
      <c r="A11" s="81" t="n">
        <v>2</v>
      </c>
      <c r="B11" s="119" t="n">
        <f aca="false">AB201</f>
        <v>46144</v>
      </c>
      <c r="C11" s="120" t="n">
        <f aca="false">AD201</f>
        <v>0</v>
      </c>
      <c r="D11" s="121" t="n">
        <f aca="false">AE201</f>
        <v>0</v>
      </c>
      <c r="E11" s="122" t="n">
        <f aca="false">AF201</f>
        <v>1309.17</v>
      </c>
      <c r="F11" s="54" t="n">
        <f aca="false">AG201</f>
        <v>-1309.17</v>
      </c>
      <c r="G11" s="123" t="n">
        <f aca="false">AH201</f>
        <v>4760.05</v>
      </c>
      <c r="H11" s="124" t="str">
        <f aca="false">IF(G11&lt;0,"🚨",IF(G11&lt;500,"⚠",""))</f>
        <v/>
      </c>
      <c r="I11" s="118"/>
    </row>
    <row r="12" customFormat="false" ht="16.5" hidden="false" customHeight="true" outlineLevel="0" collapsed="false">
      <c r="A12" s="71" t="n">
        <v>3</v>
      </c>
      <c r="B12" s="111" t="n">
        <f aca="false">AB202</f>
        <v>46145</v>
      </c>
      <c r="C12" s="112" t="n">
        <f aca="false">AD202</f>
        <v>0</v>
      </c>
      <c r="D12" s="113" t="n">
        <f aca="false">AE202</f>
        <v>927.53</v>
      </c>
      <c r="E12" s="114" t="n">
        <f aca="false">AF202</f>
        <v>0</v>
      </c>
      <c r="F12" s="115" t="n">
        <f aca="false">AG202</f>
        <v>-927.53</v>
      </c>
      <c r="G12" s="116" t="n">
        <f aca="false">AH202</f>
        <v>3832.52</v>
      </c>
      <c r="H12" s="117" t="str">
        <f aca="false">IF(G12&lt;0,"🚨",IF(G12&lt;500,"⚠",""))</f>
        <v/>
      </c>
      <c r="I12" s="118"/>
    </row>
    <row r="13" customFormat="false" ht="16.5" hidden="false" customHeight="true" outlineLevel="0" collapsed="false">
      <c r="A13" s="81" t="n">
        <v>4</v>
      </c>
      <c r="B13" s="119" t="n">
        <f aca="false">AB203</f>
        <v>46146</v>
      </c>
      <c r="C13" s="120" t="n">
        <f aca="false">AD203</f>
        <v>0</v>
      </c>
      <c r="D13" s="121" t="n">
        <f aca="false">AE203</f>
        <v>0</v>
      </c>
      <c r="E13" s="122" t="n">
        <f aca="false">AF203</f>
        <v>0</v>
      </c>
      <c r="F13" s="54" t="n">
        <f aca="false">AG203</f>
        <v>0</v>
      </c>
      <c r="G13" s="123" t="n">
        <f aca="false">AH203</f>
        <v>3832.52</v>
      </c>
      <c r="H13" s="124" t="str">
        <f aca="false">IF(G13&lt;0,"🚨",IF(G13&lt;500,"⚠",""))</f>
        <v/>
      </c>
      <c r="I13" s="118"/>
    </row>
    <row r="14" customFormat="false" ht="16.5" hidden="false" customHeight="true" outlineLevel="0" collapsed="false">
      <c r="A14" s="71" t="n">
        <v>5</v>
      </c>
      <c r="B14" s="111" t="n">
        <f aca="false">AB204</f>
        <v>46147</v>
      </c>
      <c r="C14" s="112" t="n">
        <f aca="false">AD204</f>
        <v>0</v>
      </c>
      <c r="D14" s="113" t="n">
        <f aca="false">AE204</f>
        <v>51.01</v>
      </c>
      <c r="E14" s="114" t="n">
        <f aca="false">AF204</f>
        <v>0</v>
      </c>
      <c r="F14" s="115" t="n">
        <f aca="false">AG204</f>
        <v>-51.01</v>
      </c>
      <c r="G14" s="116" t="n">
        <f aca="false">AH204</f>
        <v>3781.51</v>
      </c>
      <c r="H14" s="117" t="str">
        <f aca="false">IF(G14&lt;0,"🚨",IF(G14&lt;500,"⚠",""))</f>
        <v/>
      </c>
      <c r="I14" s="118"/>
    </row>
    <row r="15" customFormat="false" ht="16.5" hidden="false" customHeight="true" outlineLevel="0" collapsed="false">
      <c r="A15" s="81" t="n">
        <v>6</v>
      </c>
      <c r="B15" s="119" t="n">
        <f aca="false">AB205</f>
        <v>46148</v>
      </c>
      <c r="C15" s="120" t="n">
        <f aca="false">AD205</f>
        <v>0</v>
      </c>
      <c r="D15" s="121" t="n">
        <f aca="false">AE205</f>
        <v>651.55</v>
      </c>
      <c r="E15" s="122" t="n">
        <f aca="false">AF205</f>
        <v>259.86</v>
      </c>
      <c r="F15" s="54" t="n">
        <f aca="false">AG205</f>
        <v>-911.41</v>
      </c>
      <c r="G15" s="123" t="n">
        <f aca="false">AH205</f>
        <v>2870.1</v>
      </c>
      <c r="H15" s="124" t="str">
        <f aca="false">IF(G15&lt;0,"🚨",IF(G15&lt;500,"⚠",""))</f>
        <v/>
      </c>
      <c r="I15" s="118"/>
    </row>
    <row r="16" customFormat="false" ht="16.5" hidden="false" customHeight="true" outlineLevel="0" collapsed="false">
      <c r="A16" s="71" t="n">
        <v>7</v>
      </c>
      <c r="B16" s="111" t="n">
        <f aca="false">AB206</f>
        <v>46149</v>
      </c>
      <c r="C16" s="112" t="n">
        <f aca="false">AD206</f>
        <v>2274.42</v>
      </c>
      <c r="D16" s="113" t="n">
        <f aca="false">AE206</f>
        <v>672.8</v>
      </c>
      <c r="E16" s="114" t="n">
        <f aca="false">AF206</f>
        <v>8.25</v>
      </c>
      <c r="F16" s="115" t="n">
        <f aca="false">AG206</f>
        <v>1593.37</v>
      </c>
      <c r="G16" s="116" t="n">
        <f aca="false">AH206</f>
        <v>4463.47</v>
      </c>
      <c r="H16" s="117" t="str">
        <f aca="false">IF(G16&lt;0,"🚨",IF(G16&lt;500,"⚠",""))</f>
        <v/>
      </c>
      <c r="I16" s="118"/>
    </row>
    <row r="17" customFormat="false" ht="16.5" hidden="false" customHeight="true" outlineLevel="0" collapsed="false">
      <c r="A17" s="81" t="n">
        <v>8</v>
      </c>
      <c r="B17" s="119" t="n">
        <f aca="false">AB207</f>
        <v>46150</v>
      </c>
      <c r="C17" s="120" t="n">
        <f aca="false">AD207</f>
        <v>0</v>
      </c>
      <c r="D17" s="121" t="n">
        <f aca="false">AE207</f>
        <v>513.85</v>
      </c>
      <c r="E17" s="122" t="n">
        <f aca="false">AF207</f>
        <v>0</v>
      </c>
      <c r="F17" s="54" t="n">
        <f aca="false">AG207</f>
        <v>-513.85</v>
      </c>
      <c r="G17" s="123" t="n">
        <f aca="false">AH207</f>
        <v>3949.62</v>
      </c>
      <c r="H17" s="124" t="str">
        <f aca="false">IF(G17&lt;0,"🚨",IF(G17&lt;500,"⚠",""))</f>
        <v/>
      </c>
      <c r="I17" s="118"/>
    </row>
    <row r="18" customFormat="false" ht="16.5" hidden="false" customHeight="true" outlineLevel="0" collapsed="false">
      <c r="A18" s="71" t="n">
        <v>9</v>
      </c>
      <c r="B18" s="111" t="n">
        <f aca="false">AB208</f>
        <v>46151</v>
      </c>
      <c r="C18" s="112" t="n">
        <f aca="false">AD208</f>
        <v>0</v>
      </c>
      <c r="D18" s="113" t="n">
        <f aca="false">AE208</f>
        <v>0</v>
      </c>
      <c r="E18" s="114" t="n">
        <f aca="false">AF208</f>
        <v>162</v>
      </c>
      <c r="F18" s="115" t="n">
        <f aca="false">AG208</f>
        <v>-162</v>
      </c>
      <c r="G18" s="116" t="n">
        <f aca="false">AH208</f>
        <v>3787.62</v>
      </c>
      <c r="H18" s="117" t="str">
        <f aca="false">IF(G18&lt;0,"🚨",IF(G18&lt;500,"⚠",""))</f>
        <v/>
      </c>
      <c r="I18" s="118"/>
    </row>
    <row r="19" customFormat="false" ht="16.5" hidden="false" customHeight="true" outlineLevel="0" collapsed="false">
      <c r="A19" s="81" t="n">
        <v>10</v>
      </c>
      <c r="B19" s="119" t="n">
        <f aca="false">AB209</f>
        <v>46152</v>
      </c>
      <c r="C19" s="120" t="n">
        <f aca="false">AD209</f>
        <v>0</v>
      </c>
      <c r="D19" s="121" t="n">
        <f aca="false">AE209</f>
        <v>340.22</v>
      </c>
      <c r="E19" s="122" t="n">
        <f aca="false">AF209</f>
        <v>72.54</v>
      </c>
      <c r="F19" s="54" t="n">
        <f aca="false">AG209</f>
        <v>-412.76</v>
      </c>
      <c r="G19" s="123" t="n">
        <f aca="false">AH209</f>
        <v>3374.86</v>
      </c>
      <c r="H19" s="124" t="str">
        <f aca="false">IF(G19&lt;0,"🚨",IF(G19&lt;500,"⚠",""))</f>
        <v/>
      </c>
      <c r="I19" s="118"/>
    </row>
    <row r="20" customFormat="false" ht="16.5" hidden="false" customHeight="true" outlineLevel="0" collapsed="false">
      <c r="A20" s="71" t="n">
        <v>11</v>
      </c>
      <c r="B20" s="111" t="n">
        <f aca="false">AB210</f>
        <v>46153</v>
      </c>
      <c r="C20" s="112" t="n">
        <f aca="false">AD210</f>
        <v>0</v>
      </c>
      <c r="D20" s="113" t="n">
        <f aca="false">AE210</f>
        <v>0</v>
      </c>
      <c r="E20" s="114" t="n">
        <f aca="false">AF210</f>
        <v>0</v>
      </c>
      <c r="F20" s="115" t="n">
        <f aca="false">AG210</f>
        <v>0</v>
      </c>
      <c r="G20" s="116" t="n">
        <f aca="false">AH210</f>
        <v>3374.86</v>
      </c>
      <c r="H20" s="117" t="str">
        <f aca="false">IF(G20&lt;0,"🚨",IF(G20&lt;500,"⚠",""))</f>
        <v/>
      </c>
      <c r="I20" s="118"/>
    </row>
    <row r="21" customFormat="false" ht="16.5" hidden="false" customHeight="true" outlineLevel="0" collapsed="false">
      <c r="A21" s="81" t="n">
        <v>12</v>
      </c>
      <c r="B21" s="119" t="n">
        <f aca="false">AB211</f>
        <v>46154</v>
      </c>
      <c r="C21" s="120" t="n">
        <f aca="false">AD211</f>
        <v>0</v>
      </c>
      <c r="D21" s="121" t="n">
        <f aca="false">AE211</f>
        <v>167.68</v>
      </c>
      <c r="E21" s="122" t="n">
        <f aca="false">AF211</f>
        <v>0</v>
      </c>
      <c r="F21" s="54" t="n">
        <f aca="false">AG211</f>
        <v>-167.68</v>
      </c>
      <c r="G21" s="123" t="n">
        <f aca="false">AH211</f>
        <v>3207.18</v>
      </c>
      <c r="H21" s="124" t="str">
        <f aca="false">IF(G21&lt;0,"🚨",IF(G21&lt;500,"⚠",""))</f>
        <v/>
      </c>
      <c r="I21" s="118"/>
    </row>
    <row r="22" customFormat="false" ht="16.5" hidden="false" customHeight="true" outlineLevel="0" collapsed="false">
      <c r="A22" s="71" t="n">
        <v>13</v>
      </c>
      <c r="B22" s="111" t="n">
        <f aca="false">AB212</f>
        <v>46155</v>
      </c>
      <c r="C22" s="112" t="n">
        <f aca="false">AD212</f>
        <v>0</v>
      </c>
      <c r="D22" s="113" t="n">
        <f aca="false">AE212</f>
        <v>0</v>
      </c>
      <c r="E22" s="114" t="n">
        <f aca="false">AF212</f>
        <v>80</v>
      </c>
      <c r="F22" s="115" t="n">
        <f aca="false">AG212</f>
        <v>-80</v>
      </c>
      <c r="G22" s="116" t="n">
        <f aca="false">AH212</f>
        <v>3127.18</v>
      </c>
      <c r="H22" s="117" t="str">
        <f aca="false">IF(G22&lt;0,"🚨",IF(G22&lt;500,"⚠",""))</f>
        <v/>
      </c>
      <c r="I22" s="118"/>
    </row>
    <row r="23" customFormat="false" ht="16.5" hidden="false" customHeight="true" outlineLevel="0" collapsed="false">
      <c r="A23" s="81" t="n">
        <v>14</v>
      </c>
      <c r="B23" s="119" t="n">
        <f aca="false">AB213</f>
        <v>46156</v>
      </c>
      <c r="C23" s="120" t="n">
        <f aca="false">AD213</f>
        <v>0</v>
      </c>
      <c r="D23" s="121" t="n">
        <f aca="false">AE213</f>
        <v>0</v>
      </c>
      <c r="E23" s="122" t="n">
        <f aca="false">AF213</f>
        <v>95.51</v>
      </c>
      <c r="F23" s="54" t="n">
        <f aca="false">AG213</f>
        <v>-95.51</v>
      </c>
      <c r="G23" s="123" t="n">
        <f aca="false">AH213</f>
        <v>3031.67</v>
      </c>
      <c r="H23" s="124" t="str">
        <f aca="false">IF(G23&lt;0,"🚨",IF(G23&lt;500,"⚠",""))</f>
        <v/>
      </c>
      <c r="I23" s="118"/>
    </row>
    <row r="24" customFormat="false" ht="16.5" hidden="false" customHeight="true" outlineLevel="0" collapsed="false">
      <c r="A24" s="71" t="n">
        <v>15</v>
      </c>
      <c r="B24" s="111" t="n">
        <f aca="false">AB214</f>
        <v>46157</v>
      </c>
      <c r="C24" s="112" t="n">
        <f aca="false">AD214</f>
        <v>3819.79</v>
      </c>
      <c r="D24" s="113" t="n">
        <f aca="false">AE214</f>
        <v>3450.57</v>
      </c>
      <c r="E24" s="114" t="n">
        <f aca="false">AF214</f>
        <v>136.75</v>
      </c>
      <c r="F24" s="115" t="n">
        <f aca="false">AG214</f>
        <v>232.47</v>
      </c>
      <c r="G24" s="116" t="n">
        <f aca="false">AH214</f>
        <v>3264.14</v>
      </c>
      <c r="H24" s="117" t="str">
        <f aca="false">IF(G24&lt;0,"🚨",IF(G24&lt;500,"⚠",""))</f>
        <v/>
      </c>
      <c r="I24" s="118"/>
    </row>
    <row r="25" customFormat="false" ht="16.5" hidden="false" customHeight="true" outlineLevel="0" collapsed="false">
      <c r="A25" s="81" t="n">
        <v>16</v>
      </c>
      <c r="B25" s="119" t="n">
        <f aca="false">AB215</f>
        <v>46158</v>
      </c>
      <c r="C25" s="120" t="n">
        <f aca="false">AD215</f>
        <v>0</v>
      </c>
      <c r="D25" s="121" t="n">
        <f aca="false">AE215</f>
        <v>342</v>
      </c>
      <c r="E25" s="122" t="n">
        <f aca="false">AF215</f>
        <v>143</v>
      </c>
      <c r="F25" s="54" t="n">
        <f aca="false">AG215</f>
        <v>-485</v>
      </c>
      <c r="G25" s="123" t="n">
        <f aca="false">AH215</f>
        <v>2779.14</v>
      </c>
      <c r="H25" s="124" t="str">
        <f aca="false">IF(G25&lt;0,"🚨",IF(G25&lt;500,"⚠",""))</f>
        <v/>
      </c>
      <c r="I25" s="118"/>
    </row>
    <row r="26" customFormat="false" ht="16.5" hidden="false" customHeight="true" outlineLevel="0" collapsed="false">
      <c r="A26" s="71" t="n">
        <v>17</v>
      </c>
      <c r="B26" s="111" t="n">
        <f aca="false">AB216</f>
        <v>46159</v>
      </c>
      <c r="C26" s="112" t="n">
        <f aca="false">AD216</f>
        <v>0</v>
      </c>
      <c r="D26" s="113" t="n">
        <f aca="false">AE216</f>
        <v>0</v>
      </c>
      <c r="E26" s="114" t="n">
        <f aca="false">AF216</f>
        <v>0</v>
      </c>
      <c r="F26" s="115" t="n">
        <f aca="false">AG216</f>
        <v>0</v>
      </c>
      <c r="G26" s="116" t="n">
        <f aca="false">AH216</f>
        <v>2779.14</v>
      </c>
      <c r="H26" s="117" t="str">
        <f aca="false">IF(G26&lt;0,"🚨",IF(G26&lt;500,"⚠",""))</f>
        <v/>
      </c>
      <c r="I26" s="118"/>
    </row>
    <row r="27" customFormat="false" ht="16.5" hidden="false" customHeight="true" outlineLevel="0" collapsed="false">
      <c r="A27" s="81" t="n">
        <v>18</v>
      </c>
      <c r="B27" s="119" t="n">
        <f aca="false">AB217</f>
        <v>46160</v>
      </c>
      <c r="C27" s="120" t="n">
        <f aca="false">AD217</f>
        <v>0</v>
      </c>
      <c r="D27" s="121" t="n">
        <f aca="false">AE217</f>
        <v>0</v>
      </c>
      <c r="E27" s="122" t="n">
        <f aca="false">AF217</f>
        <v>0</v>
      </c>
      <c r="F27" s="54" t="n">
        <f aca="false">AG217</f>
        <v>0</v>
      </c>
      <c r="G27" s="123" t="n">
        <f aca="false">AH217</f>
        <v>2779.14</v>
      </c>
      <c r="H27" s="124" t="str">
        <f aca="false">IF(G27&lt;0,"🚨",IF(G27&lt;500,"⚠",""))</f>
        <v/>
      </c>
      <c r="I27" s="118"/>
    </row>
    <row r="28" customFormat="false" ht="16.5" hidden="false" customHeight="true" outlineLevel="0" collapsed="false">
      <c r="A28" s="71" t="n">
        <v>19</v>
      </c>
      <c r="B28" s="111" t="n">
        <f aca="false">AB218</f>
        <v>46161</v>
      </c>
      <c r="C28" s="112" t="n">
        <f aca="false">AD218</f>
        <v>0</v>
      </c>
      <c r="D28" s="113" t="n">
        <f aca="false">AE218</f>
        <v>0</v>
      </c>
      <c r="E28" s="114" t="n">
        <f aca="false">AF218</f>
        <v>0</v>
      </c>
      <c r="F28" s="115" t="n">
        <f aca="false">AG218</f>
        <v>0</v>
      </c>
      <c r="G28" s="116" t="n">
        <f aca="false">AH218</f>
        <v>2779.14</v>
      </c>
      <c r="H28" s="117" t="str">
        <f aca="false">IF(G28&lt;0,"🚨",IF(G28&lt;500,"⚠",""))</f>
        <v/>
      </c>
      <c r="I28" s="118"/>
    </row>
    <row r="29" customFormat="false" ht="16.5" hidden="false" customHeight="true" outlineLevel="0" collapsed="false">
      <c r="A29" s="81" t="n">
        <v>20</v>
      </c>
      <c r="B29" s="119" t="n">
        <f aca="false">AB219</f>
        <v>46162</v>
      </c>
      <c r="C29" s="120" t="n">
        <f aca="false">AD219</f>
        <v>0</v>
      </c>
      <c r="D29" s="121" t="n">
        <f aca="false">AE219</f>
        <v>0</v>
      </c>
      <c r="E29" s="122" t="n">
        <f aca="false">AF219</f>
        <v>207.23</v>
      </c>
      <c r="F29" s="54" t="n">
        <f aca="false">AG219</f>
        <v>-207.23</v>
      </c>
      <c r="G29" s="123" t="n">
        <f aca="false">AH219</f>
        <v>2571.91</v>
      </c>
      <c r="H29" s="124" t="str">
        <f aca="false">IF(G29&lt;0,"🚨",IF(G29&lt;500,"⚠",""))</f>
        <v/>
      </c>
      <c r="I29" s="118"/>
    </row>
    <row r="30" customFormat="false" ht="16.5" hidden="false" customHeight="true" outlineLevel="0" collapsed="false">
      <c r="A30" s="71" t="n">
        <v>21</v>
      </c>
      <c r="B30" s="111" t="n">
        <f aca="false">AB220</f>
        <v>46163</v>
      </c>
      <c r="C30" s="112" t="n">
        <f aca="false">AD220</f>
        <v>2274.42</v>
      </c>
      <c r="D30" s="113" t="n">
        <f aca="false">AE220</f>
        <v>241</v>
      </c>
      <c r="E30" s="114" t="n">
        <f aca="false">AF220</f>
        <v>80</v>
      </c>
      <c r="F30" s="115" t="n">
        <f aca="false">AG220</f>
        <v>1953.42</v>
      </c>
      <c r="G30" s="116" t="n">
        <f aca="false">AH220</f>
        <v>4525.33</v>
      </c>
      <c r="H30" s="117" t="str">
        <f aca="false">IF(G30&lt;0,"🚨",IF(G30&lt;500,"⚠",""))</f>
        <v/>
      </c>
      <c r="I30" s="118"/>
    </row>
    <row r="31" customFormat="false" ht="16.5" hidden="false" customHeight="true" outlineLevel="0" collapsed="false">
      <c r="A31" s="81" t="n">
        <v>22</v>
      </c>
      <c r="B31" s="119" t="n">
        <f aca="false">AB221</f>
        <v>46164</v>
      </c>
      <c r="C31" s="120" t="n">
        <f aca="false">AD221</f>
        <v>0</v>
      </c>
      <c r="D31" s="121" t="n">
        <f aca="false">AE221</f>
        <v>460</v>
      </c>
      <c r="E31" s="122" t="n">
        <f aca="false">AF221</f>
        <v>0</v>
      </c>
      <c r="F31" s="54" t="n">
        <f aca="false">AG221</f>
        <v>-460</v>
      </c>
      <c r="G31" s="123" t="n">
        <f aca="false">AH221</f>
        <v>4065.33</v>
      </c>
      <c r="H31" s="124" t="str">
        <f aca="false">IF(G31&lt;0,"🚨",IF(G31&lt;500,"⚠",""))</f>
        <v/>
      </c>
      <c r="I31" s="118"/>
    </row>
    <row r="32" customFormat="false" ht="16.5" hidden="false" customHeight="true" outlineLevel="0" collapsed="false">
      <c r="A32" s="71" t="n">
        <v>23</v>
      </c>
      <c r="B32" s="111" t="n">
        <f aca="false">AB222</f>
        <v>46165</v>
      </c>
      <c r="C32" s="112" t="n">
        <f aca="false">AD222</f>
        <v>0</v>
      </c>
      <c r="D32" s="113" t="n">
        <f aca="false">AE222</f>
        <v>0</v>
      </c>
      <c r="E32" s="114" t="n">
        <f aca="false">AF222</f>
        <v>0</v>
      </c>
      <c r="F32" s="115" t="n">
        <f aca="false">AG222</f>
        <v>0</v>
      </c>
      <c r="G32" s="116" t="n">
        <f aca="false">AH222</f>
        <v>4065.33</v>
      </c>
      <c r="H32" s="117" t="str">
        <f aca="false">IF(G32&lt;0,"🚨",IF(G32&lt;500,"⚠",""))</f>
        <v/>
      </c>
      <c r="I32" s="118"/>
    </row>
    <row r="33" customFormat="false" ht="16.5" hidden="false" customHeight="true" outlineLevel="0" collapsed="false">
      <c r="A33" s="81" t="n">
        <v>24</v>
      </c>
      <c r="B33" s="119" t="n">
        <f aca="false">AB223</f>
        <v>46166</v>
      </c>
      <c r="C33" s="120" t="n">
        <f aca="false">AD223</f>
        <v>0</v>
      </c>
      <c r="D33" s="121" t="n">
        <f aca="false">AE223</f>
        <v>101.02</v>
      </c>
      <c r="E33" s="122" t="n">
        <f aca="false">AF223</f>
        <v>0</v>
      </c>
      <c r="F33" s="54" t="n">
        <f aca="false">AG223</f>
        <v>-101.02</v>
      </c>
      <c r="G33" s="123" t="n">
        <f aca="false">AH223</f>
        <v>3964.31</v>
      </c>
      <c r="H33" s="124" t="str">
        <f aca="false">IF(G33&lt;0,"🚨",IF(G33&lt;500,"⚠",""))</f>
        <v/>
      </c>
      <c r="I33" s="118"/>
    </row>
    <row r="34" customFormat="false" ht="16.5" hidden="false" customHeight="true" outlineLevel="0" collapsed="false">
      <c r="A34" s="71" t="n">
        <v>25</v>
      </c>
      <c r="B34" s="111" t="n">
        <f aca="false">AB224</f>
        <v>46167</v>
      </c>
      <c r="C34" s="112" t="n">
        <f aca="false">AD224</f>
        <v>0</v>
      </c>
      <c r="D34" s="113" t="n">
        <f aca="false">AE224</f>
        <v>0</v>
      </c>
      <c r="E34" s="114" t="n">
        <f aca="false">AF224</f>
        <v>0</v>
      </c>
      <c r="F34" s="115" t="n">
        <f aca="false">AG224</f>
        <v>0</v>
      </c>
      <c r="G34" s="116" t="n">
        <f aca="false">AH224</f>
        <v>3964.31</v>
      </c>
      <c r="H34" s="117" t="str">
        <f aca="false">IF(G34&lt;0,"🚨",IF(G34&lt;500,"⚠",""))</f>
        <v/>
      </c>
      <c r="I34" s="118"/>
    </row>
    <row r="35" customFormat="false" ht="16.5" hidden="false" customHeight="true" outlineLevel="0" collapsed="false">
      <c r="A35" s="81" t="n">
        <v>26</v>
      </c>
      <c r="B35" s="119" t="n">
        <f aca="false">AB225</f>
        <v>46168</v>
      </c>
      <c r="C35" s="120" t="n">
        <f aca="false">AD225</f>
        <v>0</v>
      </c>
      <c r="D35" s="121" t="n">
        <f aca="false">AE225</f>
        <v>0</v>
      </c>
      <c r="E35" s="122" t="n">
        <f aca="false">AF225</f>
        <v>0</v>
      </c>
      <c r="F35" s="54" t="n">
        <f aca="false">AG225</f>
        <v>0</v>
      </c>
      <c r="G35" s="123" t="n">
        <f aca="false">AH225</f>
        <v>3964.31</v>
      </c>
      <c r="H35" s="124" t="str">
        <f aca="false">IF(G35&lt;0,"🚨",IF(G35&lt;500,"⚠",""))</f>
        <v/>
      </c>
      <c r="I35" s="118"/>
    </row>
    <row r="36" customFormat="false" ht="16.5" hidden="false" customHeight="true" outlineLevel="0" collapsed="false">
      <c r="A36" s="71" t="n">
        <v>27</v>
      </c>
      <c r="B36" s="111" t="n">
        <f aca="false">AB226</f>
        <v>46169</v>
      </c>
      <c r="C36" s="112" t="n">
        <f aca="false">AD226</f>
        <v>0</v>
      </c>
      <c r="D36" s="113" t="n">
        <f aca="false">AE226</f>
        <v>0</v>
      </c>
      <c r="E36" s="114" t="n">
        <f aca="false">AF226</f>
        <v>0</v>
      </c>
      <c r="F36" s="115" t="n">
        <f aca="false">AG226</f>
        <v>0</v>
      </c>
      <c r="G36" s="116" t="n">
        <f aca="false">AH226</f>
        <v>3964.31</v>
      </c>
      <c r="H36" s="117" t="str">
        <f aca="false">IF(G36&lt;0,"🚨",IF(G36&lt;500,"⚠",""))</f>
        <v/>
      </c>
      <c r="I36" s="118"/>
    </row>
    <row r="37" customFormat="false" ht="16.5" hidden="false" customHeight="true" outlineLevel="0" collapsed="false">
      <c r="A37" s="81" t="n">
        <v>28</v>
      </c>
      <c r="B37" s="119" t="n">
        <f aca="false">AB227</f>
        <v>46170</v>
      </c>
      <c r="C37" s="120" t="n">
        <f aca="false">AD227</f>
        <v>0</v>
      </c>
      <c r="D37" s="121" t="n">
        <f aca="false">AE227</f>
        <v>0</v>
      </c>
      <c r="E37" s="122" t="n">
        <f aca="false">AF227</f>
        <v>0</v>
      </c>
      <c r="F37" s="54" t="n">
        <f aca="false">AG227</f>
        <v>0</v>
      </c>
      <c r="G37" s="123" t="n">
        <f aca="false">AH227</f>
        <v>3964.31</v>
      </c>
      <c r="H37" s="124" t="str">
        <f aca="false">IF(G37&lt;0,"🚨",IF(G37&lt;500,"⚠",""))</f>
        <v/>
      </c>
      <c r="I37" s="118"/>
    </row>
    <row r="38" customFormat="false" ht="16.5" hidden="false" customHeight="true" outlineLevel="0" collapsed="false">
      <c r="A38" s="71" t="n">
        <v>29</v>
      </c>
      <c r="B38" s="111" t="n">
        <f aca="false">AB228</f>
        <v>46171</v>
      </c>
      <c r="C38" s="112" t="n">
        <f aca="false">AD228</f>
        <v>3819.79</v>
      </c>
      <c r="D38" s="113" t="n">
        <f aca="false">AE228</f>
        <v>697.58</v>
      </c>
      <c r="E38" s="114" t="n">
        <f aca="false">AF228</f>
        <v>206.43</v>
      </c>
      <c r="F38" s="115" t="n">
        <f aca="false">AG228</f>
        <v>2915.78</v>
      </c>
      <c r="G38" s="116" t="n">
        <f aca="false">AH228</f>
        <v>6880.09</v>
      </c>
      <c r="H38" s="117" t="str">
        <f aca="false">IF(G38&lt;0,"🚨",IF(G38&lt;500,"⚠",""))</f>
        <v/>
      </c>
      <c r="I38" s="118"/>
    </row>
    <row r="39" customFormat="false" ht="16.5" hidden="false" customHeight="true" outlineLevel="0" collapsed="false">
      <c r="A39" s="81" t="n">
        <v>30</v>
      </c>
      <c r="B39" s="119" t="n">
        <f aca="false">AB229</f>
        <v>46172</v>
      </c>
      <c r="C39" s="120" t="n">
        <f aca="false">AD229</f>
        <v>0</v>
      </c>
      <c r="D39" s="121" t="n">
        <f aca="false">AE229</f>
        <v>0</v>
      </c>
      <c r="E39" s="122" t="n">
        <f aca="false">AF229</f>
        <v>0</v>
      </c>
      <c r="F39" s="54" t="n">
        <f aca="false">AG229</f>
        <v>0</v>
      </c>
      <c r="G39" s="123" t="n">
        <f aca="false">AH229</f>
        <v>6880.09</v>
      </c>
      <c r="H39" s="124" t="str">
        <f aca="false">IF(G39&lt;0,"🚨",IF(G39&lt;500,"⚠",""))</f>
        <v/>
      </c>
      <c r="I39" s="118"/>
    </row>
    <row r="40" customFormat="false" ht="16.5" hidden="false" customHeight="true" outlineLevel="0" collapsed="false">
      <c r="A40" s="71" t="n">
        <v>31</v>
      </c>
      <c r="B40" s="111" t="n">
        <f aca="false">AB230</f>
        <v>46173</v>
      </c>
      <c r="C40" s="112" t="n">
        <f aca="false">AD230</f>
        <v>0</v>
      </c>
      <c r="D40" s="113" t="n">
        <f aca="false">AE230</f>
        <v>0</v>
      </c>
      <c r="E40" s="114" t="n">
        <f aca="false">AF230</f>
        <v>0</v>
      </c>
      <c r="F40" s="115" t="n">
        <f aca="false">AG230</f>
        <v>0</v>
      </c>
      <c r="G40" s="116" t="n">
        <f aca="false">AH230</f>
        <v>6880.09</v>
      </c>
      <c r="H40" s="117" t="str">
        <f aca="false">IF(G40&lt;0,"🚨",IF(G40&lt;500,"⚠",""))</f>
        <v/>
      </c>
      <c r="I40" s="118"/>
    </row>
    <row r="41" customFormat="false" ht="16.5" hidden="false" customHeight="true" outlineLevel="0" collapsed="false">
      <c r="A41" s="81" t="n">
        <v>32</v>
      </c>
      <c r="B41" s="119" t="n">
        <f aca="false">AB231</f>
        <v>46174</v>
      </c>
      <c r="C41" s="120" t="n">
        <f aca="false">AD231</f>
        <v>0</v>
      </c>
      <c r="D41" s="121" t="n">
        <f aca="false">AE231</f>
        <v>141.16</v>
      </c>
      <c r="E41" s="122" t="n">
        <f aca="false">AF231</f>
        <v>557.5</v>
      </c>
      <c r="F41" s="54" t="n">
        <f aca="false">AG231</f>
        <v>-698.66</v>
      </c>
      <c r="G41" s="123" t="n">
        <f aca="false">AH231</f>
        <v>6181.43</v>
      </c>
      <c r="H41" s="124" t="str">
        <f aca="false">IF(G41&lt;0,"🚨",IF(G41&lt;500,"⚠",""))</f>
        <v/>
      </c>
      <c r="I41" s="118"/>
    </row>
    <row r="42" customFormat="false" ht="16.5" hidden="false" customHeight="true" outlineLevel="0" collapsed="false">
      <c r="A42" s="71" t="n">
        <v>33</v>
      </c>
      <c r="B42" s="111" t="n">
        <f aca="false">AB232</f>
        <v>46175</v>
      </c>
      <c r="C42" s="112" t="n">
        <f aca="false">AD232</f>
        <v>0</v>
      </c>
      <c r="D42" s="113" t="n">
        <f aca="false">AE232</f>
        <v>0</v>
      </c>
      <c r="E42" s="114" t="n">
        <f aca="false">AF232</f>
        <v>1309.17</v>
      </c>
      <c r="F42" s="115" t="n">
        <f aca="false">AG232</f>
        <v>-1309.17</v>
      </c>
      <c r="G42" s="116" t="n">
        <f aca="false">AH232</f>
        <v>4872.26</v>
      </c>
      <c r="H42" s="117" t="str">
        <f aca="false">IF(G42&lt;0,"🚨",IF(G42&lt;500,"⚠",""))</f>
        <v/>
      </c>
      <c r="I42" s="118"/>
    </row>
    <row r="43" customFormat="false" ht="16.5" hidden="false" customHeight="true" outlineLevel="0" collapsed="false">
      <c r="A43" s="81" t="n">
        <v>34</v>
      </c>
      <c r="B43" s="119" t="n">
        <f aca="false">AB233</f>
        <v>46176</v>
      </c>
      <c r="C43" s="120" t="n">
        <f aca="false">AD233</f>
        <v>0</v>
      </c>
      <c r="D43" s="121" t="n">
        <f aca="false">AE233</f>
        <v>927.53</v>
      </c>
      <c r="E43" s="122" t="n">
        <f aca="false">AF233</f>
        <v>0</v>
      </c>
      <c r="F43" s="54" t="n">
        <f aca="false">AG233</f>
        <v>-927.53</v>
      </c>
      <c r="G43" s="123" t="n">
        <f aca="false">AH233</f>
        <v>3944.73</v>
      </c>
      <c r="H43" s="124" t="str">
        <f aca="false">IF(G43&lt;0,"🚨",IF(G43&lt;500,"⚠",""))</f>
        <v/>
      </c>
      <c r="I43" s="118"/>
    </row>
    <row r="44" customFormat="false" ht="16.5" hidden="false" customHeight="true" outlineLevel="0" collapsed="false">
      <c r="A44" s="71" t="n">
        <v>35</v>
      </c>
      <c r="B44" s="111" t="n">
        <f aca="false">AB234</f>
        <v>46177</v>
      </c>
      <c r="C44" s="112" t="n">
        <f aca="false">AD234</f>
        <v>2274.42</v>
      </c>
      <c r="D44" s="113" t="n">
        <f aca="false">AE234</f>
        <v>0</v>
      </c>
      <c r="E44" s="114" t="n">
        <f aca="false">AF234</f>
        <v>0</v>
      </c>
      <c r="F44" s="115" t="n">
        <f aca="false">AG234</f>
        <v>2274.42</v>
      </c>
      <c r="G44" s="116" t="n">
        <f aca="false">AH234</f>
        <v>6219.15</v>
      </c>
      <c r="H44" s="117" t="str">
        <f aca="false">IF(G44&lt;0,"🚨",IF(G44&lt;500,"⚠",""))</f>
        <v/>
      </c>
      <c r="I44" s="118"/>
    </row>
    <row r="45" customFormat="false" ht="16.5" hidden="false" customHeight="true" outlineLevel="0" collapsed="false">
      <c r="A45" s="81" t="n">
        <v>36</v>
      </c>
      <c r="B45" s="119" t="n">
        <f aca="false">AB235</f>
        <v>46178</v>
      </c>
      <c r="C45" s="120" t="n">
        <f aca="false">AD235</f>
        <v>0</v>
      </c>
      <c r="D45" s="121" t="n">
        <f aca="false">AE235</f>
        <v>511.01</v>
      </c>
      <c r="E45" s="122" t="n">
        <f aca="false">AF235</f>
        <v>0</v>
      </c>
      <c r="F45" s="54" t="n">
        <f aca="false">AG235</f>
        <v>-511.01</v>
      </c>
      <c r="G45" s="123" t="n">
        <f aca="false">AH235</f>
        <v>5708.14</v>
      </c>
      <c r="H45" s="124" t="str">
        <f aca="false">IF(G45&lt;0,"🚨",IF(G45&lt;500,"⚠",""))</f>
        <v/>
      </c>
      <c r="I45" s="118"/>
    </row>
    <row r="46" customFormat="false" ht="16.5" hidden="false" customHeight="true" outlineLevel="0" collapsed="false">
      <c r="A46" s="71" t="n">
        <v>37</v>
      </c>
      <c r="B46" s="111" t="n">
        <f aca="false">AB236</f>
        <v>46179</v>
      </c>
      <c r="C46" s="112" t="n">
        <f aca="false">AD236</f>
        <v>0</v>
      </c>
      <c r="D46" s="113" t="n">
        <f aca="false">AE236</f>
        <v>651.55</v>
      </c>
      <c r="E46" s="114" t="n">
        <f aca="false">AF236</f>
        <v>259.86</v>
      </c>
      <c r="F46" s="115" t="n">
        <f aca="false">AG236</f>
        <v>-911.41</v>
      </c>
      <c r="G46" s="116" t="n">
        <f aca="false">AH236</f>
        <v>4796.73</v>
      </c>
      <c r="H46" s="117" t="str">
        <f aca="false">IF(G46&lt;0,"🚨",IF(G46&lt;500,"⚠",""))</f>
        <v/>
      </c>
      <c r="I46" s="118"/>
    </row>
    <row r="47" customFormat="false" ht="16.5" hidden="false" customHeight="true" outlineLevel="0" collapsed="false">
      <c r="A47" s="81" t="n">
        <v>38</v>
      </c>
      <c r="B47" s="119" t="n">
        <f aca="false">AB237</f>
        <v>46180</v>
      </c>
      <c r="C47" s="120" t="n">
        <f aca="false">AD237</f>
        <v>0</v>
      </c>
      <c r="D47" s="121" t="n">
        <f aca="false">AE237</f>
        <v>672.8</v>
      </c>
      <c r="E47" s="122" t="n">
        <f aca="false">AF237</f>
        <v>8.25</v>
      </c>
      <c r="F47" s="54" t="n">
        <f aca="false">AG237</f>
        <v>-681.05</v>
      </c>
      <c r="G47" s="123" t="n">
        <f aca="false">AH237</f>
        <v>4115.68</v>
      </c>
      <c r="H47" s="124" t="str">
        <f aca="false">IF(G47&lt;0,"🚨",IF(G47&lt;500,"⚠",""))</f>
        <v/>
      </c>
      <c r="I47" s="118"/>
    </row>
    <row r="48" customFormat="false" ht="16.5" hidden="false" customHeight="true" outlineLevel="0" collapsed="false">
      <c r="A48" s="71" t="n">
        <v>39</v>
      </c>
      <c r="B48" s="111" t="n">
        <f aca="false">AB238</f>
        <v>46181</v>
      </c>
      <c r="C48" s="112" t="n">
        <f aca="false">AD238</f>
        <v>0</v>
      </c>
      <c r="D48" s="113" t="n">
        <f aca="false">AE238</f>
        <v>53.85</v>
      </c>
      <c r="E48" s="114" t="n">
        <f aca="false">AF238</f>
        <v>0</v>
      </c>
      <c r="F48" s="115" t="n">
        <f aca="false">AG238</f>
        <v>-53.85</v>
      </c>
      <c r="G48" s="116" t="n">
        <f aca="false">AH238</f>
        <v>4061.83</v>
      </c>
      <c r="H48" s="117" t="str">
        <f aca="false">IF(G48&lt;0,"🚨",IF(G48&lt;500,"⚠",""))</f>
        <v/>
      </c>
      <c r="I48" s="118"/>
    </row>
    <row r="49" customFormat="false" ht="16.5" hidden="false" customHeight="true" outlineLevel="0" collapsed="false">
      <c r="A49" s="81" t="n">
        <v>40</v>
      </c>
      <c r="B49" s="119" t="n">
        <f aca="false">AB239</f>
        <v>46182</v>
      </c>
      <c r="C49" s="120" t="n">
        <f aca="false">AD239</f>
        <v>0</v>
      </c>
      <c r="D49" s="121" t="n">
        <f aca="false">AE239</f>
        <v>0</v>
      </c>
      <c r="E49" s="122" t="n">
        <f aca="false">AF239</f>
        <v>0</v>
      </c>
      <c r="F49" s="54" t="n">
        <f aca="false">AG239</f>
        <v>0</v>
      </c>
      <c r="G49" s="123" t="n">
        <f aca="false">AH239</f>
        <v>4061.83</v>
      </c>
      <c r="H49" s="124" t="str">
        <f aca="false">IF(G49&lt;0,"🚨",IF(G49&lt;500,"⚠",""))</f>
        <v/>
      </c>
      <c r="I49" s="118"/>
    </row>
    <row r="50" customFormat="false" ht="16.5" hidden="false" customHeight="true" outlineLevel="0" collapsed="false">
      <c r="A50" s="71" t="n">
        <v>41</v>
      </c>
      <c r="B50" s="111" t="n">
        <f aca="false">AB240</f>
        <v>46183</v>
      </c>
      <c r="C50" s="112" t="n">
        <f aca="false">AD240</f>
        <v>0</v>
      </c>
      <c r="D50" s="113" t="n">
        <f aca="false">AE240</f>
        <v>340.22</v>
      </c>
      <c r="E50" s="114" t="n">
        <f aca="false">AF240</f>
        <v>72.54</v>
      </c>
      <c r="F50" s="115" t="n">
        <f aca="false">AG240</f>
        <v>-412.76</v>
      </c>
      <c r="G50" s="116" t="n">
        <f aca="false">AH240</f>
        <v>3649.07</v>
      </c>
      <c r="H50" s="117" t="str">
        <f aca="false">IF(G50&lt;0,"🚨",IF(G50&lt;500,"⚠",""))</f>
        <v/>
      </c>
      <c r="I50" s="118"/>
    </row>
    <row r="51" customFormat="false" ht="16.5" hidden="false" customHeight="true" outlineLevel="0" collapsed="false">
      <c r="A51" s="81" t="n">
        <v>42</v>
      </c>
      <c r="B51" s="119" t="n">
        <f aca="false">AB241</f>
        <v>46184</v>
      </c>
      <c r="C51" s="120" t="n">
        <f aca="false">AD241</f>
        <v>0</v>
      </c>
      <c r="D51" s="121" t="n">
        <f aca="false">AE241</f>
        <v>0</v>
      </c>
      <c r="E51" s="122" t="n">
        <f aca="false">AF241</f>
        <v>0</v>
      </c>
      <c r="F51" s="54" t="n">
        <f aca="false">AG241</f>
        <v>0</v>
      </c>
      <c r="G51" s="123" t="n">
        <f aca="false">AH241</f>
        <v>3649.07</v>
      </c>
      <c r="H51" s="124" t="str">
        <f aca="false">IF(G51&lt;0,"🚨",IF(G51&lt;500,"⚠",""))</f>
        <v/>
      </c>
      <c r="I51" s="118"/>
    </row>
    <row r="52" customFormat="false" ht="16.5" hidden="false" customHeight="true" outlineLevel="0" collapsed="false">
      <c r="A52" s="71" t="n">
        <v>43</v>
      </c>
      <c r="B52" s="111" t="n">
        <f aca="false">AB242</f>
        <v>46185</v>
      </c>
      <c r="C52" s="112" t="n">
        <f aca="false">AD242</f>
        <v>3819.79</v>
      </c>
      <c r="D52" s="113" t="n">
        <f aca="false">AE242</f>
        <v>627.68</v>
      </c>
      <c r="E52" s="114" t="n">
        <f aca="false">AF242</f>
        <v>0</v>
      </c>
      <c r="F52" s="115" t="n">
        <f aca="false">AG242</f>
        <v>3192.11</v>
      </c>
      <c r="G52" s="116" t="n">
        <f aca="false">AH242</f>
        <v>6841.18</v>
      </c>
      <c r="H52" s="117" t="str">
        <f aca="false">IF(G52&lt;0,"🚨",IF(G52&lt;500,"⚠",""))</f>
        <v/>
      </c>
      <c r="I52" s="118"/>
    </row>
    <row r="53" customFormat="false" ht="16.5" hidden="false" customHeight="true" outlineLevel="0" collapsed="false">
      <c r="A53" s="81" t="n">
        <v>44</v>
      </c>
      <c r="B53" s="119" t="n">
        <f aca="false">AB243</f>
        <v>46186</v>
      </c>
      <c r="C53" s="120" t="n">
        <f aca="false">AD243</f>
        <v>0</v>
      </c>
      <c r="D53" s="121" t="n">
        <f aca="false">AE243</f>
        <v>0</v>
      </c>
      <c r="E53" s="122" t="n">
        <f aca="false">AF243</f>
        <v>80</v>
      </c>
      <c r="F53" s="54" t="n">
        <f aca="false">AG243</f>
        <v>-80</v>
      </c>
      <c r="G53" s="123" t="n">
        <f aca="false">AH243</f>
        <v>6761.18</v>
      </c>
      <c r="H53" s="124" t="str">
        <f aca="false">IF(G53&lt;0,"🚨",IF(G53&lt;500,"⚠",""))</f>
        <v/>
      </c>
      <c r="I53" s="118"/>
    </row>
    <row r="54" customFormat="false" ht="16.5" hidden="false" customHeight="true" outlineLevel="0" collapsed="false">
      <c r="A54" s="71" t="n">
        <v>45</v>
      </c>
      <c r="B54" s="111" t="n">
        <f aca="false">AB244</f>
        <v>46187</v>
      </c>
      <c r="C54" s="112" t="n">
        <f aca="false">AD244</f>
        <v>0</v>
      </c>
      <c r="D54" s="113" t="n">
        <f aca="false">AE244</f>
        <v>0</v>
      </c>
      <c r="E54" s="114" t="n">
        <f aca="false">AF244</f>
        <v>95.51</v>
      </c>
      <c r="F54" s="115" t="n">
        <f aca="false">AG244</f>
        <v>-95.51</v>
      </c>
      <c r="G54" s="116" t="n">
        <f aca="false">AH244</f>
        <v>6665.67</v>
      </c>
      <c r="H54" s="117" t="str">
        <f aca="false">IF(G54&lt;0,"🚨",IF(G54&lt;500,"⚠",""))</f>
        <v/>
      </c>
      <c r="I54" s="118"/>
    </row>
    <row r="55" customFormat="false" ht="16.5" hidden="false" customHeight="true" outlineLevel="0" collapsed="false">
      <c r="A55" s="81" t="n">
        <v>46</v>
      </c>
      <c r="B55" s="119" t="n">
        <f aca="false">AB245</f>
        <v>46188</v>
      </c>
      <c r="C55" s="120" t="n">
        <f aca="false">AD245</f>
        <v>0</v>
      </c>
      <c r="D55" s="121" t="n">
        <f aca="false">AE245</f>
        <v>2990.57</v>
      </c>
      <c r="E55" s="122" t="n">
        <f aca="false">AF245</f>
        <v>107.75</v>
      </c>
      <c r="F55" s="54" t="n">
        <f aca="false">AG245</f>
        <v>-3098.32</v>
      </c>
      <c r="G55" s="123" t="n">
        <f aca="false">AH245</f>
        <v>3567.35</v>
      </c>
      <c r="H55" s="124" t="str">
        <f aca="false">IF(G55&lt;0,"🚨",IF(G55&lt;500,"⚠",""))</f>
        <v/>
      </c>
      <c r="I55" s="118"/>
    </row>
    <row r="56" customFormat="false" ht="16.5" hidden="false" customHeight="true" outlineLevel="0" collapsed="false">
      <c r="A56" s="71" t="n">
        <v>47</v>
      </c>
      <c r="B56" s="111" t="n">
        <f aca="false">AB246</f>
        <v>46189</v>
      </c>
      <c r="C56" s="112" t="n">
        <f aca="false">AD246</f>
        <v>0</v>
      </c>
      <c r="D56" s="113" t="n">
        <f aca="false">AE246</f>
        <v>342</v>
      </c>
      <c r="E56" s="114" t="n">
        <f aca="false">AF246</f>
        <v>143</v>
      </c>
      <c r="F56" s="115" t="n">
        <f aca="false">AG246</f>
        <v>-485</v>
      </c>
      <c r="G56" s="116" t="n">
        <f aca="false">AH246</f>
        <v>3082.35</v>
      </c>
      <c r="H56" s="117" t="str">
        <f aca="false">IF(G56&lt;0,"🚨",IF(G56&lt;500,"⚠",""))</f>
        <v/>
      </c>
      <c r="I56" s="118"/>
    </row>
    <row r="57" customFormat="false" ht="16.5" hidden="false" customHeight="true" outlineLevel="0" collapsed="false">
      <c r="A57" s="81" t="n">
        <v>48</v>
      </c>
      <c r="B57" s="119" t="n">
        <f aca="false">AB247</f>
        <v>46190</v>
      </c>
      <c r="C57" s="120" t="n">
        <f aca="false">AD247</f>
        <v>0</v>
      </c>
      <c r="D57" s="121" t="n">
        <f aca="false">AE247</f>
        <v>0</v>
      </c>
      <c r="E57" s="122" t="n">
        <f aca="false">AF247</f>
        <v>0</v>
      </c>
      <c r="F57" s="54" t="n">
        <f aca="false">AG247</f>
        <v>0</v>
      </c>
      <c r="G57" s="123" t="n">
        <f aca="false">AH247</f>
        <v>3082.35</v>
      </c>
      <c r="H57" s="124" t="str">
        <f aca="false">IF(G57&lt;0,"🚨",IF(G57&lt;500,"⚠",""))</f>
        <v/>
      </c>
      <c r="I57" s="118"/>
    </row>
    <row r="58" customFormat="false" ht="16.5" hidden="false" customHeight="true" outlineLevel="0" collapsed="false">
      <c r="A58" s="71" t="n">
        <v>49</v>
      </c>
      <c r="B58" s="111" t="n">
        <f aca="false">AB248</f>
        <v>46191</v>
      </c>
      <c r="C58" s="112" t="n">
        <f aca="false">AD248</f>
        <v>2274.42</v>
      </c>
      <c r="D58" s="113" t="n">
        <f aca="false">AE248</f>
        <v>0</v>
      </c>
      <c r="E58" s="114" t="n">
        <f aca="false">AF248</f>
        <v>0</v>
      </c>
      <c r="F58" s="115" t="n">
        <f aca="false">AG248</f>
        <v>2274.42</v>
      </c>
      <c r="G58" s="116" t="n">
        <f aca="false">AH248</f>
        <v>5356.77</v>
      </c>
      <c r="H58" s="117" t="str">
        <f aca="false">IF(G58&lt;0,"🚨",IF(G58&lt;500,"⚠",""))</f>
        <v/>
      </c>
      <c r="I58" s="118"/>
    </row>
    <row r="59" customFormat="false" ht="16.5" hidden="false" customHeight="true" outlineLevel="0" collapsed="false">
      <c r="A59" s="81" t="n">
        <v>50</v>
      </c>
      <c r="B59" s="119" t="n">
        <f aca="false">AB249</f>
        <v>46192</v>
      </c>
      <c r="C59" s="120" t="n">
        <f aca="false">AD249</f>
        <v>0</v>
      </c>
      <c r="D59" s="121" t="n">
        <f aca="false">AE249</f>
        <v>460</v>
      </c>
      <c r="E59" s="122" t="n">
        <f aca="false">AF249</f>
        <v>0</v>
      </c>
      <c r="F59" s="54" t="n">
        <f aca="false">AG249</f>
        <v>-460</v>
      </c>
      <c r="G59" s="123" t="n">
        <f aca="false">AH249</f>
        <v>4896.77</v>
      </c>
      <c r="H59" s="124" t="str">
        <f aca="false">IF(G59&lt;0,"🚨",IF(G59&lt;500,"⚠",""))</f>
        <v/>
      </c>
      <c r="I59" s="118"/>
    </row>
    <row r="60" customFormat="false" ht="16.5" hidden="false" customHeight="true" outlineLevel="0" collapsed="false">
      <c r="A60" s="71" t="n">
        <v>51</v>
      </c>
      <c r="B60" s="111" t="n">
        <f aca="false">AB250</f>
        <v>46193</v>
      </c>
      <c r="C60" s="112" t="n">
        <f aca="false">AD250</f>
        <v>0</v>
      </c>
      <c r="D60" s="113" t="n">
        <f aca="false">AE250</f>
        <v>0</v>
      </c>
      <c r="E60" s="114" t="n">
        <f aca="false">AF250</f>
        <v>207.23</v>
      </c>
      <c r="F60" s="115" t="n">
        <f aca="false">AG250</f>
        <v>-207.23</v>
      </c>
      <c r="G60" s="116" t="n">
        <f aca="false">AH250</f>
        <v>4689.54</v>
      </c>
      <c r="H60" s="117" t="str">
        <f aca="false">IF(G60&lt;0,"🚨",IF(G60&lt;500,"⚠",""))</f>
        <v/>
      </c>
      <c r="I60" s="118"/>
    </row>
    <row r="61" customFormat="false" ht="16.5" hidden="false" customHeight="true" outlineLevel="0" collapsed="false">
      <c r="A61" s="81" t="n">
        <v>52</v>
      </c>
      <c r="B61" s="119" t="n">
        <f aca="false">AB251</f>
        <v>46194</v>
      </c>
      <c r="C61" s="120" t="n">
        <f aca="false">AD251</f>
        <v>0</v>
      </c>
      <c r="D61" s="121" t="n">
        <f aca="false">AE251</f>
        <v>241</v>
      </c>
      <c r="E61" s="122" t="n">
        <f aca="false">AF251</f>
        <v>80</v>
      </c>
      <c r="F61" s="54" t="n">
        <f aca="false">AG251</f>
        <v>-321</v>
      </c>
      <c r="G61" s="123" t="n">
        <f aca="false">AH251</f>
        <v>4368.54</v>
      </c>
      <c r="H61" s="124" t="str">
        <f aca="false">IF(G61&lt;0,"🚨",IF(G61&lt;500,"⚠",""))</f>
        <v/>
      </c>
      <c r="I61" s="118"/>
    </row>
    <row r="62" customFormat="false" ht="16.5" hidden="false" customHeight="true" outlineLevel="0" collapsed="false">
      <c r="A62" s="71" t="n">
        <v>53</v>
      </c>
      <c r="B62" s="111" t="n">
        <f aca="false">AB252</f>
        <v>46195</v>
      </c>
      <c r="C62" s="112" t="n">
        <f aca="false">AD252</f>
        <v>0</v>
      </c>
      <c r="D62" s="113" t="n">
        <f aca="false">AE252</f>
        <v>0</v>
      </c>
      <c r="E62" s="114" t="n">
        <f aca="false">AF252</f>
        <v>0</v>
      </c>
      <c r="F62" s="115" t="n">
        <f aca="false">AG252</f>
        <v>0</v>
      </c>
      <c r="G62" s="116" t="n">
        <f aca="false">AH252</f>
        <v>4368.54</v>
      </c>
      <c r="H62" s="117" t="str">
        <f aca="false">IF(G62&lt;0,"🚨",IF(G62&lt;500,"⚠",""))</f>
        <v/>
      </c>
      <c r="I62" s="118"/>
    </row>
    <row r="63" customFormat="false" ht="16.5" hidden="false" customHeight="true" outlineLevel="0" collapsed="false">
      <c r="A63" s="81" t="n">
        <v>54</v>
      </c>
      <c r="B63" s="119" t="n">
        <f aca="false">AB253</f>
        <v>46196</v>
      </c>
      <c r="C63" s="120" t="n">
        <f aca="false">AD253</f>
        <v>0</v>
      </c>
      <c r="D63" s="121" t="n">
        <f aca="false">AE253</f>
        <v>0</v>
      </c>
      <c r="E63" s="122" t="n">
        <f aca="false">AF253</f>
        <v>0</v>
      </c>
      <c r="F63" s="54" t="n">
        <f aca="false">AG253</f>
        <v>0</v>
      </c>
      <c r="G63" s="123" t="n">
        <f aca="false">AH253</f>
        <v>4368.54</v>
      </c>
      <c r="H63" s="124" t="str">
        <f aca="false">IF(G63&lt;0,"🚨",IF(G63&lt;500,"⚠",""))</f>
        <v/>
      </c>
      <c r="I63" s="118"/>
    </row>
    <row r="64" customFormat="false" ht="16.5" hidden="false" customHeight="true" outlineLevel="0" collapsed="false">
      <c r="A64" s="71" t="n">
        <v>55</v>
      </c>
      <c r="B64" s="111" t="n">
        <f aca="false">AB254</f>
        <v>46197</v>
      </c>
      <c r="C64" s="112" t="n">
        <f aca="false">AD254</f>
        <v>0</v>
      </c>
      <c r="D64" s="113" t="n">
        <f aca="false">AE254</f>
        <v>101.02</v>
      </c>
      <c r="E64" s="114" t="n">
        <f aca="false">AF254</f>
        <v>0</v>
      </c>
      <c r="F64" s="115" t="n">
        <f aca="false">AG254</f>
        <v>-101.02</v>
      </c>
      <c r="G64" s="116" t="n">
        <f aca="false">AH254</f>
        <v>4267.52</v>
      </c>
      <c r="H64" s="117" t="str">
        <f aca="false">IF(G64&lt;0,"🚨",IF(G64&lt;500,"⚠",""))</f>
        <v/>
      </c>
      <c r="I64" s="118"/>
    </row>
    <row r="65" customFormat="false" ht="16.5" hidden="false" customHeight="true" outlineLevel="0" collapsed="false">
      <c r="A65" s="81" t="n">
        <v>56</v>
      </c>
      <c r="B65" s="119" t="n">
        <f aca="false">AB255</f>
        <v>46198</v>
      </c>
      <c r="C65" s="120" t="n">
        <f aca="false">AD255</f>
        <v>0</v>
      </c>
      <c r="D65" s="121" t="n">
        <f aca="false">AE255</f>
        <v>0</v>
      </c>
      <c r="E65" s="122" t="n">
        <f aca="false">AF255</f>
        <v>0</v>
      </c>
      <c r="F65" s="54" t="n">
        <f aca="false">AG255</f>
        <v>0</v>
      </c>
      <c r="G65" s="123" t="n">
        <f aca="false">AH255</f>
        <v>4267.52</v>
      </c>
      <c r="H65" s="124" t="str">
        <f aca="false">IF(G65&lt;0,"🚨",IF(G65&lt;500,"⚠",""))</f>
        <v/>
      </c>
      <c r="I65" s="118"/>
    </row>
    <row r="66" customFormat="false" ht="16.5" hidden="false" customHeight="true" outlineLevel="0" collapsed="false">
      <c r="A66" s="71" t="n">
        <v>57</v>
      </c>
      <c r="B66" s="111" t="n">
        <f aca="false">AB256</f>
        <v>46199</v>
      </c>
      <c r="C66" s="112" t="n">
        <f aca="false">AD256</f>
        <v>3819.79</v>
      </c>
      <c r="D66" s="113" t="n">
        <f aca="false">AE256</f>
        <v>460</v>
      </c>
      <c r="E66" s="114" t="n">
        <f aca="false">AF256</f>
        <v>0</v>
      </c>
      <c r="F66" s="115" t="n">
        <f aca="false">AG256</f>
        <v>3359.79</v>
      </c>
      <c r="G66" s="116" t="n">
        <f aca="false">AH256</f>
        <v>7627.31</v>
      </c>
      <c r="H66" s="117" t="str">
        <f aca="false">IF(G66&lt;0,"🚨",IF(G66&lt;500,"⚠",""))</f>
        <v/>
      </c>
      <c r="I66" s="118"/>
    </row>
    <row r="67" customFormat="false" ht="16.5" hidden="false" customHeight="true" outlineLevel="0" collapsed="false">
      <c r="A67" s="81" t="n">
        <v>58</v>
      </c>
      <c r="B67" s="119" t="n">
        <f aca="false">AB257</f>
        <v>46200</v>
      </c>
      <c r="C67" s="120" t="n">
        <f aca="false">AD257</f>
        <v>0</v>
      </c>
      <c r="D67" s="121" t="n">
        <f aca="false">AE257</f>
        <v>0</v>
      </c>
      <c r="E67" s="122" t="n">
        <f aca="false">AF257</f>
        <v>0</v>
      </c>
      <c r="F67" s="54" t="n">
        <f aca="false">AG257</f>
        <v>0</v>
      </c>
      <c r="G67" s="123" t="n">
        <f aca="false">AH257</f>
        <v>7627.31</v>
      </c>
      <c r="H67" s="124" t="str">
        <f aca="false">IF(G67&lt;0,"🚨",IF(G67&lt;500,"⚠",""))</f>
        <v/>
      </c>
      <c r="I67" s="118"/>
    </row>
    <row r="68" customFormat="false" ht="16.5" hidden="false" customHeight="true" outlineLevel="0" collapsed="false">
      <c r="A68" s="71" t="n">
        <v>59</v>
      </c>
      <c r="B68" s="111" t="n">
        <f aca="false">AB258</f>
        <v>46201</v>
      </c>
      <c r="C68" s="112" t="n">
        <f aca="false">AD258</f>
        <v>0</v>
      </c>
      <c r="D68" s="113" t="n">
        <f aca="false">AE258</f>
        <v>0</v>
      </c>
      <c r="E68" s="114" t="n">
        <f aca="false">AF258</f>
        <v>0</v>
      </c>
      <c r="F68" s="115" t="n">
        <f aca="false">AG258</f>
        <v>0</v>
      </c>
      <c r="G68" s="116" t="n">
        <f aca="false">AH258</f>
        <v>7627.31</v>
      </c>
      <c r="H68" s="117" t="str">
        <f aca="false">IF(G68&lt;0,"🚨",IF(G68&lt;500,"⚠",""))</f>
        <v/>
      </c>
      <c r="I68" s="118"/>
    </row>
    <row r="69" customFormat="false" ht="16.5" hidden="false" customHeight="true" outlineLevel="0" collapsed="false">
      <c r="A69" s="81" t="n">
        <v>60</v>
      </c>
      <c r="B69" s="119" t="n">
        <f aca="false">AB259</f>
        <v>46202</v>
      </c>
      <c r="C69" s="120" t="n">
        <f aca="false">AD259</f>
        <v>0</v>
      </c>
      <c r="D69" s="121" t="n">
        <f aca="false">AE259</f>
        <v>237.58</v>
      </c>
      <c r="E69" s="122" t="n">
        <f aca="false">AF259</f>
        <v>206.43</v>
      </c>
      <c r="F69" s="54" t="n">
        <f aca="false">AG259</f>
        <v>-444.01</v>
      </c>
      <c r="G69" s="123" t="n">
        <f aca="false">AH259</f>
        <v>7183.3</v>
      </c>
      <c r="H69" s="124" t="str">
        <f aca="false">IF(G69&lt;0,"🚨",IF(G69&lt;500,"⚠",""))</f>
        <v/>
      </c>
      <c r="I69" s="118"/>
    </row>
    <row r="70" customFormat="false" ht="16.5" hidden="false" customHeight="true" outlineLevel="0" collapsed="false">
      <c r="A70" s="71" t="n">
        <v>61</v>
      </c>
      <c r="B70" s="111" t="n">
        <f aca="false">AB260</f>
        <v>46203</v>
      </c>
      <c r="C70" s="112" t="n">
        <f aca="false">AD260</f>
        <v>0</v>
      </c>
      <c r="D70" s="113" t="n">
        <f aca="false">AE260</f>
        <v>0</v>
      </c>
      <c r="E70" s="114" t="n">
        <f aca="false">AF260</f>
        <v>0</v>
      </c>
      <c r="F70" s="115" t="n">
        <f aca="false">AG260</f>
        <v>0</v>
      </c>
      <c r="G70" s="116" t="n">
        <f aca="false">AH260</f>
        <v>7183.3</v>
      </c>
      <c r="H70" s="117" t="str">
        <f aca="false">IF(G70&lt;0,"🚨",IF(G70&lt;500,"⚠",""))</f>
        <v/>
      </c>
      <c r="I70" s="118"/>
    </row>
    <row r="71" customFormat="false" ht="16.5" hidden="false" customHeight="true" outlineLevel="0" collapsed="false">
      <c r="A71" s="81" t="n">
        <v>62</v>
      </c>
      <c r="B71" s="119" t="n">
        <f aca="false">AB261</f>
        <v>46204</v>
      </c>
      <c r="C71" s="120" t="n">
        <f aca="false">AD261</f>
        <v>0</v>
      </c>
      <c r="D71" s="121" t="n">
        <f aca="false">AE261</f>
        <v>141.16</v>
      </c>
      <c r="E71" s="122" t="n">
        <f aca="false">AF261</f>
        <v>557.5</v>
      </c>
      <c r="F71" s="54" t="n">
        <f aca="false">AG261</f>
        <v>-698.66</v>
      </c>
      <c r="G71" s="123" t="n">
        <f aca="false">AH261</f>
        <v>6484.64</v>
      </c>
      <c r="H71" s="124" t="str">
        <f aca="false">IF(G71&lt;0,"🚨",IF(G71&lt;500,"⚠",""))</f>
        <v/>
      </c>
      <c r="I71" s="118"/>
    </row>
    <row r="72" customFormat="false" ht="16.5" hidden="false" customHeight="true" outlineLevel="0" collapsed="false">
      <c r="A72" s="71" t="n">
        <v>63</v>
      </c>
      <c r="B72" s="111" t="n">
        <f aca="false">AB262</f>
        <v>46205</v>
      </c>
      <c r="C72" s="112" t="n">
        <f aca="false">AD262</f>
        <v>2274.42</v>
      </c>
      <c r="D72" s="113" t="n">
        <f aca="false">AE262</f>
        <v>0</v>
      </c>
      <c r="E72" s="114" t="n">
        <f aca="false">AF262</f>
        <v>1309.17</v>
      </c>
      <c r="F72" s="115" t="n">
        <f aca="false">AG262</f>
        <v>965.25</v>
      </c>
      <c r="G72" s="116" t="n">
        <f aca="false">AH262</f>
        <v>7449.89</v>
      </c>
      <c r="H72" s="117" t="str">
        <f aca="false">IF(G72&lt;0,"🚨",IF(G72&lt;500,"⚠",""))</f>
        <v/>
      </c>
      <c r="I72" s="118"/>
    </row>
    <row r="73" customFormat="false" ht="16.5" hidden="false" customHeight="true" outlineLevel="0" collapsed="false">
      <c r="A73" s="81" t="n">
        <v>64</v>
      </c>
      <c r="B73" s="119" t="n">
        <f aca="false">AB263</f>
        <v>46206</v>
      </c>
      <c r="C73" s="120" t="n">
        <f aca="false">AD263</f>
        <v>0</v>
      </c>
      <c r="D73" s="121" t="n">
        <f aca="false">AE263</f>
        <v>1387.53</v>
      </c>
      <c r="E73" s="122" t="n">
        <f aca="false">AF263</f>
        <v>0</v>
      </c>
      <c r="F73" s="54" t="n">
        <f aca="false">AG263</f>
        <v>-1387.53</v>
      </c>
      <c r="G73" s="123" t="n">
        <f aca="false">AH263</f>
        <v>6062.36</v>
      </c>
      <c r="H73" s="124" t="str">
        <f aca="false">IF(G73&lt;0,"🚨",IF(G73&lt;500,"⚠",""))</f>
        <v/>
      </c>
      <c r="I73" s="118"/>
    </row>
    <row r="74" customFormat="false" ht="16.5" hidden="false" customHeight="true" outlineLevel="0" collapsed="false">
      <c r="A74" s="71" t="n">
        <v>65</v>
      </c>
      <c r="B74" s="111" t="n">
        <f aca="false">AB264</f>
        <v>46207</v>
      </c>
      <c r="C74" s="112" t="n">
        <f aca="false">AD264</f>
        <v>0</v>
      </c>
      <c r="D74" s="113" t="n">
        <f aca="false">AE264</f>
        <v>0</v>
      </c>
      <c r="E74" s="114" t="n">
        <f aca="false">AF264</f>
        <v>0</v>
      </c>
      <c r="F74" s="115" t="n">
        <f aca="false">AG264</f>
        <v>0</v>
      </c>
      <c r="G74" s="116" t="n">
        <f aca="false">AH264</f>
        <v>6062.36</v>
      </c>
      <c r="H74" s="117" t="str">
        <f aca="false">IF(G74&lt;0,"🚨",IF(G74&lt;500,"⚠",""))</f>
        <v/>
      </c>
      <c r="I74" s="118"/>
    </row>
    <row r="75" customFormat="false" ht="16.5" hidden="false" customHeight="true" outlineLevel="0" collapsed="false">
      <c r="A75" s="81" t="n">
        <v>66</v>
      </c>
      <c r="B75" s="119" t="n">
        <f aca="false">AB265</f>
        <v>46208</v>
      </c>
      <c r="C75" s="120" t="n">
        <f aca="false">AD265</f>
        <v>0</v>
      </c>
      <c r="D75" s="121" t="n">
        <f aca="false">AE265</f>
        <v>51.01</v>
      </c>
      <c r="E75" s="122" t="n">
        <f aca="false">AF265</f>
        <v>0</v>
      </c>
      <c r="F75" s="54" t="n">
        <f aca="false">AG265</f>
        <v>-51.01</v>
      </c>
      <c r="G75" s="123" t="n">
        <f aca="false">AH265</f>
        <v>6011.35</v>
      </c>
      <c r="H75" s="124" t="str">
        <f aca="false">IF(G75&lt;0,"🚨",IF(G75&lt;500,"⚠",""))</f>
        <v/>
      </c>
      <c r="I75" s="118"/>
    </row>
    <row r="76" customFormat="false" ht="16.5" hidden="false" customHeight="true" outlineLevel="0" collapsed="false">
      <c r="A76" s="71" t="n">
        <v>67</v>
      </c>
      <c r="B76" s="111" t="n">
        <f aca="false">AB266</f>
        <v>46209</v>
      </c>
      <c r="C76" s="112" t="n">
        <f aca="false">AD266</f>
        <v>0</v>
      </c>
      <c r="D76" s="113" t="n">
        <f aca="false">AE266</f>
        <v>651.55</v>
      </c>
      <c r="E76" s="114" t="n">
        <f aca="false">AF266</f>
        <v>259.86</v>
      </c>
      <c r="F76" s="115" t="n">
        <f aca="false">AG266</f>
        <v>-911.41</v>
      </c>
      <c r="G76" s="116" t="n">
        <f aca="false">AH266</f>
        <v>5099.94</v>
      </c>
      <c r="H76" s="117" t="str">
        <f aca="false">IF(G76&lt;0,"🚨",IF(G76&lt;500,"⚠",""))</f>
        <v/>
      </c>
      <c r="I76" s="118"/>
    </row>
    <row r="77" customFormat="false" ht="16.5" hidden="false" customHeight="true" outlineLevel="0" collapsed="false">
      <c r="A77" s="81" t="n">
        <v>68</v>
      </c>
      <c r="B77" s="119" t="n">
        <f aca="false">AB267</f>
        <v>46210</v>
      </c>
      <c r="C77" s="120" t="n">
        <f aca="false">AD267</f>
        <v>0</v>
      </c>
      <c r="D77" s="121" t="n">
        <f aca="false">AE267</f>
        <v>672.8</v>
      </c>
      <c r="E77" s="122" t="n">
        <f aca="false">AF267</f>
        <v>8.25</v>
      </c>
      <c r="F77" s="54" t="n">
        <f aca="false">AG267</f>
        <v>-681.05</v>
      </c>
      <c r="G77" s="123" t="n">
        <f aca="false">AH267</f>
        <v>4418.89</v>
      </c>
      <c r="H77" s="124" t="str">
        <f aca="false">IF(G77&lt;0,"🚨",IF(G77&lt;500,"⚠",""))</f>
        <v/>
      </c>
      <c r="I77" s="118"/>
    </row>
    <row r="78" customFormat="false" ht="16.5" hidden="false" customHeight="true" outlineLevel="0" collapsed="false">
      <c r="A78" s="71" t="n">
        <v>69</v>
      </c>
      <c r="B78" s="111" t="n">
        <f aca="false">AB268</f>
        <v>46211</v>
      </c>
      <c r="C78" s="112" t="n">
        <f aca="false">AD268</f>
        <v>0</v>
      </c>
      <c r="D78" s="113" t="n">
        <f aca="false">AE268</f>
        <v>53.85</v>
      </c>
      <c r="E78" s="114" t="n">
        <f aca="false">AF268</f>
        <v>0</v>
      </c>
      <c r="F78" s="115" t="n">
        <f aca="false">AG268</f>
        <v>-53.85</v>
      </c>
      <c r="G78" s="116" t="n">
        <f aca="false">AH268</f>
        <v>4365.04</v>
      </c>
      <c r="H78" s="117" t="str">
        <f aca="false">IF(G78&lt;0,"🚨",IF(G78&lt;500,"⚠",""))</f>
        <v/>
      </c>
      <c r="I78" s="118"/>
    </row>
    <row r="79" customFormat="false" ht="16.5" hidden="false" customHeight="true" outlineLevel="0" collapsed="false">
      <c r="A79" s="81" t="n">
        <v>70</v>
      </c>
      <c r="B79" s="119" t="n">
        <f aca="false">AB269</f>
        <v>46212</v>
      </c>
      <c r="C79" s="120" t="n">
        <f aca="false">AD269</f>
        <v>0</v>
      </c>
      <c r="D79" s="121" t="n">
        <f aca="false">AE269</f>
        <v>0</v>
      </c>
      <c r="E79" s="122" t="n">
        <f aca="false">AF269</f>
        <v>0</v>
      </c>
      <c r="F79" s="54" t="n">
        <f aca="false">AG269</f>
        <v>0</v>
      </c>
      <c r="G79" s="123" t="n">
        <f aca="false">AH269</f>
        <v>4365.04</v>
      </c>
      <c r="H79" s="124" t="str">
        <f aca="false">IF(G79&lt;0,"🚨",IF(G79&lt;500,"⚠",""))</f>
        <v/>
      </c>
      <c r="I79" s="118"/>
    </row>
    <row r="80" customFormat="false" ht="16.5" hidden="false" customHeight="true" outlineLevel="0" collapsed="false">
      <c r="A80" s="71" t="n">
        <v>71</v>
      </c>
      <c r="B80" s="111" t="n">
        <f aca="false">AB270</f>
        <v>46213</v>
      </c>
      <c r="C80" s="112" t="n">
        <f aca="false">AD270</f>
        <v>3819.79</v>
      </c>
      <c r="D80" s="113" t="n">
        <f aca="false">AE270</f>
        <v>800.22</v>
      </c>
      <c r="E80" s="114" t="n">
        <f aca="false">AF270</f>
        <v>72.54</v>
      </c>
      <c r="F80" s="115" t="n">
        <f aca="false">AG270</f>
        <v>2947.03</v>
      </c>
      <c r="G80" s="116" t="n">
        <f aca="false">AH270</f>
        <v>7312.07</v>
      </c>
      <c r="H80" s="117" t="str">
        <f aca="false">IF(G80&lt;0,"🚨",IF(G80&lt;500,"⚠",""))</f>
        <v/>
      </c>
      <c r="I80" s="118"/>
    </row>
    <row r="81" customFormat="false" ht="16.5" hidden="false" customHeight="true" outlineLevel="0" collapsed="false">
      <c r="A81" s="81" t="n">
        <v>72</v>
      </c>
      <c r="B81" s="119" t="n">
        <f aca="false">AB271</f>
        <v>46214</v>
      </c>
      <c r="C81" s="120" t="n">
        <f aca="false">AD271</f>
        <v>0</v>
      </c>
      <c r="D81" s="121" t="n">
        <f aca="false">AE271</f>
        <v>0</v>
      </c>
      <c r="E81" s="122" t="n">
        <f aca="false">AF271</f>
        <v>0</v>
      </c>
      <c r="F81" s="54" t="n">
        <f aca="false">AG271</f>
        <v>0</v>
      </c>
      <c r="G81" s="123" t="n">
        <f aca="false">AH271</f>
        <v>7312.07</v>
      </c>
      <c r="H81" s="124" t="str">
        <f aca="false">IF(G81&lt;0,"🚨",IF(G81&lt;500,"⚠",""))</f>
        <v/>
      </c>
      <c r="I81" s="118"/>
    </row>
    <row r="82" customFormat="false" ht="16.5" hidden="false" customHeight="true" outlineLevel="0" collapsed="false">
      <c r="A82" s="71" t="n">
        <v>73</v>
      </c>
      <c r="B82" s="111" t="n">
        <f aca="false">AB272</f>
        <v>46215</v>
      </c>
      <c r="C82" s="112" t="n">
        <f aca="false">AD272</f>
        <v>0</v>
      </c>
      <c r="D82" s="113" t="n">
        <f aca="false">AE272</f>
        <v>167.68</v>
      </c>
      <c r="E82" s="114" t="n">
        <f aca="false">AF272</f>
        <v>0</v>
      </c>
      <c r="F82" s="115" t="n">
        <f aca="false">AG272</f>
        <v>-167.68</v>
      </c>
      <c r="G82" s="116" t="n">
        <f aca="false">AH272</f>
        <v>7144.39</v>
      </c>
      <c r="H82" s="117" t="str">
        <f aca="false">IF(G82&lt;0,"🚨",IF(G82&lt;500,"⚠",""))</f>
        <v/>
      </c>
      <c r="I82" s="118"/>
    </row>
    <row r="83" customFormat="false" ht="16.5" hidden="false" customHeight="true" outlineLevel="0" collapsed="false">
      <c r="A83" s="81" t="n">
        <v>74</v>
      </c>
      <c r="B83" s="119" t="n">
        <f aca="false">AB273</f>
        <v>46216</v>
      </c>
      <c r="C83" s="120" t="n">
        <f aca="false">AD273</f>
        <v>0</v>
      </c>
      <c r="D83" s="121" t="n">
        <f aca="false">AE273</f>
        <v>0</v>
      </c>
      <c r="E83" s="122" t="n">
        <f aca="false">AF273</f>
        <v>80</v>
      </c>
      <c r="F83" s="54" t="n">
        <f aca="false">AG273</f>
        <v>-80</v>
      </c>
      <c r="G83" s="123" t="n">
        <f aca="false">AH273</f>
        <v>7064.39</v>
      </c>
      <c r="H83" s="124" t="str">
        <f aca="false">IF(G83&lt;0,"🚨",IF(G83&lt;500,"⚠",""))</f>
        <v/>
      </c>
      <c r="I83" s="118"/>
    </row>
    <row r="84" customFormat="false" ht="16.5" hidden="false" customHeight="true" outlineLevel="0" collapsed="false">
      <c r="A84" s="71" t="n">
        <v>75</v>
      </c>
      <c r="B84" s="111" t="n">
        <f aca="false">AB274</f>
        <v>46217</v>
      </c>
      <c r="C84" s="112" t="n">
        <f aca="false">AD274</f>
        <v>0</v>
      </c>
      <c r="D84" s="113" t="n">
        <f aca="false">AE274</f>
        <v>0</v>
      </c>
      <c r="E84" s="114" t="n">
        <f aca="false">AF274</f>
        <v>95.51</v>
      </c>
      <c r="F84" s="115" t="n">
        <f aca="false">AG274</f>
        <v>-95.51</v>
      </c>
      <c r="G84" s="116" t="n">
        <f aca="false">AH274</f>
        <v>6968.88</v>
      </c>
      <c r="H84" s="117" t="str">
        <f aca="false">IF(G84&lt;0,"🚨",IF(G84&lt;500,"⚠",""))</f>
        <v/>
      </c>
      <c r="I84" s="118"/>
    </row>
    <row r="85" customFormat="false" ht="16.5" hidden="false" customHeight="true" outlineLevel="0" collapsed="false">
      <c r="A85" s="81" t="n">
        <v>76</v>
      </c>
      <c r="B85" s="119" t="n">
        <f aca="false">AB275</f>
        <v>46218</v>
      </c>
      <c r="C85" s="120" t="n">
        <f aca="false">AD275</f>
        <v>0</v>
      </c>
      <c r="D85" s="121" t="n">
        <f aca="false">AE275</f>
        <v>2990.57</v>
      </c>
      <c r="E85" s="122" t="n">
        <f aca="false">AF275</f>
        <v>107.75</v>
      </c>
      <c r="F85" s="54" t="n">
        <f aca="false">AG275</f>
        <v>-3098.32</v>
      </c>
      <c r="G85" s="123" t="n">
        <f aca="false">AH275</f>
        <v>3870.56</v>
      </c>
      <c r="H85" s="124" t="str">
        <f aca="false">IF(G85&lt;0,"🚨",IF(G85&lt;500,"⚠",""))</f>
        <v/>
      </c>
      <c r="I85" s="118"/>
    </row>
    <row r="86" customFormat="false" ht="16.5" hidden="false" customHeight="true" outlineLevel="0" collapsed="false">
      <c r="A86" s="71" t="n">
        <v>77</v>
      </c>
      <c r="B86" s="111" t="n">
        <f aca="false">AB276</f>
        <v>46219</v>
      </c>
      <c r="C86" s="112" t="n">
        <f aca="false">AD276</f>
        <v>2274.42</v>
      </c>
      <c r="D86" s="113" t="n">
        <f aca="false">AE276</f>
        <v>342</v>
      </c>
      <c r="E86" s="114" t="n">
        <f aca="false">AF276</f>
        <v>143</v>
      </c>
      <c r="F86" s="115" t="n">
        <f aca="false">AG276</f>
        <v>1789.42</v>
      </c>
      <c r="G86" s="116" t="n">
        <f aca="false">AH276</f>
        <v>5659.98</v>
      </c>
      <c r="H86" s="117" t="str">
        <f aca="false">IF(G86&lt;0,"🚨",IF(G86&lt;500,"⚠",""))</f>
        <v/>
      </c>
      <c r="I86" s="118"/>
    </row>
    <row r="87" customFormat="false" ht="16.5" hidden="false" customHeight="true" outlineLevel="0" collapsed="false">
      <c r="A87" s="81" t="n">
        <v>78</v>
      </c>
      <c r="B87" s="119" t="n">
        <f aca="false">AB277</f>
        <v>46220</v>
      </c>
      <c r="C87" s="120" t="n">
        <f aca="false">AD277</f>
        <v>0</v>
      </c>
      <c r="D87" s="121" t="n">
        <f aca="false">AE277</f>
        <v>460</v>
      </c>
      <c r="E87" s="122" t="n">
        <f aca="false">AF277</f>
        <v>0</v>
      </c>
      <c r="F87" s="54" t="n">
        <f aca="false">AG277</f>
        <v>-460</v>
      </c>
      <c r="G87" s="123" t="n">
        <f aca="false">AH277</f>
        <v>5199.98</v>
      </c>
      <c r="H87" s="124" t="str">
        <f aca="false">IF(G87&lt;0,"🚨",IF(G87&lt;500,"⚠",""))</f>
        <v/>
      </c>
      <c r="I87" s="118"/>
    </row>
    <row r="88" customFormat="false" ht="16.5" hidden="false" customHeight="true" outlineLevel="0" collapsed="false">
      <c r="A88" s="71" t="n">
        <v>79</v>
      </c>
      <c r="B88" s="111" t="n">
        <f aca="false">AB278</f>
        <v>46221</v>
      </c>
      <c r="C88" s="112" t="n">
        <f aca="false">AD278</f>
        <v>0</v>
      </c>
      <c r="D88" s="113" t="n">
        <f aca="false">AE278</f>
        <v>0</v>
      </c>
      <c r="E88" s="114" t="n">
        <f aca="false">AF278</f>
        <v>0</v>
      </c>
      <c r="F88" s="115" t="n">
        <f aca="false">AG278</f>
        <v>0</v>
      </c>
      <c r="G88" s="116" t="n">
        <f aca="false">AH278</f>
        <v>5199.98</v>
      </c>
      <c r="H88" s="117" t="str">
        <f aca="false">IF(G88&lt;0,"🚨",IF(G88&lt;500,"⚠",""))</f>
        <v/>
      </c>
      <c r="I88" s="118"/>
    </row>
    <row r="89" customFormat="false" ht="16.5" hidden="false" customHeight="true" outlineLevel="0" collapsed="false">
      <c r="A89" s="81" t="n">
        <v>80</v>
      </c>
      <c r="B89" s="119" t="n">
        <f aca="false">AB279</f>
        <v>46222</v>
      </c>
      <c r="C89" s="120" t="n">
        <f aca="false">AD279</f>
        <v>0</v>
      </c>
      <c r="D89" s="121" t="n">
        <f aca="false">AE279</f>
        <v>0</v>
      </c>
      <c r="E89" s="122" t="n">
        <f aca="false">AF279</f>
        <v>0</v>
      </c>
      <c r="F89" s="54" t="n">
        <f aca="false">AG279</f>
        <v>0</v>
      </c>
      <c r="G89" s="123" t="n">
        <f aca="false">AH279</f>
        <v>5199.98</v>
      </c>
      <c r="H89" s="124" t="str">
        <f aca="false">IF(G89&lt;0,"🚨",IF(G89&lt;500,"⚠",""))</f>
        <v/>
      </c>
      <c r="I89" s="118"/>
    </row>
    <row r="90" customFormat="false" ht="16.5" hidden="false" customHeight="true" outlineLevel="0" collapsed="false">
      <c r="A90" s="71" t="n">
        <v>81</v>
      </c>
      <c r="B90" s="111" t="n">
        <f aca="false">AB280</f>
        <v>46223</v>
      </c>
      <c r="C90" s="112" t="n">
        <f aca="false">AD280</f>
        <v>0</v>
      </c>
      <c r="D90" s="113" t="n">
        <f aca="false">AE280</f>
        <v>0</v>
      </c>
      <c r="E90" s="114" t="n">
        <f aca="false">AF280</f>
        <v>207.23</v>
      </c>
      <c r="F90" s="115" t="n">
        <f aca="false">AG280</f>
        <v>-207.23</v>
      </c>
      <c r="G90" s="116" t="n">
        <f aca="false">AH280</f>
        <v>4992.75</v>
      </c>
      <c r="H90" s="117" t="str">
        <f aca="false">IF(G90&lt;0,"🚨",IF(G90&lt;500,"⚠",""))</f>
        <v/>
      </c>
      <c r="I90" s="118"/>
    </row>
    <row r="91" customFormat="false" ht="16.5" hidden="false" customHeight="true" outlineLevel="0" collapsed="false">
      <c r="A91" s="81" t="n">
        <v>82</v>
      </c>
      <c r="B91" s="119" t="n">
        <f aca="false">AB281</f>
        <v>46224</v>
      </c>
      <c r="C91" s="120" t="n">
        <f aca="false">AD281</f>
        <v>0</v>
      </c>
      <c r="D91" s="121" t="n">
        <f aca="false">AE281</f>
        <v>241</v>
      </c>
      <c r="E91" s="122" t="n">
        <f aca="false">AF281</f>
        <v>80</v>
      </c>
      <c r="F91" s="54" t="n">
        <f aca="false">AG281</f>
        <v>-321</v>
      </c>
      <c r="G91" s="123" t="n">
        <f aca="false">AH281</f>
        <v>4671.75</v>
      </c>
      <c r="H91" s="124" t="str">
        <f aca="false">IF(G91&lt;0,"🚨",IF(G91&lt;500,"⚠",""))</f>
        <v/>
      </c>
      <c r="I91" s="118"/>
    </row>
    <row r="92" customFormat="false" ht="16.5" hidden="false" customHeight="true" outlineLevel="0" collapsed="false">
      <c r="A92" s="71" t="n">
        <v>83</v>
      </c>
      <c r="B92" s="111" t="n">
        <f aca="false">AB282</f>
        <v>46225</v>
      </c>
      <c r="C92" s="112" t="n">
        <f aca="false">AD282</f>
        <v>0</v>
      </c>
      <c r="D92" s="113" t="n">
        <f aca="false">AE282</f>
        <v>0</v>
      </c>
      <c r="E92" s="114" t="n">
        <f aca="false">AF282</f>
        <v>0</v>
      </c>
      <c r="F92" s="115" t="n">
        <f aca="false">AG282</f>
        <v>0</v>
      </c>
      <c r="G92" s="116" t="n">
        <f aca="false">AH282</f>
        <v>4671.75</v>
      </c>
      <c r="H92" s="117" t="str">
        <f aca="false">IF(G92&lt;0,"🚨",IF(G92&lt;500,"⚠",""))</f>
        <v/>
      </c>
      <c r="I92" s="118"/>
    </row>
    <row r="93" customFormat="false" ht="16.5" hidden="false" customHeight="true" outlineLevel="0" collapsed="false">
      <c r="A93" s="81" t="n">
        <v>84</v>
      </c>
      <c r="B93" s="119" t="n">
        <f aca="false">AB283</f>
        <v>46226</v>
      </c>
      <c r="C93" s="120" t="n">
        <f aca="false">AD283</f>
        <v>0</v>
      </c>
      <c r="D93" s="121" t="n">
        <f aca="false">AE283</f>
        <v>0</v>
      </c>
      <c r="E93" s="122" t="n">
        <f aca="false">AF283</f>
        <v>0</v>
      </c>
      <c r="F93" s="54" t="n">
        <f aca="false">AG283</f>
        <v>0</v>
      </c>
      <c r="G93" s="123" t="n">
        <f aca="false">AH283</f>
        <v>4671.75</v>
      </c>
      <c r="H93" s="124" t="str">
        <f aca="false">IF(G93&lt;0,"🚨",IF(G93&lt;500,"⚠",""))</f>
        <v/>
      </c>
      <c r="I93" s="118"/>
    </row>
    <row r="94" customFormat="false" ht="16.5" hidden="false" customHeight="true" outlineLevel="0" collapsed="false">
      <c r="A94" s="71" t="n">
        <v>85</v>
      </c>
      <c r="B94" s="111" t="n">
        <f aca="false">AB284</f>
        <v>46227</v>
      </c>
      <c r="C94" s="112" t="n">
        <f aca="false">AD284</f>
        <v>3819.79</v>
      </c>
      <c r="D94" s="113" t="n">
        <f aca="false">AE284</f>
        <v>561.02</v>
      </c>
      <c r="E94" s="114" t="n">
        <f aca="false">AF284</f>
        <v>0</v>
      </c>
      <c r="F94" s="115" t="n">
        <f aca="false">AG284</f>
        <v>3258.77</v>
      </c>
      <c r="G94" s="116" t="n">
        <f aca="false">AH284</f>
        <v>7930.52</v>
      </c>
      <c r="H94" s="117" t="str">
        <f aca="false">IF(G94&lt;0,"🚨",IF(G94&lt;500,"⚠",""))</f>
        <v/>
      </c>
      <c r="I94" s="118"/>
    </row>
    <row r="95" customFormat="false" ht="16.5" hidden="false" customHeight="true" outlineLevel="0" collapsed="false">
      <c r="A95" s="81" t="n">
        <v>86</v>
      </c>
      <c r="B95" s="119" t="n">
        <f aca="false">AB285</f>
        <v>46228</v>
      </c>
      <c r="C95" s="120" t="n">
        <f aca="false">AD285</f>
        <v>0</v>
      </c>
      <c r="D95" s="121" t="n">
        <f aca="false">AE285</f>
        <v>0</v>
      </c>
      <c r="E95" s="122" t="n">
        <f aca="false">AF285</f>
        <v>0</v>
      </c>
      <c r="F95" s="54" t="n">
        <f aca="false">AG285</f>
        <v>0</v>
      </c>
      <c r="G95" s="123" t="n">
        <f aca="false">AH285</f>
        <v>7930.52</v>
      </c>
      <c r="H95" s="124" t="str">
        <f aca="false">IF(G95&lt;0,"🚨",IF(G95&lt;500,"⚠",""))</f>
        <v/>
      </c>
      <c r="I95" s="118"/>
    </row>
    <row r="96" customFormat="false" ht="16.5" hidden="false" customHeight="true" outlineLevel="0" collapsed="false">
      <c r="A96" s="71" t="n">
        <v>87</v>
      </c>
      <c r="B96" s="111" t="n">
        <f aca="false">AB286</f>
        <v>46229</v>
      </c>
      <c r="C96" s="112" t="n">
        <f aca="false">AD286</f>
        <v>0</v>
      </c>
      <c r="D96" s="113" t="n">
        <f aca="false">AE286</f>
        <v>0</v>
      </c>
      <c r="E96" s="114" t="n">
        <f aca="false">AF286</f>
        <v>0</v>
      </c>
      <c r="F96" s="115" t="n">
        <f aca="false">AG286</f>
        <v>0</v>
      </c>
      <c r="G96" s="116" t="n">
        <f aca="false">AH286</f>
        <v>7930.52</v>
      </c>
      <c r="H96" s="117" t="str">
        <f aca="false">IF(G96&lt;0,"🚨",IF(G96&lt;500,"⚠",""))</f>
        <v/>
      </c>
      <c r="I96" s="118"/>
    </row>
    <row r="97" customFormat="false" ht="16.5" hidden="false" customHeight="true" outlineLevel="0" collapsed="false">
      <c r="A97" s="81" t="n">
        <v>88</v>
      </c>
      <c r="B97" s="119" t="n">
        <f aca="false">AB287</f>
        <v>46230</v>
      </c>
      <c r="C97" s="120" t="n">
        <f aca="false">AD287</f>
        <v>0</v>
      </c>
      <c r="D97" s="121" t="n">
        <f aca="false">AE287</f>
        <v>0</v>
      </c>
      <c r="E97" s="122" t="n">
        <f aca="false">AF287</f>
        <v>0</v>
      </c>
      <c r="F97" s="54" t="n">
        <f aca="false">AG287</f>
        <v>0</v>
      </c>
      <c r="G97" s="123" t="n">
        <f aca="false">AH287</f>
        <v>7930.52</v>
      </c>
      <c r="H97" s="124" t="str">
        <f aca="false">IF(G97&lt;0,"🚨",IF(G97&lt;500,"⚠",""))</f>
        <v/>
      </c>
      <c r="I97" s="118"/>
    </row>
    <row r="98" customFormat="false" ht="16.5" hidden="false" customHeight="true" outlineLevel="0" collapsed="false">
      <c r="A98" s="71" t="n">
        <v>89</v>
      </c>
      <c r="B98" s="111" t="n">
        <f aca="false">AB288</f>
        <v>46231</v>
      </c>
      <c r="C98" s="112" t="n">
        <f aca="false">AD288</f>
        <v>0</v>
      </c>
      <c r="D98" s="113" t="n">
        <f aca="false">AE288</f>
        <v>0</v>
      </c>
      <c r="E98" s="114" t="n">
        <f aca="false">AF288</f>
        <v>0</v>
      </c>
      <c r="F98" s="115" t="n">
        <f aca="false">AG288</f>
        <v>0</v>
      </c>
      <c r="G98" s="116" t="n">
        <f aca="false">AH288</f>
        <v>7930.52</v>
      </c>
      <c r="H98" s="117" t="str">
        <f aca="false">IF(G98&lt;0,"🚨",IF(G98&lt;500,"⚠",""))</f>
        <v/>
      </c>
      <c r="I98" s="118"/>
    </row>
    <row r="99" customFormat="false" ht="16.5" hidden="false" customHeight="true" outlineLevel="0" collapsed="false">
      <c r="A99" s="81" t="n">
        <v>90</v>
      </c>
      <c r="B99" s="119" t="n">
        <f aca="false">AB289</f>
        <v>46232</v>
      </c>
      <c r="C99" s="120" t="n">
        <f aca="false">AD289</f>
        <v>0</v>
      </c>
      <c r="D99" s="121" t="n">
        <f aca="false">AE289</f>
        <v>237.58</v>
      </c>
      <c r="E99" s="122" t="n">
        <f aca="false">AF289</f>
        <v>206.43</v>
      </c>
      <c r="F99" s="54" t="n">
        <f aca="false">AG289</f>
        <v>-444.01</v>
      </c>
      <c r="G99" s="123" t="n">
        <f aca="false">AH289</f>
        <v>7486.51</v>
      </c>
      <c r="H99" s="124" t="str">
        <f aca="false">IF(G99&lt;0,"🚨",IF(G99&lt;500,"⚠",""))</f>
        <v/>
      </c>
      <c r="I99" s="118"/>
    </row>
    <row r="101" customFormat="false" ht="25.5" hidden="false" customHeight="true" outlineLevel="0" collapsed="false">
      <c r="A101" s="109" t="s">
        <v>308</v>
      </c>
      <c r="B101" s="109"/>
      <c r="C101" s="109"/>
      <c r="D101" s="109"/>
      <c r="E101" s="109"/>
      <c r="F101" s="109"/>
      <c r="G101" s="109"/>
      <c r="H101" s="109"/>
      <c r="I101" s="109"/>
    </row>
    <row r="102" customFormat="false" ht="6" hidden="false" customHeight="true" outlineLevel="0" collapsed="false"/>
    <row r="103" customFormat="false" ht="21.75" hidden="false" customHeight="true" outlineLevel="0" collapsed="false">
      <c r="A103" s="42" t="s">
        <v>309</v>
      </c>
      <c r="B103" s="42" t="s">
        <v>310</v>
      </c>
      <c r="C103" s="42" t="s">
        <v>154</v>
      </c>
      <c r="D103" s="42" t="s">
        <v>139</v>
      </c>
      <c r="E103" s="42" t="s">
        <v>303</v>
      </c>
      <c r="F103" s="42" t="s">
        <v>304</v>
      </c>
      <c r="G103" s="42" t="s">
        <v>311</v>
      </c>
      <c r="H103" s="42" t="s">
        <v>306</v>
      </c>
      <c r="I103" s="42" t="s">
        <v>307</v>
      </c>
    </row>
    <row r="104" customFormat="false" ht="16.5" hidden="false" customHeight="true" outlineLevel="0" collapsed="false">
      <c r="A104" s="71" t="n">
        <v>14</v>
      </c>
      <c r="B104" s="125" t="n">
        <f aca="false">$D$3+91</f>
        <v>46234</v>
      </c>
      <c r="C104" s="112" t="n">
        <f aca="false">SUM(AD291:AD297)</f>
        <v>0</v>
      </c>
      <c r="D104" s="113" t="n">
        <f aca="false">SUM(AE291:AE297)</f>
        <v>2231.25</v>
      </c>
      <c r="E104" s="114" t="n">
        <f aca="false">SUM(AF291:AF297)</f>
        <v>1926.53</v>
      </c>
      <c r="F104" s="126" t="n">
        <f aca="false">C104-D104-E104</f>
        <v>-4157.78</v>
      </c>
      <c r="G104" s="116" t="n">
        <f aca="false">AH297</f>
        <v>5603.15</v>
      </c>
      <c r="H104" s="117" t="str">
        <f aca="false">IF(G104&lt;0,"🚨",IF(G104&lt;500,"⚠",""))</f>
        <v/>
      </c>
    </row>
    <row r="105" customFormat="false" ht="16.5" hidden="false" customHeight="true" outlineLevel="0" collapsed="false">
      <c r="A105" s="81" t="n">
        <v>15</v>
      </c>
      <c r="B105" s="127" t="n">
        <f aca="false">$D$3+98</f>
        <v>46241</v>
      </c>
      <c r="C105" s="120" t="n">
        <f aca="false">SUM(AD298:AD304)</f>
        <v>6094.21</v>
      </c>
      <c r="D105" s="121" t="n">
        <f aca="false">SUM(AE298:AE304)</f>
        <v>1694.55</v>
      </c>
      <c r="E105" s="122" t="n">
        <f aca="false">SUM(AF298:AF304)</f>
        <v>160.79</v>
      </c>
      <c r="F105" s="128" t="n">
        <f aca="false">C105-D105-E105</f>
        <v>4238.87</v>
      </c>
      <c r="G105" s="123" t="n">
        <f aca="false">AH304</f>
        <v>9842.02</v>
      </c>
      <c r="H105" s="124" t="str">
        <f aca="false">IF(G105&lt;0,"🚨",IF(G105&lt;500,"⚠",""))</f>
        <v/>
      </c>
    </row>
    <row r="106" customFormat="false" ht="16.5" hidden="false" customHeight="true" outlineLevel="0" collapsed="false">
      <c r="A106" s="71" t="n">
        <v>16</v>
      </c>
      <c r="B106" s="125" t="n">
        <f aca="false">$D$3+105</f>
        <v>46248</v>
      </c>
      <c r="C106" s="112" t="n">
        <f aca="false">SUM(AD305:AD311)</f>
        <v>0</v>
      </c>
      <c r="D106" s="113" t="n">
        <f aca="false">SUM(AE305:AE311)</f>
        <v>3792.57</v>
      </c>
      <c r="E106" s="114" t="n">
        <f aca="false">SUM(AF305:AF311)</f>
        <v>553.49</v>
      </c>
      <c r="F106" s="126" t="n">
        <f aca="false">C106-D106-E106</f>
        <v>-4346.06</v>
      </c>
      <c r="G106" s="116" t="n">
        <f aca="false">AH311</f>
        <v>5495.96</v>
      </c>
      <c r="H106" s="117" t="str">
        <f aca="false">IF(G106&lt;0,"🚨",IF(G106&lt;500,"⚠",""))</f>
        <v/>
      </c>
    </row>
    <row r="107" customFormat="false" ht="16.5" hidden="false" customHeight="true" outlineLevel="0" collapsed="false">
      <c r="A107" s="81" t="n">
        <v>17</v>
      </c>
      <c r="B107" s="127" t="n">
        <f aca="false">$D$3+112</f>
        <v>46255</v>
      </c>
      <c r="C107" s="120" t="n">
        <f aca="false">SUM(AD312:AD318)</f>
        <v>6094.21</v>
      </c>
      <c r="D107" s="121" t="n">
        <f aca="false">SUM(AE312:AE318)</f>
        <v>802.02</v>
      </c>
      <c r="E107" s="122" t="n">
        <f aca="false">SUM(AF312:AF318)</f>
        <v>80</v>
      </c>
      <c r="F107" s="128" t="n">
        <f aca="false">C107-D107-E107</f>
        <v>5212.19</v>
      </c>
      <c r="G107" s="123" t="n">
        <f aca="false">AH318</f>
        <v>10708.15</v>
      </c>
      <c r="H107" s="124" t="str">
        <f aca="false">IF(G107&lt;0,"🚨",IF(G107&lt;500,"⚠",""))</f>
        <v/>
      </c>
    </row>
    <row r="108" customFormat="false" ht="16.5" hidden="false" customHeight="true" outlineLevel="0" collapsed="false">
      <c r="A108" s="71" t="n">
        <v>18</v>
      </c>
      <c r="B108" s="125" t="n">
        <f aca="false">$D$3+119</f>
        <v>46262</v>
      </c>
      <c r="C108" s="112" t="n">
        <f aca="false">SUM(AD319:AD325)</f>
        <v>0</v>
      </c>
      <c r="D108" s="113" t="n">
        <f aca="false">SUM(AE319:AE325)</f>
        <v>1766.27</v>
      </c>
      <c r="E108" s="114" t="n">
        <f aca="false">SUM(AF319:AF325)</f>
        <v>1873.1</v>
      </c>
      <c r="F108" s="126" t="n">
        <f aca="false">C108-D108-E108</f>
        <v>-3639.37</v>
      </c>
      <c r="G108" s="116" t="n">
        <f aca="false">AH325</f>
        <v>7068.78</v>
      </c>
      <c r="H108" s="117" t="str">
        <f aca="false">IF(G108&lt;0,"🚨",IF(G108&lt;500,"⚠",""))</f>
        <v/>
      </c>
    </row>
    <row r="109" customFormat="false" ht="16.5" hidden="false" customHeight="true" outlineLevel="0" collapsed="false">
      <c r="A109" s="81" t="n">
        <v>19</v>
      </c>
      <c r="B109" s="127" t="n">
        <f aca="false">$D$3+126</f>
        <v>46269</v>
      </c>
      <c r="C109" s="120" t="n">
        <f aca="false">SUM(AD326:AD332)</f>
        <v>6094.21</v>
      </c>
      <c r="D109" s="121" t="n">
        <f aca="false">SUM(AE326:AE332)</f>
        <v>2229.43</v>
      </c>
      <c r="E109" s="122" t="n">
        <f aca="false">SUM(AF326:AF332)</f>
        <v>134.78</v>
      </c>
      <c r="F109" s="128" t="n">
        <f aca="false">C109-D109-E109</f>
        <v>3730</v>
      </c>
      <c r="G109" s="123" t="n">
        <f aca="false">AH332</f>
        <v>10798.78</v>
      </c>
      <c r="H109" s="124" t="str">
        <f aca="false">IF(G109&lt;0,"🚨",IF(G109&lt;500,"⚠",""))</f>
        <v/>
      </c>
    </row>
    <row r="110" customFormat="false" ht="16.5" hidden="false" customHeight="true" outlineLevel="0" collapsed="false">
      <c r="A110" s="71" t="n">
        <v>20</v>
      </c>
      <c r="B110" s="125" t="n">
        <f aca="false">$D$3+133</f>
        <v>46276</v>
      </c>
      <c r="C110" s="112" t="n">
        <f aca="false">SUM(AD333:AD339)</f>
        <v>0</v>
      </c>
      <c r="D110" s="113" t="n">
        <f aca="false">SUM(AE333:AE339)</f>
        <v>3960.25</v>
      </c>
      <c r="E110" s="114" t="n">
        <f aca="false">SUM(AF333:AF339)</f>
        <v>426.26</v>
      </c>
      <c r="F110" s="126" t="n">
        <f aca="false">C110-D110-E110</f>
        <v>-4386.51</v>
      </c>
      <c r="G110" s="116" t="n">
        <f aca="false">AH339</f>
        <v>6412.27</v>
      </c>
      <c r="H110" s="117" t="str">
        <f aca="false">IF(G110&lt;0,"🚨",IF(G110&lt;500,"⚠",""))</f>
        <v/>
      </c>
    </row>
    <row r="111" customFormat="false" ht="16.5" hidden="false" customHeight="true" outlineLevel="0" collapsed="false">
      <c r="A111" s="81" t="n">
        <v>21</v>
      </c>
      <c r="B111" s="127" t="n">
        <f aca="false">$D$3+140</f>
        <v>46283</v>
      </c>
      <c r="C111" s="120" t="n">
        <f aca="false">SUM(AD340:AD346)</f>
        <v>6094.21</v>
      </c>
      <c r="D111" s="121" t="n">
        <f aca="false">SUM(AE340:AE346)</f>
        <v>802.02</v>
      </c>
      <c r="E111" s="122" t="n">
        <f aca="false">SUM(AF340:AF346)</f>
        <v>287.23</v>
      </c>
      <c r="F111" s="128" t="n">
        <f aca="false">C111-D111-E111</f>
        <v>5004.96</v>
      </c>
      <c r="G111" s="123" t="n">
        <f aca="false">AH346</f>
        <v>11417.23</v>
      </c>
      <c r="H111" s="124" t="str">
        <f aca="false">IF(G111&lt;0,"🚨",IF(G111&lt;500,"⚠",""))</f>
        <v/>
      </c>
    </row>
    <row r="112" customFormat="false" ht="16.5" hidden="false" customHeight="true" outlineLevel="0" collapsed="false">
      <c r="A112" s="71" t="n">
        <v>22</v>
      </c>
      <c r="B112" s="125" t="n">
        <f aca="false">$D$3+147</f>
        <v>46290</v>
      </c>
      <c r="C112" s="112" t="n">
        <f aca="false">SUM(AD347:AD353)</f>
        <v>0</v>
      </c>
      <c r="D112" s="113" t="n">
        <f aca="false">SUM(AE347:AE353)</f>
        <v>838.74</v>
      </c>
      <c r="E112" s="114" t="n">
        <f aca="false">SUM(AF347:AF353)</f>
        <v>471.93</v>
      </c>
      <c r="F112" s="126" t="n">
        <f aca="false">C112-D112-E112</f>
        <v>-1310.67</v>
      </c>
      <c r="G112" s="116" t="n">
        <f aca="false">AH353</f>
        <v>10106.56</v>
      </c>
      <c r="H112" s="117" t="str">
        <f aca="false">IF(G112&lt;0,"🚨",IF(G112&lt;500,"⚠",""))</f>
        <v/>
      </c>
    </row>
    <row r="113" customFormat="false" ht="16.5" hidden="false" customHeight="true" outlineLevel="0" collapsed="false">
      <c r="A113" s="81" t="n">
        <v>23</v>
      </c>
      <c r="B113" s="127" t="n">
        <f aca="false">$D$3+154</f>
        <v>46297</v>
      </c>
      <c r="C113" s="120" t="n">
        <f aca="false">SUM(AD354:AD360)</f>
        <v>6094.21</v>
      </c>
      <c r="D113" s="121" t="n">
        <f aca="false">SUM(AE354:AE360)</f>
        <v>2816.74</v>
      </c>
      <c r="E113" s="122" t="n">
        <f aca="false">SUM(AF354:AF360)</f>
        <v>1317.42</v>
      </c>
      <c r="F113" s="128" t="n">
        <f aca="false">C113-D113-E113</f>
        <v>1960.05</v>
      </c>
      <c r="G113" s="123" t="n">
        <f aca="false">AH360</f>
        <v>12066.61</v>
      </c>
      <c r="H113" s="124" t="str">
        <f aca="false">IF(G113&lt;0,"🚨",IF(G113&lt;500,"⚠",""))</f>
        <v/>
      </c>
    </row>
    <row r="114" customFormat="false" ht="16.5" hidden="false" customHeight="true" outlineLevel="0" collapsed="false">
      <c r="A114" s="71" t="n">
        <v>24</v>
      </c>
      <c r="B114" s="125" t="n">
        <f aca="false">$D$3+161</f>
        <v>46304</v>
      </c>
      <c r="C114" s="112" t="n">
        <f aca="false">SUM(AD361:AD367)</f>
        <v>0</v>
      </c>
      <c r="D114" s="113" t="n">
        <f aca="false">SUM(AE361:AE367)</f>
        <v>3958.47</v>
      </c>
      <c r="E114" s="114" t="n">
        <f aca="false">SUM(AF361:AF367)</f>
        <v>315.8</v>
      </c>
      <c r="F114" s="126" t="n">
        <f aca="false">C114-D114-E114</f>
        <v>-4274.27</v>
      </c>
      <c r="G114" s="116" t="n">
        <f aca="false">AH367</f>
        <v>7792.34</v>
      </c>
      <c r="H114" s="117" t="str">
        <f aca="false">IF(G114&lt;0,"🚨",IF(G114&lt;500,"⚠",""))</f>
        <v/>
      </c>
    </row>
    <row r="115" customFormat="false" ht="16.5" hidden="false" customHeight="true" outlineLevel="0" collapsed="false">
      <c r="A115" s="81" t="n">
        <v>25</v>
      </c>
      <c r="B115" s="127" t="n">
        <f aca="false">$D$3+168</f>
        <v>46311</v>
      </c>
      <c r="C115" s="120" t="n">
        <f aca="false">SUM(AD368:AD374)</f>
        <v>6094.21</v>
      </c>
      <c r="D115" s="121" t="n">
        <f aca="false">SUM(AE368:AE374)</f>
        <v>1043</v>
      </c>
      <c r="E115" s="122" t="n">
        <f aca="false">SUM(AF368:AF374)</f>
        <v>430.23</v>
      </c>
      <c r="F115" s="128" t="n">
        <f aca="false">C115-D115-E115</f>
        <v>4620.98</v>
      </c>
      <c r="G115" s="123" t="n">
        <f aca="false">AH374</f>
        <v>12413.32</v>
      </c>
      <c r="H115" s="124" t="str">
        <f aca="false">IF(G115&lt;0,"🚨",IF(G115&lt;500,"⚠",""))</f>
        <v/>
      </c>
    </row>
    <row r="116" customFormat="false" ht="16.5" hidden="false" customHeight="true" outlineLevel="0" collapsed="false">
      <c r="A116" s="71" t="n">
        <v>26</v>
      </c>
      <c r="B116" s="125" t="n">
        <f aca="false">$D$3+175</f>
        <v>46318</v>
      </c>
      <c r="C116" s="112" t="n">
        <f aca="false">SUM(AD375:AD381)</f>
        <v>0</v>
      </c>
      <c r="D116" s="113" t="n">
        <f aca="false">SUM(AE375:AE381)</f>
        <v>798.6</v>
      </c>
      <c r="E116" s="114" t="n">
        <f aca="false">SUM(AF375:AF381)</f>
        <v>206.43</v>
      </c>
      <c r="F116" s="126" t="n">
        <f aca="false">C116-D116-E116</f>
        <v>-1005.03</v>
      </c>
      <c r="G116" s="116" t="n">
        <f aca="false">AH381</f>
        <v>11408.29</v>
      </c>
      <c r="H116" s="117" t="str">
        <f aca="false">IF(G116&lt;0,"🚨",IF(G116&lt;500,"⚠",""))</f>
        <v/>
      </c>
    </row>
    <row r="118" customFormat="false" ht="25.5" hidden="false" customHeight="true" outlineLevel="0" collapsed="false">
      <c r="A118" s="109" t="s">
        <v>312</v>
      </c>
      <c r="B118" s="109"/>
      <c r="C118" s="109"/>
      <c r="D118" s="109"/>
      <c r="E118" s="109"/>
      <c r="F118" s="109"/>
      <c r="G118" s="109"/>
      <c r="H118" s="109"/>
      <c r="I118" s="109"/>
    </row>
    <row r="119" customFormat="false" ht="6" hidden="false" customHeight="true" outlineLevel="0" collapsed="false"/>
    <row r="120" customFormat="false" ht="21.75" hidden="false" customHeight="true" outlineLevel="0" collapsed="false">
      <c r="A120" s="42" t="s">
        <v>313</v>
      </c>
      <c r="B120" s="42" t="s">
        <v>136</v>
      </c>
      <c r="C120" s="42" t="s">
        <v>154</v>
      </c>
      <c r="D120" s="42" t="s">
        <v>139</v>
      </c>
      <c r="E120" s="42" t="s">
        <v>303</v>
      </c>
      <c r="F120" s="42" t="s">
        <v>304</v>
      </c>
      <c r="G120" s="42" t="s">
        <v>311</v>
      </c>
      <c r="H120" s="42" t="s">
        <v>306</v>
      </c>
      <c r="I120" s="42" t="s">
        <v>307</v>
      </c>
    </row>
    <row r="121" customFormat="false" ht="16.5" hidden="false" customHeight="true" outlineLevel="0" collapsed="false">
      <c r="A121" s="71" t="n">
        <v>7</v>
      </c>
      <c r="B121" s="129" t="n">
        <f aca="false">EDATE($D$3,6)</f>
        <v>46327</v>
      </c>
      <c r="C121" s="112" t="n">
        <f aca="false">SUMIF($AC$200:$AC$564,7,$AD$200:$AD$564)</f>
        <v>12188.42</v>
      </c>
      <c r="D121" s="113" t="n">
        <f aca="false">SUMIF($AC$200:$AC$564,7,$AE$200:$AE$564)</f>
        <v>8757.97</v>
      </c>
      <c r="E121" s="114" t="n">
        <f aca="false">SUMIF($AC$200:$AC$564,7,$AF$200:$AF$564)</f>
        <v>2273.83</v>
      </c>
      <c r="F121" s="126" t="n">
        <f aca="false">C121-D121-E121</f>
        <v>1156.62</v>
      </c>
      <c r="G121" s="116" t="n">
        <f aca="false">LOOKUP(2,1/($AC$200:$AC$564=7),$AH$200:$AH$564)</f>
        <v>15924.7</v>
      </c>
      <c r="H121" s="117" t="str">
        <f aca="false">IF(G121&lt;0,"🚨",IF(G121&lt;500,"⚠",""))</f>
        <v/>
      </c>
    </row>
    <row r="122" customFormat="false" ht="16.5" hidden="false" customHeight="true" outlineLevel="0" collapsed="false">
      <c r="A122" s="81" t="n">
        <v>8</v>
      </c>
      <c r="B122" s="130" t="n">
        <f aca="false">EDATE($D$3,7)</f>
        <v>46357</v>
      </c>
      <c r="C122" s="120" t="n">
        <f aca="false">SUMIF($AC$200:$AC$564,8,$AD$200:$AD$564)</f>
        <v>14462.84</v>
      </c>
      <c r="D122" s="121" t="n">
        <f aca="false">SUMIF($AC$200:$AC$564,8,$AE$200:$AE$564)</f>
        <v>8757.97</v>
      </c>
      <c r="E122" s="122" t="n">
        <f aca="false">SUMIF($AC$200:$AC$564,8,$AF$200:$AF$564)</f>
        <v>2122.47</v>
      </c>
      <c r="F122" s="128" t="n">
        <f aca="false">C122-D122-E122</f>
        <v>3582.4</v>
      </c>
      <c r="G122" s="123" t="n">
        <f aca="false">LOOKUP(2,1/($AC$200:$AC$564=8),$AH$200:$AH$564)</f>
        <v>19507.1</v>
      </c>
      <c r="H122" s="124" t="str">
        <f aca="false">IF(G122&lt;0,"🚨",IF(G122&lt;500,"⚠",""))</f>
        <v/>
      </c>
    </row>
    <row r="123" customFormat="false" ht="16.5" hidden="false" customHeight="true" outlineLevel="0" collapsed="false">
      <c r="A123" s="71" t="n">
        <v>9</v>
      </c>
      <c r="B123" s="129" t="n">
        <f aca="false">EDATE($D$3,8)</f>
        <v>46388</v>
      </c>
      <c r="C123" s="112" t="n">
        <f aca="false">SUMIF($AC$200:$AC$564,9,$AD$200:$AD$564)</f>
        <v>12188.42</v>
      </c>
      <c r="D123" s="113" t="n">
        <f aca="false">SUMIF($AC$200:$AC$564,9,$AE$200:$AE$564)</f>
        <v>9217.97</v>
      </c>
      <c r="E123" s="114" t="n">
        <f aca="false">SUMIF($AC$200:$AC$564,9,$AF$200:$AF$564)</f>
        <v>1983.47</v>
      </c>
      <c r="F123" s="126" t="n">
        <f aca="false">C123-D123-E123</f>
        <v>986.980000000001</v>
      </c>
      <c r="G123" s="116" t="n">
        <f aca="false">LOOKUP(2,1/($AC$200:$AC$564=9),$AH$200:$AH$564)</f>
        <v>20494.08</v>
      </c>
      <c r="H123" s="117" t="str">
        <f aca="false">IF(G123&lt;0,"🚨",IF(G123&lt;500,"⚠",""))</f>
        <v/>
      </c>
    </row>
    <row r="124" customFormat="false" ht="16.5" hidden="false" customHeight="true" outlineLevel="0" collapsed="false">
      <c r="A124" s="81" t="n">
        <v>10</v>
      </c>
      <c r="B124" s="130" t="n">
        <f aca="false">EDATE($D$3,9)</f>
        <v>46419</v>
      </c>
      <c r="C124" s="120" t="n">
        <f aca="false">SUMIF($AC$200:$AC$564,10,$AD$200:$AD$564)</f>
        <v>12188.42</v>
      </c>
      <c r="D124" s="121" t="n">
        <f aca="false">SUMIF($AC$200:$AC$564,10,$AE$200:$AE$564)</f>
        <v>8520.39</v>
      </c>
      <c r="E124" s="122" t="n">
        <f aca="false">SUMIF($AC$200:$AC$564,10,$AF$200:$AF$564)</f>
        <v>1472.94</v>
      </c>
      <c r="F124" s="128" t="n">
        <f aca="false">C124-D124-E124</f>
        <v>2195.09</v>
      </c>
      <c r="G124" s="123" t="n">
        <f aca="false">LOOKUP(2,1/($AC$200:$AC$564=10),$AH$200:$AH$564)</f>
        <v>22689.17</v>
      </c>
      <c r="H124" s="124" t="str">
        <f aca="false">IF(G124&lt;0,"🚨",IF(G124&lt;500,"⚠",""))</f>
        <v/>
      </c>
    </row>
    <row r="125" customFormat="false" ht="16.5" hidden="false" customHeight="true" outlineLevel="0" collapsed="false">
      <c r="A125" s="71" t="n">
        <v>11</v>
      </c>
      <c r="B125" s="129" t="n">
        <f aca="false">EDATE($D$3,10)</f>
        <v>46447</v>
      </c>
      <c r="C125" s="112" t="n">
        <f aca="false">SUMIF($AC$200:$AC$564,11,$AD$200:$AD$564)</f>
        <v>12188.42</v>
      </c>
      <c r="D125" s="113" t="n">
        <f aca="false">SUMIF($AC$200:$AC$564,11,$AE$200:$AE$564)</f>
        <v>8757.97</v>
      </c>
      <c r="E125" s="114" t="n">
        <f aca="false">SUMIF($AC$200:$AC$564,11,$AF$200:$AF$564)</f>
        <v>1623.35</v>
      </c>
      <c r="F125" s="126" t="n">
        <f aca="false">C125-D125-E125</f>
        <v>1807.1</v>
      </c>
      <c r="G125" s="116" t="n">
        <f aca="false">LOOKUP(2,1/($AC$200:$AC$564=11),$AH$200:$AH$564)</f>
        <v>24496.27</v>
      </c>
      <c r="H125" s="117" t="str">
        <f aca="false">IF(G125&lt;0,"🚨",IF(G125&lt;500,"⚠",""))</f>
        <v/>
      </c>
    </row>
    <row r="126" customFormat="false" ht="16.5" hidden="false" customHeight="true" outlineLevel="0" collapsed="false">
      <c r="A126" s="81" t="n">
        <v>12</v>
      </c>
      <c r="B126" s="130" t="n">
        <f aca="false">EDATE($D$3,11)</f>
        <v>46478</v>
      </c>
      <c r="C126" s="120" t="n">
        <f aca="false">SUMIF($AC$200:$AC$564,12,$AD$200:$AD$564)</f>
        <v>16008.21</v>
      </c>
      <c r="D126" s="121" t="n">
        <f aca="false">SUMIF($AC$200:$AC$564,12,$AE$200:$AE$564)</f>
        <v>9217.97</v>
      </c>
      <c r="E126" s="122" t="n">
        <f aca="false">SUMIF($AC$200:$AC$564,12,$AF$200:$AF$564)</f>
        <v>1623.35</v>
      </c>
      <c r="F126" s="128" t="n">
        <f aca="false">C126-D126-E126</f>
        <v>5166.89</v>
      </c>
      <c r="G126" s="123" t="n">
        <f aca="false">LOOKUP(2,1/($AC$200:$AC$564=12),$AH$200:$AH$564)</f>
        <v>29663.16</v>
      </c>
      <c r="H126" s="124" t="str">
        <f aca="false">IF(G126&lt;0,"🚨",IF(G126&lt;500,"⚠",""))</f>
        <v/>
      </c>
    </row>
    <row r="128" customFormat="false" ht="25.5" hidden="false" customHeight="true" outlineLevel="0" collapsed="false">
      <c r="A128" s="131" t="s">
        <v>314</v>
      </c>
      <c r="B128" s="131"/>
      <c r="C128" s="131"/>
      <c r="D128" s="131"/>
      <c r="E128" s="131"/>
      <c r="F128" s="131"/>
      <c r="G128" s="131"/>
      <c r="H128" s="131"/>
      <c r="I128" s="131"/>
      <c r="J128" s="131"/>
    </row>
    <row r="129" customFormat="false" ht="6" hidden="false" customHeight="true" outlineLevel="0" collapsed="false"/>
    <row r="130" customFormat="false" ht="21.75" hidden="false" customHeight="true" outlineLevel="0" collapsed="false">
      <c r="A130" s="132" t="s">
        <v>315</v>
      </c>
      <c r="B130" s="132" t="s">
        <v>136</v>
      </c>
      <c r="C130" s="133" t="s">
        <v>316</v>
      </c>
      <c r="D130" s="133"/>
      <c r="E130" s="133"/>
      <c r="F130" s="133"/>
      <c r="G130" s="132" t="s">
        <v>317</v>
      </c>
      <c r="H130" s="132" t="s">
        <v>318</v>
      </c>
    </row>
    <row r="131" customFormat="false" ht="21.75" hidden="false" customHeight="true" outlineLevel="0" collapsed="false">
      <c r="A131" s="134" t="n">
        <v>1</v>
      </c>
      <c r="B131" s="135" t="n">
        <f aca="false">EDATE($D$3,0)</f>
        <v>46143</v>
      </c>
      <c r="C131" s="136" t="s">
        <v>319</v>
      </c>
      <c r="D131" s="136"/>
      <c r="E131" s="136"/>
      <c r="F131" s="136"/>
      <c r="G131" s="137" t="n">
        <v>191</v>
      </c>
      <c r="H131" s="138" t="n">
        <v>191</v>
      </c>
    </row>
    <row r="132" customFormat="false" ht="21.75" hidden="false" customHeight="true" outlineLevel="0" collapsed="false">
      <c r="A132" s="71" t="n">
        <v>2</v>
      </c>
      <c r="B132" s="129" t="n">
        <f aca="false">EDATE($D$3,1)</f>
        <v>46174</v>
      </c>
      <c r="C132" s="139" t="s">
        <v>320</v>
      </c>
      <c r="D132" s="139"/>
      <c r="E132" s="139"/>
      <c r="F132" s="139"/>
      <c r="G132" s="140"/>
      <c r="H132" s="141" t="n">
        <v>191</v>
      </c>
    </row>
    <row r="133" customFormat="false" ht="21.75" hidden="false" customHeight="true" outlineLevel="0" collapsed="false">
      <c r="A133" s="134" t="n">
        <v>3</v>
      </c>
      <c r="B133" s="135" t="n">
        <f aca="false">EDATE($D$3,2)</f>
        <v>46204</v>
      </c>
      <c r="C133" s="136" t="s">
        <v>79</v>
      </c>
      <c r="D133" s="136"/>
      <c r="E133" s="136"/>
      <c r="F133" s="136"/>
      <c r="G133" s="137" t="n">
        <v>200</v>
      </c>
      <c r="H133" s="138" t="n">
        <v>391</v>
      </c>
    </row>
    <row r="134" customFormat="false" ht="21.75" hidden="false" customHeight="true" outlineLevel="0" collapsed="false">
      <c r="A134" s="134" t="n">
        <v>4</v>
      </c>
      <c r="B134" s="135" t="n">
        <f aca="false">EDATE($D$3,3)</f>
        <v>46235</v>
      </c>
      <c r="C134" s="136" t="s">
        <v>85</v>
      </c>
      <c r="D134" s="136"/>
      <c r="E134" s="136"/>
      <c r="F134" s="136"/>
      <c r="G134" s="137" t="n">
        <v>205.87</v>
      </c>
      <c r="H134" s="138" t="n">
        <v>596.87</v>
      </c>
    </row>
    <row r="135" customFormat="false" ht="21.75" hidden="false" customHeight="true" outlineLevel="0" collapsed="false">
      <c r="A135" s="134" t="n">
        <v>5</v>
      </c>
      <c r="B135" s="135" t="n">
        <f aca="false">EDATE($D$3,4)</f>
        <v>46266</v>
      </c>
      <c r="C135" s="136" t="s">
        <v>321</v>
      </c>
      <c r="D135" s="136"/>
      <c r="E135" s="136"/>
      <c r="F135" s="136"/>
      <c r="G135" s="137" t="n">
        <v>185.99</v>
      </c>
      <c r="H135" s="138" t="n">
        <v>782.86</v>
      </c>
    </row>
    <row r="136" customFormat="false" ht="21.75" hidden="false" customHeight="true" outlineLevel="0" collapsed="false">
      <c r="A136" s="134" t="n">
        <v>6</v>
      </c>
      <c r="B136" s="135" t="n">
        <f aca="false">EDATE($D$3,5)</f>
        <v>46296</v>
      </c>
      <c r="C136" s="136" t="s">
        <v>322</v>
      </c>
      <c r="D136" s="136"/>
      <c r="E136" s="136"/>
      <c r="F136" s="136"/>
      <c r="G136" s="137" t="n">
        <v>261.55</v>
      </c>
      <c r="H136" s="138" t="n">
        <v>1044.41</v>
      </c>
    </row>
    <row r="137" customFormat="false" ht="21.75" hidden="false" customHeight="true" outlineLevel="0" collapsed="false">
      <c r="A137" s="134" t="n">
        <v>7</v>
      </c>
      <c r="B137" s="135" t="n">
        <f aca="false">EDATE($D$3,6)</f>
        <v>46327</v>
      </c>
      <c r="C137" s="136" t="s">
        <v>323</v>
      </c>
      <c r="D137" s="136"/>
      <c r="E137" s="136"/>
      <c r="F137" s="136"/>
      <c r="G137" s="137" t="n">
        <v>151.36</v>
      </c>
      <c r="H137" s="138" t="n">
        <v>1195.77</v>
      </c>
    </row>
    <row r="138" customFormat="false" ht="21.75" hidden="false" customHeight="true" outlineLevel="0" collapsed="false">
      <c r="A138" s="134" t="n">
        <v>8</v>
      </c>
      <c r="B138" s="135" t="n">
        <f aca="false">EDATE($D$3,7)</f>
        <v>46357</v>
      </c>
      <c r="C138" s="136" t="s">
        <v>324</v>
      </c>
      <c r="D138" s="136"/>
      <c r="E138" s="136"/>
      <c r="F138" s="136"/>
      <c r="G138" s="137" t="n">
        <v>139</v>
      </c>
      <c r="H138" s="138" t="n">
        <v>1334.77</v>
      </c>
    </row>
    <row r="139" customFormat="false" ht="21.75" hidden="false" customHeight="true" outlineLevel="0" collapsed="false">
      <c r="A139" s="134" t="n">
        <v>9</v>
      </c>
      <c r="B139" s="135" t="n">
        <f aca="false">EDATE($D$3,8)</f>
        <v>46388</v>
      </c>
      <c r="C139" s="136" t="s">
        <v>325</v>
      </c>
      <c r="D139" s="136"/>
      <c r="E139" s="136"/>
      <c r="F139" s="136"/>
      <c r="G139" s="137" t="n">
        <v>304.1</v>
      </c>
      <c r="H139" s="138" t="n">
        <v>1638.87</v>
      </c>
    </row>
    <row r="140" customFormat="false" ht="21.75" hidden="false" customHeight="true" outlineLevel="0" collapsed="false">
      <c r="A140" s="134" t="n">
        <v>10</v>
      </c>
      <c r="B140" s="135" t="n">
        <f aca="false">EDATE($D$3,9)</f>
        <v>46419</v>
      </c>
      <c r="C140" s="136" t="s">
        <v>51</v>
      </c>
      <c r="D140" s="136"/>
      <c r="E140" s="136"/>
      <c r="F140" s="136"/>
      <c r="G140" s="137" t="n">
        <v>56.02</v>
      </c>
      <c r="H140" s="138" t="n">
        <v>1694.89</v>
      </c>
    </row>
    <row r="141" customFormat="false" ht="21.75" hidden="false" customHeight="true" outlineLevel="0" collapsed="false">
      <c r="A141" s="81" t="n">
        <v>11</v>
      </c>
      <c r="B141" s="130" t="n">
        <f aca="false">EDATE($D$3,10)</f>
        <v>46447</v>
      </c>
      <c r="C141" s="142" t="s">
        <v>320</v>
      </c>
      <c r="D141" s="142"/>
      <c r="E141" s="142"/>
      <c r="F141" s="142"/>
      <c r="G141" s="143"/>
      <c r="H141" s="144" t="n">
        <v>1694.89</v>
      </c>
    </row>
    <row r="142" customFormat="false" ht="21.75" hidden="false" customHeight="true" outlineLevel="0" collapsed="false">
      <c r="A142" s="71" t="n">
        <v>12</v>
      </c>
      <c r="B142" s="129" t="n">
        <f aca="false">EDATE($D$3,11)</f>
        <v>46478</v>
      </c>
      <c r="C142" s="139" t="s">
        <v>320</v>
      </c>
      <c r="D142" s="139"/>
      <c r="E142" s="139"/>
      <c r="F142" s="139"/>
      <c r="G142" s="140"/>
      <c r="H142" s="141" t="n">
        <v>1694.89</v>
      </c>
    </row>
    <row r="199" customFormat="false" ht="15" hidden="false" customHeight="true" outlineLevel="0" collapsed="false">
      <c r="AA199" s="1" t="s">
        <v>326</v>
      </c>
      <c r="AB199" s="1" t="s">
        <v>327</v>
      </c>
      <c r="AC199" s="1" t="s">
        <v>328</v>
      </c>
      <c r="AD199" s="1" t="s">
        <v>329</v>
      </c>
      <c r="AE199" s="1" t="s">
        <v>330</v>
      </c>
      <c r="AF199" s="1" t="s">
        <v>331</v>
      </c>
      <c r="AG199" s="1" t="s">
        <v>332</v>
      </c>
      <c r="AH199" s="1" t="s">
        <v>333</v>
      </c>
    </row>
    <row r="200" customFormat="false" ht="15" hidden="false" customHeight="true" outlineLevel="0" collapsed="false">
      <c r="AA200" s="1" t="n">
        <v>0</v>
      </c>
      <c r="AB200" s="145" t="n">
        <f aca="false">$D$3+0</f>
        <v>46143</v>
      </c>
      <c r="AC200" s="1" t="n">
        <f aca="false">MIN(12,1+DATEDIF($D$3,AB200,"M"))</f>
        <v>1</v>
      </c>
      <c r="AD200" s="1" t="n">
        <f aca="false">SUMPRODUCT(('Recurring Items'!$C$6:$C$56="Income")*('Recurring Items'!$H$6:$H$56&lt;&gt;"Skip")*IFERROR(N('Recurring Items'!$D$6:$D$56),0)*(('Recurring Items'!$E$6:$E$56="Monthly")*(DAY(AB200)='Recurring Items'!$F$6:$F$56)+('Recurring Items'!$E$6:$E$56="Bi-weekly")*(WEEKDAY(AB200)=IFERROR(WEEKDAY('Recurring Items'!$G$6:$G$56),0))*(MOD(AB200-IFERROR('Recurring Items'!$G$6:$G$56,0),14)=0)*(AB200&gt;=IFERROR('Recurring Items'!$G$6:$G$56,9000000000))+('Recurring Items'!$E$6:$E$56="Weekly")*(WEEKDAY(AB200)=IFERROR(WEEKDAY('Recurring Items'!$G$6:$G$56),0))*(AB200&gt;=IFERROR('Recurring Items'!$G$6:$G$56,9000000000))+('Recurring Items'!$E$6:$E$56="One-time")*(AB200='Recurring Items'!$G$6:$G$56)))</f>
        <v>3819.79</v>
      </c>
      <c r="AE200" s="1" t="n">
        <f aca="false">SUMPRODUCT(('Recurring Items'!$C$6:$C$56="Expense")*('Recurring Items'!$H$6:$H$56&lt;&gt;"Skip")*IFERROR(N('Recurring Items'!$D$6:$D$56),0)*(('Recurring Items'!$E$6:$E$56="Monthly")*(DAY(AB200)='Recurring Items'!$F$6:$F$56)+('Recurring Items'!$E$6:$E$56="Bi-weekly")*(WEEKDAY(AB200)=IFERROR(WEEKDAY('Recurring Items'!$G$6:$G$56),0))*(MOD(AB200-IFERROR('Recurring Items'!$G$6:$G$56,0),14)=0)*(AB200&gt;=IFERROR('Recurring Items'!$G$6:$G$56,9000000000))+('Recurring Items'!$E$6:$E$56="Weekly")*(WEEKDAY(AB200)=IFERROR(WEEKDAY('Recurring Items'!$G$6:$G$56),0))*(AB200&gt;=IFERROR('Recurring Items'!$G$6:$G$56,9000000000))+('Recurring Items'!$E$6:$E$56="One-time")*(AB200='Recurring Items'!$G$6:$G$56)))</f>
        <v>601.16</v>
      </c>
      <c r="AF200" s="1" t="n">
        <f aca="false">(IF(AC200=1,'Debt Tracker'!$P$5&gt;0.01,INDEX('Debt Tracker'!$T$5:$AE$29,1,AC200-1)&gt;0.01))*('Recurring Items'!$H$8&lt;&gt;"Skip")*(DAY(AB200)='Recurring Items'!$F$8)*IFERROR(N('Recurring Items'!$D$8),0)+(IF(AC200=1,'Debt Tracker'!$P$6&gt;0.01,INDEX('Debt Tracker'!$T$5:$AE$29,2,AC200-1)&gt;0.01))*('Recurring Items'!$H$9&lt;&gt;"Skip")*(DAY(AB200)='Recurring Items'!$F$9)*IFERROR(N('Recurring Items'!$D$9),0)+(IF(AC200=1,'Debt Tracker'!$P$7&gt;0.01,INDEX('Debt Tracker'!$T$5:$AE$29,3,AC200-1)&gt;0.01))*('Recurring Items'!$H$10&lt;&gt;"Skip")*(DAY(AB200)='Recurring Items'!$F$10)*IFERROR(N('Recurring Items'!$D$10),0)+(IF(AC200=1,'Debt Tracker'!$P$8&gt;0.01,INDEX('Debt Tracker'!$T$5:$AE$29,4,AC200-1)&gt;0.01))*('Recurring Items'!$H$11&lt;&gt;"Skip")*(DAY(AB200)='Recurring Items'!$F$11)*IFERROR(N('Recurring Items'!$D$11),0)+(IF(AC200=1,'Debt Tracker'!$P$9&gt;0.01,INDEX('Debt Tracker'!$T$5:$AE$29,5,AC200-1)&gt;0.01))*('Recurring Items'!$H$12&lt;&gt;"Skip")*(DAY(AB200)='Recurring Items'!$F$12)*IFERROR(N('Recurring Items'!$D$12),0)+(IF(AC200=1,'Debt Tracker'!$P$10&gt;0.01,INDEX('Debt Tracker'!$T$5:$AE$29,6,AC200-1)&gt;0.01))*('Recurring Items'!$H$13&lt;&gt;"Skip")*(DAY(AB200)='Recurring Items'!$F$13)*IFERROR(N('Recurring Items'!$D$13),0)+(IF(AC200=1,'Debt Tracker'!$P$11&gt;0.01,INDEX('Debt Tracker'!$T$5:$AE$29,7,AC200-1)&gt;0.01))*('Recurring Items'!$H$14&lt;&gt;"Skip")*(DAY(AB200)='Recurring Items'!$F$14)*IFERROR(N('Recurring Items'!$D$14),0)+(IF(AC200=1,'Debt Tracker'!$P$12&gt;0.01,INDEX('Debt Tracker'!$T$5:$AE$29,8,AC200-1)&gt;0.01))*('Recurring Items'!$H$15&lt;&gt;"Skip")*(DAY(AB200)='Recurring Items'!$F$15)*IFERROR(N('Recurring Items'!$D$15),0)+(IF(AC200=1,'Debt Tracker'!$P$13&gt;0.01,INDEX('Debt Tracker'!$T$5:$AE$29,9,AC200-1)&gt;0.01))*('Recurring Items'!$H$16&lt;&gt;"Skip")*(DAY(AB200)='Recurring Items'!$F$16)*IFERROR(N('Recurring Items'!$D$16),0)+(IF(AC200=1,'Debt Tracker'!$P$14&gt;0.01,INDEX('Debt Tracker'!$T$5:$AE$29,10,AC200-1)&gt;0.01))*('Recurring Items'!$H$17&lt;&gt;"Skip")*(DAY(AB200)='Recurring Items'!$F$17)*IFERROR(N('Recurring Items'!$D$17),0)+(IF(AC200=1,'Debt Tracker'!$P$15&gt;0.01,INDEX('Debt Tracker'!$T$5:$AE$29,11,AC200-1)&gt;0.01))*('Recurring Items'!$H$18&lt;&gt;"Skip")*(DAY(AB200)='Recurring Items'!$F$18)*IFERROR(N('Recurring Items'!$D$18),0)+(IF(AC200=1,'Debt Tracker'!$P$16&gt;0.01,INDEX('Debt Tracker'!$T$5:$AE$29,12,AC200-1)&gt;0.01))*('Recurring Items'!$H$19&lt;&gt;"Skip")*(DAY(AB200)='Recurring Items'!$F$19)*IFERROR(N('Recurring Items'!$D$19),0)+(IF(AC200=1,'Debt Tracker'!$P$17&gt;0.01,INDEX('Debt Tracker'!$T$5:$AE$29,13,AC200-1)&gt;0.01))*('Recurring Items'!$H$20&lt;&gt;"Skip")*(DAY(AB200)='Recurring Items'!$F$20)*IFERROR(N('Recurring Items'!$D$20),0)+(IF(AC200=1,'Debt Tracker'!$P$18&gt;0.01,INDEX('Debt Tracker'!$T$5:$AE$29,14,AC200-1)&gt;0.01))*('Recurring Items'!$H$21&lt;&gt;"Skip")*(DAY(AB200)='Recurring Items'!$F$21)*IFERROR(N('Recurring Items'!$D$21),0)+(IF(AC200=1,'Debt Tracker'!$P$19&gt;0.01,INDEX('Debt Tracker'!$T$5:$AE$29,15,AC200-1)&gt;0.01))*('Recurring Items'!$H$22&lt;&gt;"Skip")*(DAY(AB200)='Recurring Items'!$F$22)*IFERROR(N('Recurring Items'!$D$22),0)+(IF(AC200=1,'Debt Tracker'!$P$20&gt;0.01,INDEX('Debt Tracker'!$T$5:$AE$29,16,AC200-1)&gt;0.01))*('Recurring Items'!$H$23&lt;&gt;"Skip")*(DAY(AB200)='Recurring Items'!$F$23)*IFERROR(N('Recurring Items'!$D$23),0)+(IF(AC200=1,'Debt Tracker'!$P$21&gt;0.01,INDEX('Debt Tracker'!$T$5:$AE$29,17,AC200-1)&gt;0.01))*('Recurring Items'!$H$24&lt;&gt;"Skip")*(DAY(AB200)='Recurring Items'!$F$24)*IFERROR(N('Recurring Items'!$D$24),0)+(IF(AC200=1,'Debt Tracker'!$P$22&gt;0.01,INDEX('Debt Tracker'!$T$5:$AE$29,18,AC200-1)&gt;0.01))*('Recurring Items'!$H$25&lt;&gt;"Skip")*(DAY(AB200)='Recurring Items'!$F$25)*IFERROR(N('Recurring Items'!$D$25),0)+(IF(AC200=1,'Debt Tracker'!$P$23&gt;0.01,INDEX('Debt Tracker'!$T$5:$AE$29,19,AC200-1)&gt;0.01))*('Recurring Items'!$H$26&lt;&gt;"Skip")*(DAY(AB200)='Recurring Items'!$F$26)*IFERROR(N('Recurring Items'!$D$26),0)+(IF(AC200=1,'Debt Tracker'!$P$24&gt;0.01,INDEX('Debt Tracker'!$T$5:$AE$29,20,AC200-1)&gt;0.01))*('Recurring Items'!$H$27&lt;&gt;"Skip")*(DAY(AB200)='Recurring Items'!$F$27)*IFERROR(N('Recurring Items'!$D$27),0)+(IF(AC200=1,'Debt Tracker'!$P$25&gt;0.01,INDEX('Debt Tracker'!$T$5:$AE$29,21,AC200-1)&gt;0.01))*('Recurring Items'!$H$28&lt;&gt;"Skip")*(DAY(AB200)='Recurring Items'!$F$28)*IFERROR(N('Recurring Items'!$D$28),0)+(IF(AC200=1,'Debt Tracker'!$P$26&gt;0.01,INDEX('Debt Tracker'!$T$5:$AE$29,22,AC200-1)&gt;0.01))*('Recurring Items'!$H$29&lt;&gt;"Skip")*(DAY(AB200)='Recurring Items'!$F$29)*IFERROR(N('Recurring Items'!$D$29),0)+(IF(AC200=1,'Debt Tracker'!$P$27&gt;0.01,INDEX('Debt Tracker'!$T$5:$AE$29,23,AC200-1)&gt;0.01))*('Recurring Items'!$H$30&lt;&gt;"Skip")*(DAY(AB200)='Recurring Items'!$F$30)*IFERROR(N('Recurring Items'!$D$30),0)+(IF(AC200=1,'Debt Tracker'!$P$28&gt;0.01,INDEX('Debt Tracker'!$T$5:$AE$29,24,AC200-1)&gt;0.01))*('Recurring Items'!$H$31&lt;&gt;"Skip")*(DAY(AB200)='Recurring Items'!$F$31)*IFERROR(N('Recurring Items'!$D$31),0)+(IF(AC200=1,'Debt Tracker'!$P$29&gt;0.01,INDEX('Debt Tracker'!$T$5:$AE$29,25,AC200-1)&gt;0.01))*('Recurring Items'!$H$32&lt;&gt;"Skip")*(DAY(AB200)='Recurring Items'!$F$32)*IFERROR(N('Recurring Items'!$D$32),0)</f>
        <v>557.5</v>
      </c>
      <c r="AG200" s="1" t="n">
        <f aca="false">AD200-AE200-AF200</f>
        <v>2661.13</v>
      </c>
      <c r="AH200" s="1" t="n">
        <f aca="false">$B$3+AG200</f>
        <v>6069.22</v>
      </c>
    </row>
    <row r="201" customFormat="false" ht="15" hidden="false" customHeight="true" outlineLevel="0" collapsed="false">
      <c r="AA201" s="1" t="n">
        <v>1</v>
      </c>
      <c r="AB201" s="145" t="n">
        <f aca="false">$D$3+1</f>
        <v>46144</v>
      </c>
      <c r="AC201" s="1" t="n">
        <f aca="false">MIN(12,1+DATEDIF($D$3,AB201,"M"))</f>
        <v>1</v>
      </c>
      <c r="AD201" s="1" t="n">
        <f aca="false">SUMPRODUCT(('Recurring Items'!$C$6:$C$56="Income")*('Recurring Items'!$H$6:$H$56&lt;&gt;"Skip")*IFERROR(N('Recurring Items'!$D$6:$D$56),0)*(('Recurring Items'!$E$6:$E$56="Monthly")*(DAY(AB201)='Recurring Items'!$F$6:$F$56)+('Recurring Items'!$E$6:$E$56="Bi-weekly")*(WEEKDAY(AB201)=IFERROR(WEEKDAY('Recurring Items'!$G$6:$G$56),0))*(MOD(AB201-IFERROR('Recurring Items'!$G$6:$G$56,0),14)=0)*(AB201&gt;=IFERROR('Recurring Items'!$G$6:$G$56,9000000000))+('Recurring Items'!$E$6:$E$56="Weekly")*(WEEKDAY(AB201)=IFERROR(WEEKDAY('Recurring Items'!$G$6:$G$56),0))*(AB201&gt;=IFERROR('Recurring Items'!$G$6:$G$56,9000000000))+('Recurring Items'!$E$6:$E$56="One-time")*(AB201='Recurring Items'!$G$6:$G$56)))</f>
        <v>0</v>
      </c>
      <c r="AE201" s="1" t="n">
        <f aca="false">SUMPRODUCT(('Recurring Items'!$C$6:$C$56="Expense")*('Recurring Items'!$H$6:$H$56&lt;&gt;"Skip")*IFERROR(N('Recurring Items'!$D$6:$D$56),0)*(('Recurring Items'!$E$6:$E$56="Monthly")*(DAY(AB201)='Recurring Items'!$F$6:$F$56)+('Recurring Items'!$E$6:$E$56="Bi-weekly")*(WEEKDAY(AB201)=IFERROR(WEEKDAY('Recurring Items'!$G$6:$G$56),0))*(MOD(AB201-IFERROR('Recurring Items'!$G$6:$G$56,0),14)=0)*(AB201&gt;=IFERROR('Recurring Items'!$G$6:$G$56,9000000000))+('Recurring Items'!$E$6:$E$56="Weekly")*(WEEKDAY(AB201)=IFERROR(WEEKDAY('Recurring Items'!$G$6:$G$56),0))*(AB201&gt;=IFERROR('Recurring Items'!$G$6:$G$56,9000000000))+('Recurring Items'!$E$6:$E$56="One-time")*(AB201='Recurring Items'!$G$6:$G$56)))</f>
        <v>0</v>
      </c>
      <c r="AF201" s="1" t="n">
        <f aca="false">(IF(AC201=1,'Debt Tracker'!$P$5&gt;0.01,INDEX('Debt Tracker'!$T$5:$AE$29,1,AC201-1)&gt;0.01))*('Recurring Items'!$H$8&lt;&gt;"Skip")*(DAY(AB201)='Recurring Items'!$F$8)*IFERROR(N('Recurring Items'!$D$8),0)+(IF(AC201=1,'Debt Tracker'!$P$6&gt;0.01,INDEX('Debt Tracker'!$T$5:$AE$29,2,AC201-1)&gt;0.01))*('Recurring Items'!$H$9&lt;&gt;"Skip")*(DAY(AB201)='Recurring Items'!$F$9)*IFERROR(N('Recurring Items'!$D$9),0)+(IF(AC201=1,'Debt Tracker'!$P$7&gt;0.01,INDEX('Debt Tracker'!$T$5:$AE$29,3,AC201-1)&gt;0.01))*('Recurring Items'!$H$10&lt;&gt;"Skip")*(DAY(AB201)='Recurring Items'!$F$10)*IFERROR(N('Recurring Items'!$D$10),0)+(IF(AC201=1,'Debt Tracker'!$P$8&gt;0.01,INDEX('Debt Tracker'!$T$5:$AE$29,4,AC201-1)&gt;0.01))*('Recurring Items'!$H$11&lt;&gt;"Skip")*(DAY(AB201)='Recurring Items'!$F$11)*IFERROR(N('Recurring Items'!$D$11),0)+(IF(AC201=1,'Debt Tracker'!$P$9&gt;0.01,INDEX('Debt Tracker'!$T$5:$AE$29,5,AC201-1)&gt;0.01))*('Recurring Items'!$H$12&lt;&gt;"Skip")*(DAY(AB201)='Recurring Items'!$F$12)*IFERROR(N('Recurring Items'!$D$12),0)+(IF(AC201=1,'Debt Tracker'!$P$10&gt;0.01,INDEX('Debt Tracker'!$T$5:$AE$29,6,AC201-1)&gt;0.01))*('Recurring Items'!$H$13&lt;&gt;"Skip")*(DAY(AB201)='Recurring Items'!$F$13)*IFERROR(N('Recurring Items'!$D$13),0)+(IF(AC201=1,'Debt Tracker'!$P$11&gt;0.01,INDEX('Debt Tracker'!$T$5:$AE$29,7,AC201-1)&gt;0.01))*('Recurring Items'!$H$14&lt;&gt;"Skip")*(DAY(AB201)='Recurring Items'!$F$14)*IFERROR(N('Recurring Items'!$D$14),0)+(IF(AC201=1,'Debt Tracker'!$P$12&gt;0.01,INDEX('Debt Tracker'!$T$5:$AE$29,8,AC201-1)&gt;0.01))*('Recurring Items'!$H$15&lt;&gt;"Skip")*(DAY(AB201)='Recurring Items'!$F$15)*IFERROR(N('Recurring Items'!$D$15),0)+(IF(AC201=1,'Debt Tracker'!$P$13&gt;0.01,INDEX('Debt Tracker'!$T$5:$AE$29,9,AC201-1)&gt;0.01))*('Recurring Items'!$H$16&lt;&gt;"Skip")*(DAY(AB201)='Recurring Items'!$F$16)*IFERROR(N('Recurring Items'!$D$16),0)+(IF(AC201=1,'Debt Tracker'!$P$14&gt;0.01,INDEX('Debt Tracker'!$T$5:$AE$29,10,AC201-1)&gt;0.01))*('Recurring Items'!$H$17&lt;&gt;"Skip")*(DAY(AB201)='Recurring Items'!$F$17)*IFERROR(N('Recurring Items'!$D$17),0)+(IF(AC201=1,'Debt Tracker'!$P$15&gt;0.01,INDEX('Debt Tracker'!$T$5:$AE$29,11,AC201-1)&gt;0.01))*('Recurring Items'!$H$18&lt;&gt;"Skip")*(DAY(AB201)='Recurring Items'!$F$18)*IFERROR(N('Recurring Items'!$D$18),0)+(IF(AC201=1,'Debt Tracker'!$P$16&gt;0.01,INDEX('Debt Tracker'!$T$5:$AE$29,12,AC201-1)&gt;0.01))*('Recurring Items'!$H$19&lt;&gt;"Skip")*(DAY(AB201)='Recurring Items'!$F$19)*IFERROR(N('Recurring Items'!$D$19),0)+(IF(AC201=1,'Debt Tracker'!$P$17&gt;0.01,INDEX('Debt Tracker'!$T$5:$AE$29,13,AC201-1)&gt;0.01))*('Recurring Items'!$H$20&lt;&gt;"Skip")*(DAY(AB201)='Recurring Items'!$F$20)*IFERROR(N('Recurring Items'!$D$20),0)+(IF(AC201=1,'Debt Tracker'!$P$18&gt;0.01,INDEX('Debt Tracker'!$T$5:$AE$29,14,AC201-1)&gt;0.01))*('Recurring Items'!$H$21&lt;&gt;"Skip")*(DAY(AB201)='Recurring Items'!$F$21)*IFERROR(N('Recurring Items'!$D$21),0)+(IF(AC201=1,'Debt Tracker'!$P$19&gt;0.01,INDEX('Debt Tracker'!$T$5:$AE$29,15,AC201-1)&gt;0.01))*('Recurring Items'!$H$22&lt;&gt;"Skip")*(DAY(AB201)='Recurring Items'!$F$22)*IFERROR(N('Recurring Items'!$D$22),0)+(IF(AC201=1,'Debt Tracker'!$P$20&gt;0.01,INDEX('Debt Tracker'!$T$5:$AE$29,16,AC201-1)&gt;0.01))*('Recurring Items'!$H$23&lt;&gt;"Skip")*(DAY(AB201)='Recurring Items'!$F$23)*IFERROR(N('Recurring Items'!$D$23),0)+(IF(AC201=1,'Debt Tracker'!$P$21&gt;0.01,INDEX('Debt Tracker'!$T$5:$AE$29,17,AC201-1)&gt;0.01))*('Recurring Items'!$H$24&lt;&gt;"Skip")*(DAY(AB201)='Recurring Items'!$F$24)*IFERROR(N('Recurring Items'!$D$24),0)+(IF(AC201=1,'Debt Tracker'!$P$22&gt;0.01,INDEX('Debt Tracker'!$T$5:$AE$29,18,AC201-1)&gt;0.01))*('Recurring Items'!$H$25&lt;&gt;"Skip")*(DAY(AB201)='Recurring Items'!$F$25)*IFERROR(N('Recurring Items'!$D$25),0)+(IF(AC201=1,'Debt Tracker'!$P$23&gt;0.01,INDEX('Debt Tracker'!$T$5:$AE$29,19,AC201-1)&gt;0.01))*('Recurring Items'!$H$26&lt;&gt;"Skip")*(DAY(AB201)='Recurring Items'!$F$26)*IFERROR(N('Recurring Items'!$D$26),0)+(IF(AC201=1,'Debt Tracker'!$P$24&gt;0.01,INDEX('Debt Tracker'!$T$5:$AE$29,20,AC201-1)&gt;0.01))*('Recurring Items'!$H$27&lt;&gt;"Skip")*(DAY(AB201)='Recurring Items'!$F$27)*IFERROR(N('Recurring Items'!$D$27),0)+(IF(AC201=1,'Debt Tracker'!$P$25&gt;0.01,INDEX('Debt Tracker'!$T$5:$AE$29,21,AC201-1)&gt;0.01))*('Recurring Items'!$H$28&lt;&gt;"Skip")*(DAY(AB201)='Recurring Items'!$F$28)*IFERROR(N('Recurring Items'!$D$28),0)+(IF(AC201=1,'Debt Tracker'!$P$26&gt;0.01,INDEX('Debt Tracker'!$T$5:$AE$29,22,AC201-1)&gt;0.01))*('Recurring Items'!$H$29&lt;&gt;"Skip")*(DAY(AB201)='Recurring Items'!$F$29)*IFERROR(N('Recurring Items'!$D$29),0)+(IF(AC201=1,'Debt Tracker'!$P$27&gt;0.01,INDEX('Debt Tracker'!$T$5:$AE$29,23,AC201-1)&gt;0.01))*('Recurring Items'!$H$30&lt;&gt;"Skip")*(DAY(AB201)='Recurring Items'!$F$30)*IFERROR(N('Recurring Items'!$D$30),0)+(IF(AC201=1,'Debt Tracker'!$P$28&gt;0.01,INDEX('Debt Tracker'!$T$5:$AE$29,24,AC201-1)&gt;0.01))*('Recurring Items'!$H$31&lt;&gt;"Skip")*(DAY(AB201)='Recurring Items'!$F$31)*IFERROR(N('Recurring Items'!$D$31),0)+(IF(AC201=1,'Debt Tracker'!$P$29&gt;0.01,INDEX('Debt Tracker'!$T$5:$AE$29,25,AC201-1)&gt;0.01))*('Recurring Items'!$H$32&lt;&gt;"Skip")*(DAY(AB201)='Recurring Items'!$F$32)*IFERROR(N('Recurring Items'!$D$32),0)</f>
        <v>1309.17</v>
      </c>
      <c r="AG201" s="1" t="n">
        <f aca="false">AD201-AE201-AF201</f>
        <v>-1309.17</v>
      </c>
      <c r="AH201" s="1" t="n">
        <f aca="false">AH200+AG201</f>
        <v>4760.05</v>
      </c>
    </row>
    <row r="202" customFormat="false" ht="15" hidden="false" customHeight="true" outlineLevel="0" collapsed="false">
      <c r="AA202" s="1" t="n">
        <v>2</v>
      </c>
      <c r="AB202" s="145" t="n">
        <f aca="false">$D$3+2</f>
        <v>46145</v>
      </c>
      <c r="AC202" s="1" t="n">
        <f aca="false">MIN(12,1+DATEDIF($D$3,AB202,"M"))</f>
        <v>1</v>
      </c>
      <c r="AD202" s="1" t="n">
        <f aca="false">SUMPRODUCT(('Recurring Items'!$C$6:$C$56="Income")*('Recurring Items'!$H$6:$H$56&lt;&gt;"Skip")*IFERROR(N('Recurring Items'!$D$6:$D$56),0)*(('Recurring Items'!$E$6:$E$56="Monthly")*(DAY(AB202)='Recurring Items'!$F$6:$F$56)+('Recurring Items'!$E$6:$E$56="Bi-weekly")*(WEEKDAY(AB202)=IFERROR(WEEKDAY('Recurring Items'!$G$6:$G$56),0))*(MOD(AB202-IFERROR('Recurring Items'!$G$6:$G$56,0),14)=0)*(AB202&gt;=IFERROR('Recurring Items'!$G$6:$G$56,9000000000))+('Recurring Items'!$E$6:$E$56="Weekly")*(WEEKDAY(AB202)=IFERROR(WEEKDAY('Recurring Items'!$G$6:$G$56),0))*(AB202&gt;=IFERROR('Recurring Items'!$G$6:$G$56,9000000000))+('Recurring Items'!$E$6:$E$56="One-time")*(AB202='Recurring Items'!$G$6:$G$56)))</f>
        <v>0</v>
      </c>
      <c r="AE202" s="1" t="n">
        <f aca="false">SUMPRODUCT(('Recurring Items'!$C$6:$C$56="Expense")*('Recurring Items'!$H$6:$H$56&lt;&gt;"Skip")*IFERROR(N('Recurring Items'!$D$6:$D$56),0)*(('Recurring Items'!$E$6:$E$56="Monthly")*(DAY(AB202)='Recurring Items'!$F$6:$F$56)+('Recurring Items'!$E$6:$E$56="Bi-weekly")*(WEEKDAY(AB202)=IFERROR(WEEKDAY('Recurring Items'!$G$6:$G$56),0))*(MOD(AB202-IFERROR('Recurring Items'!$G$6:$G$56,0),14)=0)*(AB202&gt;=IFERROR('Recurring Items'!$G$6:$G$56,9000000000))+('Recurring Items'!$E$6:$E$56="Weekly")*(WEEKDAY(AB202)=IFERROR(WEEKDAY('Recurring Items'!$G$6:$G$56),0))*(AB202&gt;=IFERROR('Recurring Items'!$G$6:$G$56,9000000000))+('Recurring Items'!$E$6:$E$56="One-time")*(AB202='Recurring Items'!$G$6:$G$56)))</f>
        <v>927.53</v>
      </c>
      <c r="AF202" s="1" t="n">
        <f aca="false">(IF(AC202=1,'Debt Tracker'!$P$5&gt;0.01,INDEX('Debt Tracker'!$T$5:$AE$29,1,AC202-1)&gt;0.01))*('Recurring Items'!$H$8&lt;&gt;"Skip")*(DAY(AB202)='Recurring Items'!$F$8)*IFERROR(N('Recurring Items'!$D$8),0)+(IF(AC202=1,'Debt Tracker'!$P$6&gt;0.01,INDEX('Debt Tracker'!$T$5:$AE$29,2,AC202-1)&gt;0.01))*('Recurring Items'!$H$9&lt;&gt;"Skip")*(DAY(AB202)='Recurring Items'!$F$9)*IFERROR(N('Recurring Items'!$D$9),0)+(IF(AC202=1,'Debt Tracker'!$P$7&gt;0.01,INDEX('Debt Tracker'!$T$5:$AE$29,3,AC202-1)&gt;0.01))*('Recurring Items'!$H$10&lt;&gt;"Skip")*(DAY(AB202)='Recurring Items'!$F$10)*IFERROR(N('Recurring Items'!$D$10),0)+(IF(AC202=1,'Debt Tracker'!$P$8&gt;0.01,INDEX('Debt Tracker'!$T$5:$AE$29,4,AC202-1)&gt;0.01))*('Recurring Items'!$H$11&lt;&gt;"Skip")*(DAY(AB202)='Recurring Items'!$F$11)*IFERROR(N('Recurring Items'!$D$11),0)+(IF(AC202=1,'Debt Tracker'!$P$9&gt;0.01,INDEX('Debt Tracker'!$T$5:$AE$29,5,AC202-1)&gt;0.01))*('Recurring Items'!$H$12&lt;&gt;"Skip")*(DAY(AB202)='Recurring Items'!$F$12)*IFERROR(N('Recurring Items'!$D$12),0)+(IF(AC202=1,'Debt Tracker'!$P$10&gt;0.01,INDEX('Debt Tracker'!$T$5:$AE$29,6,AC202-1)&gt;0.01))*('Recurring Items'!$H$13&lt;&gt;"Skip")*(DAY(AB202)='Recurring Items'!$F$13)*IFERROR(N('Recurring Items'!$D$13),0)+(IF(AC202=1,'Debt Tracker'!$P$11&gt;0.01,INDEX('Debt Tracker'!$T$5:$AE$29,7,AC202-1)&gt;0.01))*('Recurring Items'!$H$14&lt;&gt;"Skip")*(DAY(AB202)='Recurring Items'!$F$14)*IFERROR(N('Recurring Items'!$D$14),0)+(IF(AC202=1,'Debt Tracker'!$P$12&gt;0.01,INDEX('Debt Tracker'!$T$5:$AE$29,8,AC202-1)&gt;0.01))*('Recurring Items'!$H$15&lt;&gt;"Skip")*(DAY(AB202)='Recurring Items'!$F$15)*IFERROR(N('Recurring Items'!$D$15),0)+(IF(AC202=1,'Debt Tracker'!$P$13&gt;0.01,INDEX('Debt Tracker'!$T$5:$AE$29,9,AC202-1)&gt;0.01))*('Recurring Items'!$H$16&lt;&gt;"Skip")*(DAY(AB202)='Recurring Items'!$F$16)*IFERROR(N('Recurring Items'!$D$16),0)+(IF(AC202=1,'Debt Tracker'!$P$14&gt;0.01,INDEX('Debt Tracker'!$T$5:$AE$29,10,AC202-1)&gt;0.01))*('Recurring Items'!$H$17&lt;&gt;"Skip")*(DAY(AB202)='Recurring Items'!$F$17)*IFERROR(N('Recurring Items'!$D$17),0)+(IF(AC202=1,'Debt Tracker'!$P$15&gt;0.01,INDEX('Debt Tracker'!$T$5:$AE$29,11,AC202-1)&gt;0.01))*('Recurring Items'!$H$18&lt;&gt;"Skip")*(DAY(AB202)='Recurring Items'!$F$18)*IFERROR(N('Recurring Items'!$D$18),0)+(IF(AC202=1,'Debt Tracker'!$P$16&gt;0.01,INDEX('Debt Tracker'!$T$5:$AE$29,12,AC202-1)&gt;0.01))*('Recurring Items'!$H$19&lt;&gt;"Skip")*(DAY(AB202)='Recurring Items'!$F$19)*IFERROR(N('Recurring Items'!$D$19),0)+(IF(AC202=1,'Debt Tracker'!$P$17&gt;0.01,INDEX('Debt Tracker'!$T$5:$AE$29,13,AC202-1)&gt;0.01))*('Recurring Items'!$H$20&lt;&gt;"Skip")*(DAY(AB202)='Recurring Items'!$F$20)*IFERROR(N('Recurring Items'!$D$20),0)+(IF(AC202=1,'Debt Tracker'!$P$18&gt;0.01,INDEX('Debt Tracker'!$T$5:$AE$29,14,AC202-1)&gt;0.01))*('Recurring Items'!$H$21&lt;&gt;"Skip")*(DAY(AB202)='Recurring Items'!$F$21)*IFERROR(N('Recurring Items'!$D$21),0)+(IF(AC202=1,'Debt Tracker'!$P$19&gt;0.01,INDEX('Debt Tracker'!$T$5:$AE$29,15,AC202-1)&gt;0.01))*('Recurring Items'!$H$22&lt;&gt;"Skip")*(DAY(AB202)='Recurring Items'!$F$22)*IFERROR(N('Recurring Items'!$D$22),0)+(IF(AC202=1,'Debt Tracker'!$P$20&gt;0.01,INDEX('Debt Tracker'!$T$5:$AE$29,16,AC202-1)&gt;0.01))*('Recurring Items'!$H$23&lt;&gt;"Skip")*(DAY(AB202)='Recurring Items'!$F$23)*IFERROR(N('Recurring Items'!$D$23),0)+(IF(AC202=1,'Debt Tracker'!$P$21&gt;0.01,INDEX('Debt Tracker'!$T$5:$AE$29,17,AC202-1)&gt;0.01))*('Recurring Items'!$H$24&lt;&gt;"Skip")*(DAY(AB202)='Recurring Items'!$F$24)*IFERROR(N('Recurring Items'!$D$24),0)+(IF(AC202=1,'Debt Tracker'!$P$22&gt;0.01,INDEX('Debt Tracker'!$T$5:$AE$29,18,AC202-1)&gt;0.01))*('Recurring Items'!$H$25&lt;&gt;"Skip")*(DAY(AB202)='Recurring Items'!$F$25)*IFERROR(N('Recurring Items'!$D$25),0)+(IF(AC202=1,'Debt Tracker'!$P$23&gt;0.01,INDEX('Debt Tracker'!$T$5:$AE$29,19,AC202-1)&gt;0.01))*('Recurring Items'!$H$26&lt;&gt;"Skip")*(DAY(AB202)='Recurring Items'!$F$26)*IFERROR(N('Recurring Items'!$D$26),0)+(IF(AC202=1,'Debt Tracker'!$P$24&gt;0.01,INDEX('Debt Tracker'!$T$5:$AE$29,20,AC202-1)&gt;0.01))*('Recurring Items'!$H$27&lt;&gt;"Skip")*(DAY(AB202)='Recurring Items'!$F$27)*IFERROR(N('Recurring Items'!$D$27),0)+(IF(AC202=1,'Debt Tracker'!$P$25&gt;0.01,INDEX('Debt Tracker'!$T$5:$AE$29,21,AC202-1)&gt;0.01))*('Recurring Items'!$H$28&lt;&gt;"Skip")*(DAY(AB202)='Recurring Items'!$F$28)*IFERROR(N('Recurring Items'!$D$28),0)+(IF(AC202=1,'Debt Tracker'!$P$26&gt;0.01,INDEX('Debt Tracker'!$T$5:$AE$29,22,AC202-1)&gt;0.01))*('Recurring Items'!$H$29&lt;&gt;"Skip")*(DAY(AB202)='Recurring Items'!$F$29)*IFERROR(N('Recurring Items'!$D$29),0)+(IF(AC202=1,'Debt Tracker'!$P$27&gt;0.01,INDEX('Debt Tracker'!$T$5:$AE$29,23,AC202-1)&gt;0.01))*('Recurring Items'!$H$30&lt;&gt;"Skip")*(DAY(AB202)='Recurring Items'!$F$30)*IFERROR(N('Recurring Items'!$D$30),0)+(IF(AC202=1,'Debt Tracker'!$P$28&gt;0.01,INDEX('Debt Tracker'!$T$5:$AE$29,24,AC202-1)&gt;0.01))*('Recurring Items'!$H$31&lt;&gt;"Skip")*(DAY(AB202)='Recurring Items'!$F$31)*IFERROR(N('Recurring Items'!$D$31),0)+(IF(AC202=1,'Debt Tracker'!$P$29&gt;0.01,INDEX('Debt Tracker'!$T$5:$AE$29,25,AC202-1)&gt;0.01))*('Recurring Items'!$H$32&lt;&gt;"Skip")*(DAY(AB202)='Recurring Items'!$F$32)*IFERROR(N('Recurring Items'!$D$32),0)</f>
        <v>0</v>
      </c>
      <c r="AG202" s="1" t="n">
        <f aca="false">AD202-AE202-AF202</f>
        <v>-927.53</v>
      </c>
      <c r="AH202" s="1" t="n">
        <f aca="false">AH201+AG202</f>
        <v>3832.52</v>
      </c>
    </row>
    <row r="203" customFormat="false" ht="15" hidden="false" customHeight="true" outlineLevel="0" collapsed="false">
      <c r="AA203" s="1" t="n">
        <v>3</v>
      </c>
      <c r="AB203" s="145" t="n">
        <f aca="false">$D$3+3</f>
        <v>46146</v>
      </c>
      <c r="AC203" s="1" t="n">
        <f aca="false">MIN(12,1+DATEDIF($D$3,AB203,"M"))</f>
        <v>1</v>
      </c>
      <c r="AD203" s="1" t="n">
        <f aca="false">SUMPRODUCT(('Recurring Items'!$C$6:$C$56="Income")*('Recurring Items'!$H$6:$H$56&lt;&gt;"Skip")*IFERROR(N('Recurring Items'!$D$6:$D$56),0)*(('Recurring Items'!$E$6:$E$56="Monthly")*(DAY(AB203)='Recurring Items'!$F$6:$F$56)+('Recurring Items'!$E$6:$E$56="Bi-weekly")*(WEEKDAY(AB203)=IFERROR(WEEKDAY('Recurring Items'!$G$6:$G$56),0))*(MOD(AB203-IFERROR('Recurring Items'!$G$6:$G$56,0),14)=0)*(AB203&gt;=IFERROR('Recurring Items'!$G$6:$G$56,9000000000))+('Recurring Items'!$E$6:$E$56="Weekly")*(WEEKDAY(AB203)=IFERROR(WEEKDAY('Recurring Items'!$G$6:$G$56),0))*(AB203&gt;=IFERROR('Recurring Items'!$G$6:$G$56,9000000000))+('Recurring Items'!$E$6:$E$56="One-time")*(AB203='Recurring Items'!$G$6:$G$56)))</f>
        <v>0</v>
      </c>
      <c r="AE203" s="1" t="n">
        <f aca="false">SUMPRODUCT(('Recurring Items'!$C$6:$C$56="Expense")*('Recurring Items'!$H$6:$H$56&lt;&gt;"Skip")*IFERROR(N('Recurring Items'!$D$6:$D$56),0)*(('Recurring Items'!$E$6:$E$56="Monthly")*(DAY(AB203)='Recurring Items'!$F$6:$F$56)+('Recurring Items'!$E$6:$E$56="Bi-weekly")*(WEEKDAY(AB203)=IFERROR(WEEKDAY('Recurring Items'!$G$6:$G$56),0))*(MOD(AB203-IFERROR('Recurring Items'!$G$6:$G$56,0),14)=0)*(AB203&gt;=IFERROR('Recurring Items'!$G$6:$G$56,9000000000))+('Recurring Items'!$E$6:$E$56="Weekly")*(WEEKDAY(AB203)=IFERROR(WEEKDAY('Recurring Items'!$G$6:$G$56),0))*(AB203&gt;=IFERROR('Recurring Items'!$G$6:$G$56,9000000000))+('Recurring Items'!$E$6:$E$56="One-time")*(AB203='Recurring Items'!$G$6:$G$56)))</f>
        <v>0</v>
      </c>
      <c r="AF203" s="1" t="n">
        <f aca="false">(IF(AC203=1,'Debt Tracker'!$P$5&gt;0.01,INDEX('Debt Tracker'!$T$5:$AE$29,1,AC203-1)&gt;0.01))*('Recurring Items'!$H$8&lt;&gt;"Skip")*(DAY(AB203)='Recurring Items'!$F$8)*IFERROR(N('Recurring Items'!$D$8),0)+(IF(AC203=1,'Debt Tracker'!$P$6&gt;0.01,INDEX('Debt Tracker'!$T$5:$AE$29,2,AC203-1)&gt;0.01))*('Recurring Items'!$H$9&lt;&gt;"Skip")*(DAY(AB203)='Recurring Items'!$F$9)*IFERROR(N('Recurring Items'!$D$9),0)+(IF(AC203=1,'Debt Tracker'!$P$7&gt;0.01,INDEX('Debt Tracker'!$T$5:$AE$29,3,AC203-1)&gt;0.01))*('Recurring Items'!$H$10&lt;&gt;"Skip")*(DAY(AB203)='Recurring Items'!$F$10)*IFERROR(N('Recurring Items'!$D$10),0)+(IF(AC203=1,'Debt Tracker'!$P$8&gt;0.01,INDEX('Debt Tracker'!$T$5:$AE$29,4,AC203-1)&gt;0.01))*('Recurring Items'!$H$11&lt;&gt;"Skip")*(DAY(AB203)='Recurring Items'!$F$11)*IFERROR(N('Recurring Items'!$D$11),0)+(IF(AC203=1,'Debt Tracker'!$P$9&gt;0.01,INDEX('Debt Tracker'!$T$5:$AE$29,5,AC203-1)&gt;0.01))*('Recurring Items'!$H$12&lt;&gt;"Skip")*(DAY(AB203)='Recurring Items'!$F$12)*IFERROR(N('Recurring Items'!$D$12),0)+(IF(AC203=1,'Debt Tracker'!$P$10&gt;0.01,INDEX('Debt Tracker'!$T$5:$AE$29,6,AC203-1)&gt;0.01))*('Recurring Items'!$H$13&lt;&gt;"Skip")*(DAY(AB203)='Recurring Items'!$F$13)*IFERROR(N('Recurring Items'!$D$13),0)+(IF(AC203=1,'Debt Tracker'!$P$11&gt;0.01,INDEX('Debt Tracker'!$T$5:$AE$29,7,AC203-1)&gt;0.01))*('Recurring Items'!$H$14&lt;&gt;"Skip")*(DAY(AB203)='Recurring Items'!$F$14)*IFERROR(N('Recurring Items'!$D$14),0)+(IF(AC203=1,'Debt Tracker'!$P$12&gt;0.01,INDEX('Debt Tracker'!$T$5:$AE$29,8,AC203-1)&gt;0.01))*('Recurring Items'!$H$15&lt;&gt;"Skip")*(DAY(AB203)='Recurring Items'!$F$15)*IFERROR(N('Recurring Items'!$D$15),0)+(IF(AC203=1,'Debt Tracker'!$P$13&gt;0.01,INDEX('Debt Tracker'!$T$5:$AE$29,9,AC203-1)&gt;0.01))*('Recurring Items'!$H$16&lt;&gt;"Skip")*(DAY(AB203)='Recurring Items'!$F$16)*IFERROR(N('Recurring Items'!$D$16),0)+(IF(AC203=1,'Debt Tracker'!$P$14&gt;0.01,INDEX('Debt Tracker'!$T$5:$AE$29,10,AC203-1)&gt;0.01))*('Recurring Items'!$H$17&lt;&gt;"Skip")*(DAY(AB203)='Recurring Items'!$F$17)*IFERROR(N('Recurring Items'!$D$17),0)+(IF(AC203=1,'Debt Tracker'!$P$15&gt;0.01,INDEX('Debt Tracker'!$T$5:$AE$29,11,AC203-1)&gt;0.01))*('Recurring Items'!$H$18&lt;&gt;"Skip")*(DAY(AB203)='Recurring Items'!$F$18)*IFERROR(N('Recurring Items'!$D$18),0)+(IF(AC203=1,'Debt Tracker'!$P$16&gt;0.01,INDEX('Debt Tracker'!$T$5:$AE$29,12,AC203-1)&gt;0.01))*('Recurring Items'!$H$19&lt;&gt;"Skip")*(DAY(AB203)='Recurring Items'!$F$19)*IFERROR(N('Recurring Items'!$D$19),0)+(IF(AC203=1,'Debt Tracker'!$P$17&gt;0.01,INDEX('Debt Tracker'!$T$5:$AE$29,13,AC203-1)&gt;0.01))*('Recurring Items'!$H$20&lt;&gt;"Skip")*(DAY(AB203)='Recurring Items'!$F$20)*IFERROR(N('Recurring Items'!$D$20),0)+(IF(AC203=1,'Debt Tracker'!$P$18&gt;0.01,INDEX('Debt Tracker'!$T$5:$AE$29,14,AC203-1)&gt;0.01))*('Recurring Items'!$H$21&lt;&gt;"Skip")*(DAY(AB203)='Recurring Items'!$F$21)*IFERROR(N('Recurring Items'!$D$21),0)+(IF(AC203=1,'Debt Tracker'!$P$19&gt;0.01,INDEX('Debt Tracker'!$T$5:$AE$29,15,AC203-1)&gt;0.01))*('Recurring Items'!$H$22&lt;&gt;"Skip")*(DAY(AB203)='Recurring Items'!$F$22)*IFERROR(N('Recurring Items'!$D$22),0)+(IF(AC203=1,'Debt Tracker'!$P$20&gt;0.01,INDEX('Debt Tracker'!$T$5:$AE$29,16,AC203-1)&gt;0.01))*('Recurring Items'!$H$23&lt;&gt;"Skip")*(DAY(AB203)='Recurring Items'!$F$23)*IFERROR(N('Recurring Items'!$D$23),0)+(IF(AC203=1,'Debt Tracker'!$P$21&gt;0.01,INDEX('Debt Tracker'!$T$5:$AE$29,17,AC203-1)&gt;0.01))*('Recurring Items'!$H$24&lt;&gt;"Skip")*(DAY(AB203)='Recurring Items'!$F$24)*IFERROR(N('Recurring Items'!$D$24),0)+(IF(AC203=1,'Debt Tracker'!$P$22&gt;0.01,INDEX('Debt Tracker'!$T$5:$AE$29,18,AC203-1)&gt;0.01))*('Recurring Items'!$H$25&lt;&gt;"Skip")*(DAY(AB203)='Recurring Items'!$F$25)*IFERROR(N('Recurring Items'!$D$25),0)+(IF(AC203=1,'Debt Tracker'!$P$23&gt;0.01,INDEX('Debt Tracker'!$T$5:$AE$29,19,AC203-1)&gt;0.01))*('Recurring Items'!$H$26&lt;&gt;"Skip")*(DAY(AB203)='Recurring Items'!$F$26)*IFERROR(N('Recurring Items'!$D$26),0)+(IF(AC203=1,'Debt Tracker'!$P$24&gt;0.01,INDEX('Debt Tracker'!$T$5:$AE$29,20,AC203-1)&gt;0.01))*('Recurring Items'!$H$27&lt;&gt;"Skip")*(DAY(AB203)='Recurring Items'!$F$27)*IFERROR(N('Recurring Items'!$D$27),0)+(IF(AC203=1,'Debt Tracker'!$P$25&gt;0.01,INDEX('Debt Tracker'!$T$5:$AE$29,21,AC203-1)&gt;0.01))*('Recurring Items'!$H$28&lt;&gt;"Skip")*(DAY(AB203)='Recurring Items'!$F$28)*IFERROR(N('Recurring Items'!$D$28),0)+(IF(AC203=1,'Debt Tracker'!$P$26&gt;0.01,INDEX('Debt Tracker'!$T$5:$AE$29,22,AC203-1)&gt;0.01))*('Recurring Items'!$H$29&lt;&gt;"Skip")*(DAY(AB203)='Recurring Items'!$F$29)*IFERROR(N('Recurring Items'!$D$29),0)+(IF(AC203=1,'Debt Tracker'!$P$27&gt;0.01,INDEX('Debt Tracker'!$T$5:$AE$29,23,AC203-1)&gt;0.01))*('Recurring Items'!$H$30&lt;&gt;"Skip")*(DAY(AB203)='Recurring Items'!$F$30)*IFERROR(N('Recurring Items'!$D$30),0)+(IF(AC203=1,'Debt Tracker'!$P$28&gt;0.01,INDEX('Debt Tracker'!$T$5:$AE$29,24,AC203-1)&gt;0.01))*('Recurring Items'!$H$31&lt;&gt;"Skip")*(DAY(AB203)='Recurring Items'!$F$31)*IFERROR(N('Recurring Items'!$D$31),0)+(IF(AC203=1,'Debt Tracker'!$P$29&gt;0.01,INDEX('Debt Tracker'!$T$5:$AE$29,25,AC203-1)&gt;0.01))*('Recurring Items'!$H$32&lt;&gt;"Skip")*(DAY(AB203)='Recurring Items'!$F$32)*IFERROR(N('Recurring Items'!$D$32),0)</f>
        <v>0</v>
      </c>
      <c r="AG203" s="1" t="n">
        <f aca="false">AD203-AE203-AF203</f>
        <v>0</v>
      </c>
      <c r="AH203" s="1" t="n">
        <f aca="false">AH202+AG203</f>
        <v>3832.52</v>
      </c>
    </row>
    <row r="204" customFormat="false" ht="15" hidden="false" customHeight="true" outlineLevel="0" collapsed="false">
      <c r="AA204" s="1" t="n">
        <v>4</v>
      </c>
      <c r="AB204" s="145" t="n">
        <f aca="false">$D$3+4</f>
        <v>46147</v>
      </c>
      <c r="AC204" s="1" t="n">
        <f aca="false">MIN(12,1+DATEDIF($D$3,AB204,"M"))</f>
        <v>1</v>
      </c>
      <c r="AD204" s="1" t="n">
        <f aca="false">SUMPRODUCT(('Recurring Items'!$C$6:$C$56="Income")*('Recurring Items'!$H$6:$H$56&lt;&gt;"Skip")*IFERROR(N('Recurring Items'!$D$6:$D$56),0)*(('Recurring Items'!$E$6:$E$56="Monthly")*(DAY(AB204)='Recurring Items'!$F$6:$F$56)+('Recurring Items'!$E$6:$E$56="Bi-weekly")*(WEEKDAY(AB204)=IFERROR(WEEKDAY('Recurring Items'!$G$6:$G$56),0))*(MOD(AB204-IFERROR('Recurring Items'!$G$6:$G$56,0),14)=0)*(AB204&gt;=IFERROR('Recurring Items'!$G$6:$G$56,9000000000))+('Recurring Items'!$E$6:$E$56="Weekly")*(WEEKDAY(AB204)=IFERROR(WEEKDAY('Recurring Items'!$G$6:$G$56),0))*(AB204&gt;=IFERROR('Recurring Items'!$G$6:$G$56,9000000000))+('Recurring Items'!$E$6:$E$56="One-time")*(AB204='Recurring Items'!$G$6:$G$56)))</f>
        <v>0</v>
      </c>
      <c r="AE204" s="1" t="n">
        <f aca="false">SUMPRODUCT(('Recurring Items'!$C$6:$C$56="Expense")*('Recurring Items'!$H$6:$H$56&lt;&gt;"Skip")*IFERROR(N('Recurring Items'!$D$6:$D$56),0)*(('Recurring Items'!$E$6:$E$56="Monthly")*(DAY(AB204)='Recurring Items'!$F$6:$F$56)+('Recurring Items'!$E$6:$E$56="Bi-weekly")*(WEEKDAY(AB204)=IFERROR(WEEKDAY('Recurring Items'!$G$6:$G$56),0))*(MOD(AB204-IFERROR('Recurring Items'!$G$6:$G$56,0),14)=0)*(AB204&gt;=IFERROR('Recurring Items'!$G$6:$G$56,9000000000))+('Recurring Items'!$E$6:$E$56="Weekly")*(WEEKDAY(AB204)=IFERROR(WEEKDAY('Recurring Items'!$G$6:$G$56),0))*(AB204&gt;=IFERROR('Recurring Items'!$G$6:$G$56,9000000000))+('Recurring Items'!$E$6:$E$56="One-time")*(AB204='Recurring Items'!$G$6:$G$56)))</f>
        <v>51.01</v>
      </c>
      <c r="AF204" s="1" t="n">
        <f aca="false">(IF(AC204=1,'Debt Tracker'!$P$5&gt;0.01,INDEX('Debt Tracker'!$T$5:$AE$29,1,AC204-1)&gt;0.01))*('Recurring Items'!$H$8&lt;&gt;"Skip")*(DAY(AB204)='Recurring Items'!$F$8)*IFERROR(N('Recurring Items'!$D$8),0)+(IF(AC204=1,'Debt Tracker'!$P$6&gt;0.01,INDEX('Debt Tracker'!$T$5:$AE$29,2,AC204-1)&gt;0.01))*('Recurring Items'!$H$9&lt;&gt;"Skip")*(DAY(AB204)='Recurring Items'!$F$9)*IFERROR(N('Recurring Items'!$D$9),0)+(IF(AC204=1,'Debt Tracker'!$P$7&gt;0.01,INDEX('Debt Tracker'!$T$5:$AE$29,3,AC204-1)&gt;0.01))*('Recurring Items'!$H$10&lt;&gt;"Skip")*(DAY(AB204)='Recurring Items'!$F$10)*IFERROR(N('Recurring Items'!$D$10),0)+(IF(AC204=1,'Debt Tracker'!$P$8&gt;0.01,INDEX('Debt Tracker'!$T$5:$AE$29,4,AC204-1)&gt;0.01))*('Recurring Items'!$H$11&lt;&gt;"Skip")*(DAY(AB204)='Recurring Items'!$F$11)*IFERROR(N('Recurring Items'!$D$11),0)+(IF(AC204=1,'Debt Tracker'!$P$9&gt;0.01,INDEX('Debt Tracker'!$T$5:$AE$29,5,AC204-1)&gt;0.01))*('Recurring Items'!$H$12&lt;&gt;"Skip")*(DAY(AB204)='Recurring Items'!$F$12)*IFERROR(N('Recurring Items'!$D$12),0)+(IF(AC204=1,'Debt Tracker'!$P$10&gt;0.01,INDEX('Debt Tracker'!$T$5:$AE$29,6,AC204-1)&gt;0.01))*('Recurring Items'!$H$13&lt;&gt;"Skip")*(DAY(AB204)='Recurring Items'!$F$13)*IFERROR(N('Recurring Items'!$D$13),0)+(IF(AC204=1,'Debt Tracker'!$P$11&gt;0.01,INDEX('Debt Tracker'!$T$5:$AE$29,7,AC204-1)&gt;0.01))*('Recurring Items'!$H$14&lt;&gt;"Skip")*(DAY(AB204)='Recurring Items'!$F$14)*IFERROR(N('Recurring Items'!$D$14),0)+(IF(AC204=1,'Debt Tracker'!$P$12&gt;0.01,INDEX('Debt Tracker'!$T$5:$AE$29,8,AC204-1)&gt;0.01))*('Recurring Items'!$H$15&lt;&gt;"Skip")*(DAY(AB204)='Recurring Items'!$F$15)*IFERROR(N('Recurring Items'!$D$15),0)+(IF(AC204=1,'Debt Tracker'!$P$13&gt;0.01,INDEX('Debt Tracker'!$T$5:$AE$29,9,AC204-1)&gt;0.01))*('Recurring Items'!$H$16&lt;&gt;"Skip")*(DAY(AB204)='Recurring Items'!$F$16)*IFERROR(N('Recurring Items'!$D$16),0)+(IF(AC204=1,'Debt Tracker'!$P$14&gt;0.01,INDEX('Debt Tracker'!$T$5:$AE$29,10,AC204-1)&gt;0.01))*('Recurring Items'!$H$17&lt;&gt;"Skip")*(DAY(AB204)='Recurring Items'!$F$17)*IFERROR(N('Recurring Items'!$D$17),0)+(IF(AC204=1,'Debt Tracker'!$P$15&gt;0.01,INDEX('Debt Tracker'!$T$5:$AE$29,11,AC204-1)&gt;0.01))*('Recurring Items'!$H$18&lt;&gt;"Skip")*(DAY(AB204)='Recurring Items'!$F$18)*IFERROR(N('Recurring Items'!$D$18),0)+(IF(AC204=1,'Debt Tracker'!$P$16&gt;0.01,INDEX('Debt Tracker'!$T$5:$AE$29,12,AC204-1)&gt;0.01))*('Recurring Items'!$H$19&lt;&gt;"Skip")*(DAY(AB204)='Recurring Items'!$F$19)*IFERROR(N('Recurring Items'!$D$19),0)+(IF(AC204=1,'Debt Tracker'!$P$17&gt;0.01,INDEX('Debt Tracker'!$T$5:$AE$29,13,AC204-1)&gt;0.01))*('Recurring Items'!$H$20&lt;&gt;"Skip")*(DAY(AB204)='Recurring Items'!$F$20)*IFERROR(N('Recurring Items'!$D$20),0)+(IF(AC204=1,'Debt Tracker'!$P$18&gt;0.01,INDEX('Debt Tracker'!$T$5:$AE$29,14,AC204-1)&gt;0.01))*('Recurring Items'!$H$21&lt;&gt;"Skip")*(DAY(AB204)='Recurring Items'!$F$21)*IFERROR(N('Recurring Items'!$D$21),0)+(IF(AC204=1,'Debt Tracker'!$P$19&gt;0.01,INDEX('Debt Tracker'!$T$5:$AE$29,15,AC204-1)&gt;0.01))*('Recurring Items'!$H$22&lt;&gt;"Skip")*(DAY(AB204)='Recurring Items'!$F$22)*IFERROR(N('Recurring Items'!$D$22),0)+(IF(AC204=1,'Debt Tracker'!$P$20&gt;0.01,INDEX('Debt Tracker'!$T$5:$AE$29,16,AC204-1)&gt;0.01))*('Recurring Items'!$H$23&lt;&gt;"Skip")*(DAY(AB204)='Recurring Items'!$F$23)*IFERROR(N('Recurring Items'!$D$23),0)+(IF(AC204=1,'Debt Tracker'!$P$21&gt;0.01,INDEX('Debt Tracker'!$T$5:$AE$29,17,AC204-1)&gt;0.01))*('Recurring Items'!$H$24&lt;&gt;"Skip")*(DAY(AB204)='Recurring Items'!$F$24)*IFERROR(N('Recurring Items'!$D$24),0)+(IF(AC204=1,'Debt Tracker'!$P$22&gt;0.01,INDEX('Debt Tracker'!$T$5:$AE$29,18,AC204-1)&gt;0.01))*('Recurring Items'!$H$25&lt;&gt;"Skip")*(DAY(AB204)='Recurring Items'!$F$25)*IFERROR(N('Recurring Items'!$D$25),0)+(IF(AC204=1,'Debt Tracker'!$P$23&gt;0.01,INDEX('Debt Tracker'!$T$5:$AE$29,19,AC204-1)&gt;0.01))*('Recurring Items'!$H$26&lt;&gt;"Skip")*(DAY(AB204)='Recurring Items'!$F$26)*IFERROR(N('Recurring Items'!$D$26),0)+(IF(AC204=1,'Debt Tracker'!$P$24&gt;0.01,INDEX('Debt Tracker'!$T$5:$AE$29,20,AC204-1)&gt;0.01))*('Recurring Items'!$H$27&lt;&gt;"Skip")*(DAY(AB204)='Recurring Items'!$F$27)*IFERROR(N('Recurring Items'!$D$27),0)+(IF(AC204=1,'Debt Tracker'!$P$25&gt;0.01,INDEX('Debt Tracker'!$T$5:$AE$29,21,AC204-1)&gt;0.01))*('Recurring Items'!$H$28&lt;&gt;"Skip")*(DAY(AB204)='Recurring Items'!$F$28)*IFERROR(N('Recurring Items'!$D$28),0)+(IF(AC204=1,'Debt Tracker'!$P$26&gt;0.01,INDEX('Debt Tracker'!$T$5:$AE$29,22,AC204-1)&gt;0.01))*('Recurring Items'!$H$29&lt;&gt;"Skip")*(DAY(AB204)='Recurring Items'!$F$29)*IFERROR(N('Recurring Items'!$D$29),0)+(IF(AC204=1,'Debt Tracker'!$P$27&gt;0.01,INDEX('Debt Tracker'!$T$5:$AE$29,23,AC204-1)&gt;0.01))*('Recurring Items'!$H$30&lt;&gt;"Skip")*(DAY(AB204)='Recurring Items'!$F$30)*IFERROR(N('Recurring Items'!$D$30),0)+(IF(AC204=1,'Debt Tracker'!$P$28&gt;0.01,INDEX('Debt Tracker'!$T$5:$AE$29,24,AC204-1)&gt;0.01))*('Recurring Items'!$H$31&lt;&gt;"Skip")*(DAY(AB204)='Recurring Items'!$F$31)*IFERROR(N('Recurring Items'!$D$31),0)+(IF(AC204=1,'Debt Tracker'!$P$29&gt;0.01,INDEX('Debt Tracker'!$T$5:$AE$29,25,AC204-1)&gt;0.01))*('Recurring Items'!$H$32&lt;&gt;"Skip")*(DAY(AB204)='Recurring Items'!$F$32)*IFERROR(N('Recurring Items'!$D$32),0)</f>
        <v>0</v>
      </c>
      <c r="AG204" s="1" t="n">
        <f aca="false">AD204-AE204-AF204</f>
        <v>-51.01</v>
      </c>
      <c r="AH204" s="1" t="n">
        <f aca="false">AH203+AG204</f>
        <v>3781.51</v>
      </c>
    </row>
    <row r="205" customFormat="false" ht="15" hidden="false" customHeight="true" outlineLevel="0" collapsed="false">
      <c r="AA205" s="1" t="n">
        <v>5</v>
      </c>
      <c r="AB205" s="145" t="n">
        <f aca="false">$D$3+5</f>
        <v>46148</v>
      </c>
      <c r="AC205" s="1" t="n">
        <f aca="false">MIN(12,1+DATEDIF($D$3,AB205,"M"))</f>
        <v>1</v>
      </c>
      <c r="AD205" s="1" t="n">
        <f aca="false">SUMPRODUCT(('Recurring Items'!$C$6:$C$56="Income")*('Recurring Items'!$H$6:$H$56&lt;&gt;"Skip")*IFERROR(N('Recurring Items'!$D$6:$D$56),0)*(('Recurring Items'!$E$6:$E$56="Monthly")*(DAY(AB205)='Recurring Items'!$F$6:$F$56)+('Recurring Items'!$E$6:$E$56="Bi-weekly")*(WEEKDAY(AB205)=IFERROR(WEEKDAY('Recurring Items'!$G$6:$G$56),0))*(MOD(AB205-IFERROR('Recurring Items'!$G$6:$G$56,0),14)=0)*(AB205&gt;=IFERROR('Recurring Items'!$G$6:$G$56,9000000000))+('Recurring Items'!$E$6:$E$56="Weekly")*(WEEKDAY(AB205)=IFERROR(WEEKDAY('Recurring Items'!$G$6:$G$56),0))*(AB205&gt;=IFERROR('Recurring Items'!$G$6:$G$56,9000000000))+('Recurring Items'!$E$6:$E$56="One-time")*(AB205='Recurring Items'!$G$6:$G$56)))</f>
        <v>0</v>
      </c>
      <c r="AE205" s="1" t="n">
        <f aca="false">SUMPRODUCT(('Recurring Items'!$C$6:$C$56="Expense")*('Recurring Items'!$H$6:$H$56&lt;&gt;"Skip")*IFERROR(N('Recurring Items'!$D$6:$D$56),0)*(('Recurring Items'!$E$6:$E$56="Monthly")*(DAY(AB205)='Recurring Items'!$F$6:$F$56)+('Recurring Items'!$E$6:$E$56="Bi-weekly")*(WEEKDAY(AB205)=IFERROR(WEEKDAY('Recurring Items'!$G$6:$G$56),0))*(MOD(AB205-IFERROR('Recurring Items'!$G$6:$G$56,0),14)=0)*(AB205&gt;=IFERROR('Recurring Items'!$G$6:$G$56,9000000000))+('Recurring Items'!$E$6:$E$56="Weekly")*(WEEKDAY(AB205)=IFERROR(WEEKDAY('Recurring Items'!$G$6:$G$56),0))*(AB205&gt;=IFERROR('Recurring Items'!$G$6:$G$56,9000000000))+('Recurring Items'!$E$6:$E$56="One-time")*(AB205='Recurring Items'!$G$6:$G$56)))</f>
        <v>651.55</v>
      </c>
      <c r="AF205" s="1" t="n">
        <f aca="false">(IF(AC205=1,'Debt Tracker'!$P$5&gt;0.01,INDEX('Debt Tracker'!$T$5:$AE$29,1,AC205-1)&gt;0.01))*('Recurring Items'!$H$8&lt;&gt;"Skip")*(DAY(AB205)='Recurring Items'!$F$8)*IFERROR(N('Recurring Items'!$D$8),0)+(IF(AC205=1,'Debt Tracker'!$P$6&gt;0.01,INDEX('Debt Tracker'!$T$5:$AE$29,2,AC205-1)&gt;0.01))*('Recurring Items'!$H$9&lt;&gt;"Skip")*(DAY(AB205)='Recurring Items'!$F$9)*IFERROR(N('Recurring Items'!$D$9),0)+(IF(AC205=1,'Debt Tracker'!$P$7&gt;0.01,INDEX('Debt Tracker'!$T$5:$AE$29,3,AC205-1)&gt;0.01))*('Recurring Items'!$H$10&lt;&gt;"Skip")*(DAY(AB205)='Recurring Items'!$F$10)*IFERROR(N('Recurring Items'!$D$10),0)+(IF(AC205=1,'Debt Tracker'!$P$8&gt;0.01,INDEX('Debt Tracker'!$T$5:$AE$29,4,AC205-1)&gt;0.01))*('Recurring Items'!$H$11&lt;&gt;"Skip")*(DAY(AB205)='Recurring Items'!$F$11)*IFERROR(N('Recurring Items'!$D$11),0)+(IF(AC205=1,'Debt Tracker'!$P$9&gt;0.01,INDEX('Debt Tracker'!$T$5:$AE$29,5,AC205-1)&gt;0.01))*('Recurring Items'!$H$12&lt;&gt;"Skip")*(DAY(AB205)='Recurring Items'!$F$12)*IFERROR(N('Recurring Items'!$D$12),0)+(IF(AC205=1,'Debt Tracker'!$P$10&gt;0.01,INDEX('Debt Tracker'!$T$5:$AE$29,6,AC205-1)&gt;0.01))*('Recurring Items'!$H$13&lt;&gt;"Skip")*(DAY(AB205)='Recurring Items'!$F$13)*IFERROR(N('Recurring Items'!$D$13),0)+(IF(AC205=1,'Debt Tracker'!$P$11&gt;0.01,INDEX('Debt Tracker'!$T$5:$AE$29,7,AC205-1)&gt;0.01))*('Recurring Items'!$H$14&lt;&gt;"Skip")*(DAY(AB205)='Recurring Items'!$F$14)*IFERROR(N('Recurring Items'!$D$14),0)+(IF(AC205=1,'Debt Tracker'!$P$12&gt;0.01,INDEX('Debt Tracker'!$T$5:$AE$29,8,AC205-1)&gt;0.01))*('Recurring Items'!$H$15&lt;&gt;"Skip")*(DAY(AB205)='Recurring Items'!$F$15)*IFERROR(N('Recurring Items'!$D$15),0)+(IF(AC205=1,'Debt Tracker'!$P$13&gt;0.01,INDEX('Debt Tracker'!$T$5:$AE$29,9,AC205-1)&gt;0.01))*('Recurring Items'!$H$16&lt;&gt;"Skip")*(DAY(AB205)='Recurring Items'!$F$16)*IFERROR(N('Recurring Items'!$D$16),0)+(IF(AC205=1,'Debt Tracker'!$P$14&gt;0.01,INDEX('Debt Tracker'!$T$5:$AE$29,10,AC205-1)&gt;0.01))*('Recurring Items'!$H$17&lt;&gt;"Skip")*(DAY(AB205)='Recurring Items'!$F$17)*IFERROR(N('Recurring Items'!$D$17),0)+(IF(AC205=1,'Debt Tracker'!$P$15&gt;0.01,INDEX('Debt Tracker'!$T$5:$AE$29,11,AC205-1)&gt;0.01))*('Recurring Items'!$H$18&lt;&gt;"Skip")*(DAY(AB205)='Recurring Items'!$F$18)*IFERROR(N('Recurring Items'!$D$18),0)+(IF(AC205=1,'Debt Tracker'!$P$16&gt;0.01,INDEX('Debt Tracker'!$T$5:$AE$29,12,AC205-1)&gt;0.01))*('Recurring Items'!$H$19&lt;&gt;"Skip")*(DAY(AB205)='Recurring Items'!$F$19)*IFERROR(N('Recurring Items'!$D$19),0)+(IF(AC205=1,'Debt Tracker'!$P$17&gt;0.01,INDEX('Debt Tracker'!$T$5:$AE$29,13,AC205-1)&gt;0.01))*('Recurring Items'!$H$20&lt;&gt;"Skip")*(DAY(AB205)='Recurring Items'!$F$20)*IFERROR(N('Recurring Items'!$D$20),0)+(IF(AC205=1,'Debt Tracker'!$P$18&gt;0.01,INDEX('Debt Tracker'!$T$5:$AE$29,14,AC205-1)&gt;0.01))*('Recurring Items'!$H$21&lt;&gt;"Skip")*(DAY(AB205)='Recurring Items'!$F$21)*IFERROR(N('Recurring Items'!$D$21),0)+(IF(AC205=1,'Debt Tracker'!$P$19&gt;0.01,INDEX('Debt Tracker'!$T$5:$AE$29,15,AC205-1)&gt;0.01))*('Recurring Items'!$H$22&lt;&gt;"Skip")*(DAY(AB205)='Recurring Items'!$F$22)*IFERROR(N('Recurring Items'!$D$22),0)+(IF(AC205=1,'Debt Tracker'!$P$20&gt;0.01,INDEX('Debt Tracker'!$T$5:$AE$29,16,AC205-1)&gt;0.01))*('Recurring Items'!$H$23&lt;&gt;"Skip")*(DAY(AB205)='Recurring Items'!$F$23)*IFERROR(N('Recurring Items'!$D$23),0)+(IF(AC205=1,'Debt Tracker'!$P$21&gt;0.01,INDEX('Debt Tracker'!$T$5:$AE$29,17,AC205-1)&gt;0.01))*('Recurring Items'!$H$24&lt;&gt;"Skip")*(DAY(AB205)='Recurring Items'!$F$24)*IFERROR(N('Recurring Items'!$D$24),0)+(IF(AC205=1,'Debt Tracker'!$P$22&gt;0.01,INDEX('Debt Tracker'!$T$5:$AE$29,18,AC205-1)&gt;0.01))*('Recurring Items'!$H$25&lt;&gt;"Skip")*(DAY(AB205)='Recurring Items'!$F$25)*IFERROR(N('Recurring Items'!$D$25),0)+(IF(AC205=1,'Debt Tracker'!$P$23&gt;0.01,INDEX('Debt Tracker'!$T$5:$AE$29,19,AC205-1)&gt;0.01))*('Recurring Items'!$H$26&lt;&gt;"Skip")*(DAY(AB205)='Recurring Items'!$F$26)*IFERROR(N('Recurring Items'!$D$26),0)+(IF(AC205=1,'Debt Tracker'!$P$24&gt;0.01,INDEX('Debt Tracker'!$T$5:$AE$29,20,AC205-1)&gt;0.01))*('Recurring Items'!$H$27&lt;&gt;"Skip")*(DAY(AB205)='Recurring Items'!$F$27)*IFERROR(N('Recurring Items'!$D$27),0)+(IF(AC205=1,'Debt Tracker'!$P$25&gt;0.01,INDEX('Debt Tracker'!$T$5:$AE$29,21,AC205-1)&gt;0.01))*('Recurring Items'!$H$28&lt;&gt;"Skip")*(DAY(AB205)='Recurring Items'!$F$28)*IFERROR(N('Recurring Items'!$D$28),0)+(IF(AC205=1,'Debt Tracker'!$P$26&gt;0.01,INDEX('Debt Tracker'!$T$5:$AE$29,22,AC205-1)&gt;0.01))*('Recurring Items'!$H$29&lt;&gt;"Skip")*(DAY(AB205)='Recurring Items'!$F$29)*IFERROR(N('Recurring Items'!$D$29),0)+(IF(AC205=1,'Debt Tracker'!$P$27&gt;0.01,INDEX('Debt Tracker'!$T$5:$AE$29,23,AC205-1)&gt;0.01))*('Recurring Items'!$H$30&lt;&gt;"Skip")*(DAY(AB205)='Recurring Items'!$F$30)*IFERROR(N('Recurring Items'!$D$30),0)+(IF(AC205=1,'Debt Tracker'!$P$28&gt;0.01,INDEX('Debt Tracker'!$T$5:$AE$29,24,AC205-1)&gt;0.01))*('Recurring Items'!$H$31&lt;&gt;"Skip")*(DAY(AB205)='Recurring Items'!$F$31)*IFERROR(N('Recurring Items'!$D$31),0)+(IF(AC205=1,'Debt Tracker'!$P$29&gt;0.01,INDEX('Debt Tracker'!$T$5:$AE$29,25,AC205-1)&gt;0.01))*('Recurring Items'!$H$32&lt;&gt;"Skip")*(DAY(AB205)='Recurring Items'!$F$32)*IFERROR(N('Recurring Items'!$D$32),0)</f>
        <v>259.86</v>
      </c>
      <c r="AG205" s="1" t="n">
        <f aca="false">AD205-AE205-AF205</f>
        <v>-911.41</v>
      </c>
      <c r="AH205" s="1" t="n">
        <f aca="false">AH204+AG205</f>
        <v>2870.1</v>
      </c>
    </row>
    <row r="206" customFormat="false" ht="15" hidden="false" customHeight="true" outlineLevel="0" collapsed="false">
      <c r="AA206" s="1" t="n">
        <v>6</v>
      </c>
      <c r="AB206" s="145" t="n">
        <f aca="false">$D$3+6</f>
        <v>46149</v>
      </c>
      <c r="AC206" s="1" t="n">
        <f aca="false">MIN(12,1+DATEDIF($D$3,AB206,"M"))</f>
        <v>1</v>
      </c>
      <c r="AD206" s="1" t="n">
        <f aca="false">SUMPRODUCT(('Recurring Items'!$C$6:$C$56="Income")*('Recurring Items'!$H$6:$H$56&lt;&gt;"Skip")*IFERROR(N('Recurring Items'!$D$6:$D$56),0)*(('Recurring Items'!$E$6:$E$56="Monthly")*(DAY(AB206)='Recurring Items'!$F$6:$F$56)+('Recurring Items'!$E$6:$E$56="Bi-weekly")*(WEEKDAY(AB206)=IFERROR(WEEKDAY('Recurring Items'!$G$6:$G$56),0))*(MOD(AB206-IFERROR('Recurring Items'!$G$6:$G$56,0),14)=0)*(AB206&gt;=IFERROR('Recurring Items'!$G$6:$G$56,9000000000))+('Recurring Items'!$E$6:$E$56="Weekly")*(WEEKDAY(AB206)=IFERROR(WEEKDAY('Recurring Items'!$G$6:$G$56),0))*(AB206&gt;=IFERROR('Recurring Items'!$G$6:$G$56,9000000000))+('Recurring Items'!$E$6:$E$56="One-time")*(AB206='Recurring Items'!$G$6:$G$56)))</f>
        <v>2274.42</v>
      </c>
      <c r="AE206" s="1" t="n">
        <f aca="false">SUMPRODUCT(('Recurring Items'!$C$6:$C$56="Expense")*('Recurring Items'!$H$6:$H$56&lt;&gt;"Skip")*IFERROR(N('Recurring Items'!$D$6:$D$56),0)*(('Recurring Items'!$E$6:$E$56="Monthly")*(DAY(AB206)='Recurring Items'!$F$6:$F$56)+('Recurring Items'!$E$6:$E$56="Bi-weekly")*(WEEKDAY(AB206)=IFERROR(WEEKDAY('Recurring Items'!$G$6:$G$56),0))*(MOD(AB206-IFERROR('Recurring Items'!$G$6:$G$56,0),14)=0)*(AB206&gt;=IFERROR('Recurring Items'!$G$6:$G$56,9000000000))+('Recurring Items'!$E$6:$E$56="Weekly")*(WEEKDAY(AB206)=IFERROR(WEEKDAY('Recurring Items'!$G$6:$G$56),0))*(AB206&gt;=IFERROR('Recurring Items'!$G$6:$G$56,9000000000))+('Recurring Items'!$E$6:$E$56="One-time")*(AB206='Recurring Items'!$G$6:$G$56)))</f>
        <v>672.8</v>
      </c>
      <c r="AF206" s="1" t="n">
        <f aca="false">(IF(AC206=1,'Debt Tracker'!$P$5&gt;0.01,INDEX('Debt Tracker'!$T$5:$AE$29,1,AC206-1)&gt;0.01))*('Recurring Items'!$H$8&lt;&gt;"Skip")*(DAY(AB206)='Recurring Items'!$F$8)*IFERROR(N('Recurring Items'!$D$8),0)+(IF(AC206=1,'Debt Tracker'!$P$6&gt;0.01,INDEX('Debt Tracker'!$T$5:$AE$29,2,AC206-1)&gt;0.01))*('Recurring Items'!$H$9&lt;&gt;"Skip")*(DAY(AB206)='Recurring Items'!$F$9)*IFERROR(N('Recurring Items'!$D$9),0)+(IF(AC206=1,'Debt Tracker'!$P$7&gt;0.01,INDEX('Debt Tracker'!$T$5:$AE$29,3,AC206-1)&gt;0.01))*('Recurring Items'!$H$10&lt;&gt;"Skip")*(DAY(AB206)='Recurring Items'!$F$10)*IFERROR(N('Recurring Items'!$D$10),0)+(IF(AC206=1,'Debt Tracker'!$P$8&gt;0.01,INDEX('Debt Tracker'!$T$5:$AE$29,4,AC206-1)&gt;0.01))*('Recurring Items'!$H$11&lt;&gt;"Skip")*(DAY(AB206)='Recurring Items'!$F$11)*IFERROR(N('Recurring Items'!$D$11),0)+(IF(AC206=1,'Debt Tracker'!$P$9&gt;0.01,INDEX('Debt Tracker'!$T$5:$AE$29,5,AC206-1)&gt;0.01))*('Recurring Items'!$H$12&lt;&gt;"Skip")*(DAY(AB206)='Recurring Items'!$F$12)*IFERROR(N('Recurring Items'!$D$12),0)+(IF(AC206=1,'Debt Tracker'!$P$10&gt;0.01,INDEX('Debt Tracker'!$T$5:$AE$29,6,AC206-1)&gt;0.01))*('Recurring Items'!$H$13&lt;&gt;"Skip")*(DAY(AB206)='Recurring Items'!$F$13)*IFERROR(N('Recurring Items'!$D$13),0)+(IF(AC206=1,'Debt Tracker'!$P$11&gt;0.01,INDEX('Debt Tracker'!$T$5:$AE$29,7,AC206-1)&gt;0.01))*('Recurring Items'!$H$14&lt;&gt;"Skip")*(DAY(AB206)='Recurring Items'!$F$14)*IFERROR(N('Recurring Items'!$D$14),0)+(IF(AC206=1,'Debt Tracker'!$P$12&gt;0.01,INDEX('Debt Tracker'!$T$5:$AE$29,8,AC206-1)&gt;0.01))*('Recurring Items'!$H$15&lt;&gt;"Skip")*(DAY(AB206)='Recurring Items'!$F$15)*IFERROR(N('Recurring Items'!$D$15),0)+(IF(AC206=1,'Debt Tracker'!$P$13&gt;0.01,INDEX('Debt Tracker'!$T$5:$AE$29,9,AC206-1)&gt;0.01))*('Recurring Items'!$H$16&lt;&gt;"Skip")*(DAY(AB206)='Recurring Items'!$F$16)*IFERROR(N('Recurring Items'!$D$16),0)+(IF(AC206=1,'Debt Tracker'!$P$14&gt;0.01,INDEX('Debt Tracker'!$T$5:$AE$29,10,AC206-1)&gt;0.01))*('Recurring Items'!$H$17&lt;&gt;"Skip")*(DAY(AB206)='Recurring Items'!$F$17)*IFERROR(N('Recurring Items'!$D$17),0)+(IF(AC206=1,'Debt Tracker'!$P$15&gt;0.01,INDEX('Debt Tracker'!$T$5:$AE$29,11,AC206-1)&gt;0.01))*('Recurring Items'!$H$18&lt;&gt;"Skip")*(DAY(AB206)='Recurring Items'!$F$18)*IFERROR(N('Recurring Items'!$D$18),0)+(IF(AC206=1,'Debt Tracker'!$P$16&gt;0.01,INDEX('Debt Tracker'!$T$5:$AE$29,12,AC206-1)&gt;0.01))*('Recurring Items'!$H$19&lt;&gt;"Skip")*(DAY(AB206)='Recurring Items'!$F$19)*IFERROR(N('Recurring Items'!$D$19),0)+(IF(AC206=1,'Debt Tracker'!$P$17&gt;0.01,INDEX('Debt Tracker'!$T$5:$AE$29,13,AC206-1)&gt;0.01))*('Recurring Items'!$H$20&lt;&gt;"Skip")*(DAY(AB206)='Recurring Items'!$F$20)*IFERROR(N('Recurring Items'!$D$20),0)+(IF(AC206=1,'Debt Tracker'!$P$18&gt;0.01,INDEX('Debt Tracker'!$T$5:$AE$29,14,AC206-1)&gt;0.01))*('Recurring Items'!$H$21&lt;&gt;"Skip")*(DAY(AB206)='Recurring Items'!$F$21)*IFERROR(N('Recurring Items'!$D$21),0)+(IF(AC206=1,'Debt Tracker'!$P$19&gt;0.01,INDEX('Debt Tracker'!$T$5:$AE$29,15,AC206-1)&gt;0.01))*('Recurring Items'!$H$22&lt;&gt;"Skip")*(DAY(AB206)='Recurring Items'!$F$22)*IFERROR(N('Recurring Items'!$D$22),0)+(IF(AC206=1,'Debt Tracker'!$P$20&gt;0.01,INDEX('Debt Tracker'!$T$5:$AE$29,16,AC206-1)&gt;0.01))*('Recurring Items'!$H$23&lt;&gt;"Skip")*(DAY(AB206)='Recurring Items'!$F$23)*IFERROR(N('Recurring Items'!$D$23),0)+(IF(AC206=1,'Debt Tracker'!$P$21&gt;0.01,INDEX('Debt Tracker'!$T$5:$AE$29,17,AC206-1)&gt;0.01))*('Recurring Items'!$H$24&lt;&gt;"Skip")*(DAY(AB206)='Recurring Items'!$F$24)*IFERROR(N('Recurring Items'!$D$24),0)+(IF(AC206=1,'Debt Tracker'!$P$22&gt;0.01,INDEX('Debt Tracker'!$T$5:$AE$29,18,AC206-1)&gt;0.01))*('Recurring Items'!$H$25&lt;&gt;"Skip")*(DAY(AB206)='Recurring Items'!$F$25)*IFERROR(N('Recurring Items'!$D$25),0)+(IF(AC206=1,'Debt Tracker'!$P$23&gt;0.01,INDEX('Debt Tracker'!$T$5:$AE$29,19,AC206-1)&gt;0.01))*('Recurring Items'!$H$26&lt;&gt;"Skip")*(DAY(AB206)='Recurring Items'!$F$26)*IFERROR(N('Recurring Items'!$D$26),0)+(IF(AC206=1,'Debt Tracker'!$P$24&gt;0.01,INDEX('Debt Tracker'!$T$5:$AE$29,20,AC206-1)&gt;0.01))*('Recurring Items'!$H$27&lt;&gt;"Skip")*(DAY(AB206)='Recurring Items'!$F$27)*IFERROR(N('Recurring Items'!$D$27),0)+(IF(AC206=1,'Debt Tracker'!$P$25&gt;0.01,INDEX('Debt Tracker'!$T$5:$AE$29,21,AC206-1)&gt;0.01))*('Recurring Items'!$H$28&lt;&gt;"Skip")*(DAY(AB206)='Recurring Items'!$F$28)*IFERROR(N('Recurring Items'!$D$28),0)+(IF(AC206=1,'Debt Tracker'!$P$26&gt;0.01,INDEX('Debt Tracker'!$T$5:$AE$29,22,AC206-1)&gt;0.01))*('Recurring Items'!$H$29&lt;&gt;"Skip")*(DAY(AB206)='Recurring Items'!$F$29)*IFERROR(N('Recurring Items'!$D$29),0)+(IF(AC206=1,'Debt Tracker'!$P$27&gt;0.01,INDEX('Debt Tracker'!$T$5:$AE$29,23,AC206-1)&gt;0.01))*('Recurring Items'!$H$30&lt;&gt;"Skip")*(DAY(AB206)='Recurring Items'!$F$30)*IFERROR(N('Recurring Items'!$D$30),0)+(IF(AC206=1,'Debt Tracker'!$P$28&gt;0.01,INDEX('Debt Tracker'!$T$5:$AE$29,24,AC206-1)&gt;0.01))*('Recurring Items'!$H$31&lt;&gt;"Skip")*(DAY(AB206)='Recurring Items'!$F$31)*IFERROR(N('Recurring Items'!$D$31),0)+(IF(AC206=1,'Debt Tracker'!$P$29&gt;0.01,INDEX('Debt Tracker'!$T$5:$AE$29,25,AC206-1)&gt;0.01))*('Recurring Items'!$H$32&lt;&gt;"Skip")*(DAY(AB206)='Recurring Items'!$F$32)*IFERROR(N('Recurring Items'!$D$32),0)</f>
        <v>8.25</v>
      </c>
      <c r="AG206" s="1" t="n">
        <f aca="false">AD206-AE206-AF206</f>
        <v>1593.37</v>
      </c>
      <c r="AH206" s="1" t="n">
        <f aca="false">AH205+AG206</f>
        <v>4463.47</v>
      </c>
    </row>
    <row r="207" customFormat="false" ht="15" hidden="false" customHeight="true" outlineLevel="0" collapsed="false">
      <c r="AA207" s="1" t="n">
        <v>7</v>
      </c>
      <c r="AB207" s="145" t="n">
        <f aca="false">$D$3+7</f>
        <v>46150</v>
      </c>
      <c r="AC207" s="1" t="n">
        <f aca="false">MIN(12,1+DATEDIF($D$3,AB207,"M"))</f>
        <v>1</v>
      </c>
      <c r="AD207" s="1" t="n">
        <f aca="false">SUMPRODUCT(('Recurring Items'!$C$6:$C$56="Income")*('Recurring Items'!$H$6:$H$56&lt;&gt;"Skip")*IFERROR(N('Recurring Items'!$D$6:$D$56),0)*(('Recurring Items'!$E$6:$E$56="Monthly")*(DAY(AB207)='Recurring Items'!$F$6:$F$56)+('Recurring Items'!$E$6:$E$56="Bi-weekly")*(WEEKDAY(AB207)=IFERROR(WEEKDAY('Recurring Items'!$G$6:$G$56),0))*(MOD(AB207-IFERROR('Recurring Items'!$G$6:$G$56,0),14)=0)*(AB207&gt;=IFERROR('Recurring Items'!$G$6:$G$56,9000000000))+('Recurring Items'!$E$6:$E$56="Weekly")*(WEEKDAY(AB207)=IFERROR(WEEKDAY('Recurring Items'!$G$6:$G$56),0))*(AB207&gt;=IFERROR('Recurring Items'!$G$6:$G$56,9000000000))+('Recurring Items'!$E$6:$E$56="One-time")*(AB207='Recurring Items'!$G$6:$G$56)))</f>
        <v>0</v>
      </c>
      <c r="AE207" s="1" t="n">
        <f aca="false">SUMPRODUCT(('Recurring Items'!$C$6:$C$56="Expense")*('Recurring Items'!$H$6:$H$56&lt;&gt;"Skip")*IFERROR(N('Recurring Items'!$D$6:$D$56),0)*(('Recurring Items'!$E$6:$E$56="Monthly")*(DAY(AB207)='Recurring Items'!$F$6:$F$56)+('Recurring Items'!$E$6:$E$56="Bi-weekly")*(WEEKDAY(AB207)=IFERROR(WEEKDAY('Recurring Items'!$G$6:$G$56),0))*(MOD(AB207-IFERROR('Recurring Items'!$G$6:$G$56,0),14)=0)*(AB207&gt;=IFERROR('Recurring Items'!$G$6:$G$56,9000000000))+('Recurring Items'!$E$6:$E$56="Weekly")*(WEEKDAY(AB207)=IFERROR(WEEKDAY('Recurring Items'!$G$6:$G$56),0))*(AB207&gt;=IFERROR('Recurring Items'!$G$6:$G$56,9000000000))+('Recurring Items'!$E$6:$E$56="One-time")*(AB207='Recurring Items'!$G$6:$G$56)))</f>
        <v>513.85</v>
      </c>
      <c r="AF207" s="1" t="n">
        <f aca="false">(IF(AC207=1,'Debt Tracker'!$P$5&gt;0.01,INDEX('Debt Tracker'!$T$5:$AE$29,1,AC207-1)&gt;0.01))*('Recurring Items'!$H$8&lt;&gt;"Skip")*(DAY(AB207)='Recurring Items'!$F$8)*IFERROR(N('Recurring Items'!$D$8),0)+(IF(AC207=1,'Debt Tracker'!$P$6&gt;0.01,INDEX('Debt Tracker'!$T$5:$AE$29,2,AC207-1)&gt;0.01))*('Recurring Items'!$H$9&lt;&gt;"Skip")*(DAY(AB207)='Recurring Items'!$F$9)*IFERROR(N('Recurring Items'!$D$9),0)+(IF(AC207=1,'Debt Tracker'!$P$7&gt;0.01,INDEX('Debt Tracker'!$T$5:$AE$29,3,AC207-1)&gt;0.01))*('Recurring Items'!$H$10&lt;&gt;"Skip")*(DAY(AB207)='Recurring Items'!$F$10)*IFERROR(N('Recurring Items'!$D$10),0)+(IF(AC207=1,'Debt Tracker'!$P$8&gt;0.01,INDEX('Debt Tracker'!$T$5:$AE$29,4,AC207-1)&gt;0.01))*('Recurring Items'!$H$11&lt;&gt;"Skip")*(DAY(AB207)='Recurring Items'!$F$11)*IFERROR(N('Recurring Items'!$D$11),0)+(IF(AC207=1,'Debt Tracker'!$P$9&gt;0.01,INDEX('Debt Tracker'!$T$5:$AE$29,5,AC207-1)&gt;0.01))*('Recurring Items'!$H$12&lt;&gt;"Skip")*(DAY(AB207)='Recurring Items'!$F$12)*IFERROR(N('Recurring Items'!$D$12),0)+(IF(AC207=1,'Debt Tracker'!$P$10&gt;0.01,INDEX('Debt Tracker'!$T$5:$AE$29,6,AC207-1)&gt;0.01))*('Recurring Items'!$H$13&lt;&gt;"Skip")*(DAY(AB207)='Recurring Items'!$F$13)*IFERROR(N('Recurring Items'!$D$13),0)+(IF(AC207=1,'Debt Tracker'!$P$11&gt;0.01,INDEX('Debt Tracker'!$T$5:$AE$29,7,AC207-1)&gt;0.01))*('Recurring Items'!$H$14&lt;&gt;"Skip")*(DAY(AB207)='Recurring Items'!$F$14)*IFERROR(N('Recurring Items'!$D$14),0)+(IF(AC207=1,'Debt Tracker'!$P$12&gt;0.01,INDEX('Debt Tracker'!$T$5:$AE$29,8,AC207-1)&gt;0.01))*('Recurring Items'!$H$15&lt;&gt;"Skip")*(DAY(AB207)='Recurring Items'!$F$15)*IFERROR(N('Recurring Items'!$D$15),0)+(IF(AC207=1,'Debt Tracker'!$P$13&gt;0.01,INDEX('Debt Tracker'!$T$5:$AE$29,9,AC207-1)&gt;0.01))*('Recurring Items'!$H$16&lt;&gt;"Skip")*(DAY(AB207)='Recurring Items'!$F$16)*IFERROR(N('Recurring Items'!$D$16),0)+(IF(AC207=1,'Debt Tracker'!$P$14&gt;0.01,INDEX('Debt Tracker'!$T$5:$AE$29,10,AC207-1)&gt;0.01))*('Recurring Items'!$H$17&lt;&gt;"Skip")*(DAY(AB207)='Recurring Items'!$F$17)*IFERROR(N('Recurring Items'!$D$17),0)+(IF(AC207=1,'Debt Tracker'!$P$15&gt;0.01,INDEX('Debt Tracker'!$T$5:$AE$29,11,AC207-1)&gt;0.01))*('Recurring Items'!$H$18&lt;&gt;"Skip")*(DAY(AB207)='Recurring Items'!$F$18)*IFERROR(N('Recurring Items'!$D$18),0)+(IF(AC207=1,'Debt Tracker'!$P$16&gt;0.01,INDEX('Debt Tracker'!$T$5:$AE$29,12,AC207-1)&gt;0.01))*('Recurring Items'!$H$19&lt;&gt;"Skip")*(DAY(AB207)='Recurring Items'!$F$19)*IFERROR(N('Recurring Items'!$D$19),0)+(IF(AC207=1,'Debt Tracker'!$P$17&gt;0.01,INDEX('Debt Tracker'!$T$5:$AE$29,13,AC207-1)&gt;0.01))*('Recurring Items'!$H$20&lt;&gt;"Skip")*(DAY(AB207)='Recurring Items'!$F$20)*IFERROR(N('Recurring Items'!$D$20),0)+(IF(AC207=1,'Debt Tracker'!$P$18&gt;0.01,INDEX('Debt Tracker'!$T$5:$AE$29,14,AC207-1)&gt;0.01))*('Recurring Items'!$H$21&lt;&gt;"Skip")*(DAY(AB207)='Recurring Items'!$F$21)*IFERROR(N('Recurring Items'!$D$21),0)+(IF(AC207=1,'Debt Tracker'!$P$19&gt;0.01,INDEX('Debt Tracker'!$T$5:$AE$29,15,AC207-1)&gt;0.01))*('Recurring Items'!$H$22&lt;&gt;"Skip")*(DAY(AB207)='Recurring Items'!$F$22)*IFERROR(N('Recurring Items'!$D$22),0)+(IF(AC207=1,'Debt Tracker'!$P$20&gt;0.01,INDEX('Debt Tracker'!$T$5:$AE$29,16,AC207-1)&gt;0.01))*('Recurring Items'!$H$23&lt;&gt;"Skip")*(DAY(AB207)='Recurring Items'!$F$23)*IFERROR(N('Recurring Items'!$D$23),0)+(IF(AC207=1,'Debt Tracker'!$P$21&gt;0.01,INDEX('Debt Tracker'!$T$5:$AE$29,17,AC207-1)&gt;0.01))*('Recurring Items'!$H$24&lt;&gt;"Skip")*(DAY(AB207)='Recurring Items'!$F$24)*IFERROR(N('Recurring Items'!$D$24),0)+(IF(AC207=1,'Debt Tracker'!$P$22&gt;0.01,INDEX('Debt Tracker'!$T$5:$AE$29,18,AC207-1)&gt;0.01))*('Recurring Items'!$H$25&lt;&gt;"Skip")*(DAY(AB207)='Recurring Items'!$F$25)*IFERROR(N('Recurring Items'!$D$25),0)+(IF(AC207=1,'Debt Tracker'!$P$23&gt;0.01,INDEX('Debt Tracker'!$T$5:$AE$29,19,AC207-1)&gt;0.01))*('Recurring Items'!$H$26&lt;&gt;"Skip")*(DAY(AB207)='Recurring Items'!$F$26)*IFERROR(N('Recurring Items'!$D$26),0)+(IF(AC207=1,'Debt Tracker'!$P$24&gt;0.01,INDEX('Debt Tracker'!$T$5:$AE$29,20,AC207-1)&gt;0.01))*('Recurring Items'!$H$27&lt;&gt;"Skip")*(DAY(AB207)='Recurring Items'!$F$27)*IFERROR(N('Recurring Items'!$D$27),0)+(IF(AC207=1,'Debt Tracker'!$P$25&gt;0.01,INDEX('Debt Tracker'!$T$5:$AE$29,21,AC207-1)&gt;0.01))*('Recurring Items'!$H$28&lt;&gt;"Skip")*(DAY(AB207)='Recurring Items'!$F$28)*IFERROR(N('Recurring Items'!$D$28),0)+(IF(AC207=1,'Debt Tracker'!$P$26&gt;0.01,INDEX('Debt Tracker'!$T$5:$AE$29,22,AC207-1)&gt;0.01))*('Recurring Items'!$H$29&lt;&gt;"Skip")*(DAY(AB207)='Recurring Items'!$F$29)*IFERROR(N('Recurring Items'!$D$29),0)+(IF(AC207=1,'Debt Tracker'!$P$27&gt;0.01,INDEX('Debt Tracker'!$T$5:$AE$29,23,AC207-1)&gt;0.01))*('Recurring Items'!$H$30&lt;&gt;"Skip")*(DAY(AB207)='Recurring Items'!$F$30)*IFERROR(N('Recurring Items'!$D$30),0)+(IF(AC207=1,'Debt Tracker'!$P$28&gt;0.01,INDEX('Debt Tracker'!$T$5:$AE$29,24,AC207-1)&gt;0.01))*('Recurring Items'!$H$31&lt;&gt;"Skip")*(DAY(AB207)='Recurring Items'!$F$31)*IFERROR(N('Recurring Items'!$D$31),0)+(IF(AC207=1,'Debt Tracker'!$P$29&gt;0.01,INDEX('Debt Tracker'!$T$5:$AE$29,25,AC207-1)&gt;0.01))*('Recurring Items'!$H$32&lt;&gt;"Skip")*(DAY(AB207)='Recurring Items'!$F$32)*IFERROR(N('Recurring Items'!$D$32),0)</f>
        <v>0</v>
      </c>
      <c r="AG207" s="1" t="n">
        <f aca="false">AD207-AE207-AF207</f>
        <v>-513.85</v>
      </c>
      <c r="AH207" s="1" t="n">
        <f aca="false">AH206+AG207</f>
        <v>3949.62</v>
      </c>
    </row>
    <row r="208" customFormat="false" ht="15" hidden="false" customHeight="true" outlineLevel="0" collapsed="false">
      <c r="AA208" s="1" t="n">
        <v>8</v>
      </c>
      <c r="AB208" s="145" t="n">
        <f aca="false">$D$3+8</f>
        <v>46151</v>
      </c>
      <c r="AC208" s="1" t="n">
        <f aca="false">MIN(12,1+DATEDIF($D$3,AB208,"M"))</f>
        <v>1</v>
      </c>
      <c r="AD208" s="1" t="n">
        <f aca="false">SUMPRODUCT(('Recurring Items'!$C$6:$C$56="Income")*('Recurring Items'!$H$6:$H$56&lt;&gt;"Skip")*IFERROR(N('Recurring Items'!$D$6:$D$56),0)*(('Recurring Items'!$E$6:$E$56="Monthly")*(DAY(AB208)='Recurring Items'!$F$6:$F$56)+('Recurring Items'!$E$6:$E$56="Bi-weekly")*(WEEKDAY(AB208)=IFERROR(WEEKDAY('Recurring Items'!$G$6:$G$56),0))*(MOD(AB208-IFERROR('Recurring Items'!$G$6:$G$56,0),14)=0)*(AB208&gt;=IFERROR('Recurring Items'!$G$6:$G$56,9000000000))+('Recurring Items'!$E$6:$E$56="Weekly")*(WEEKDAY(AB208)=IFERROR(WEEKDAY('Recurring Items'!$G$6:$G$56),0))*(AB208&gt;=IFERROR('Recurring Items'!$G$6:$G$56,9000000000))+('Recurring Items'!$E$6:$E$56="One-time")*(AB208='Recurring Items'!$G$6:$G$56)))</f>
        <v>0</v>
      </c>
      <c r="AE208" s="1" t="n">
        <f aca="false">SUMPRODUCT(('Recurring Items'!$C$6:$C$56="Expense")*('Recurring Items'!$H$6:$H$56&lt;&gt;"Skip")*IFERROR(N('Recurring Items'!$D$6:$D$56),0)*(('Recurring Items'!$E$6:$E$56="Monthly")*(DAY(AB208)='Recurring Items'!$F$6:$F$56)+('Recurring Items'!$E$6:$E$56="Bi-weekly")*(WEEKDAY(AB208)=IFERROR(WEEKDAY('Recurring Items'!$G$6:$G$56),0))*(MOD(AB208-IFERROR('Recurring Items'!$G$6:$G$56,0),14)=0)*(AB208&gt;=IFERROR('Recurring Items'!$G$6:$G$56,9000000000))+('Recurring Items'!$E$6:$E$56="Weekly")*(WEEKDAY(AB208)=IFERROR(WEEKDAY('Recurring Items'!$G$6:$G$56),0))*(AB208&gt;=IFERROR('Recurring Items'!$G$6:$G$56,9000000000))+('Recurring Items'!$E$6:$E$56="One-time")*(AB208='Recurring Items'!$G$6:$G$56)))</f>
        <v>0</v>
      </c>
      <c r="AF208" s="1" t="n">
        <f aca="false">(IF(AC208=1,'Debt Tracker'!$P$5&gt;0.01,INDEX('Debt Tracker'!$T$5:$AE$29,1,AC208-1)&gt;0.01))*('Recurring Items'!$H$8&lt;&gt;"Skip")*(DAY(AB208)='Recurring Items'!$F$8)*IFERROR(N('Recurring Items'!$D$8),0)+(IF(AC208=1,'Debt Tracker'!$P$6&gt;0.01,INDEX('Debt Tracker'!$T$5:$AE$29,2,AC208-1)&gt;0.01))*('Recurring Items'!$H$9&lt;&gt;"Skip")*(DAY(AB208)='Recurring Items'!$F$9)*IFERROR(N('Recurring Items'!$D$9),0)+(IF(AC208=1,'Debt Tracker'!$P$7&gt;0.01,INDEX('Debt Tracker'!$T$5:$AE$29,3,AC208-1)&gt;0.01))*('Recurring Items'!$H$10&lt;&gt;"Skip")*(DAY(AB208)='Recurring Items'!$F$10)*IFERROR(N('Recurring Items'!$D$10),0)+(IF(AC208=1,'Debt Tracker'!$P$8&gt;0.01,INDEX('Debt Tracker'!$T$5:$AE$29,4,AC208-1)&gt;0.01))*('Recurring Items'!$H$11&lt;&gt;"Skip")*(DAY(AB208)='Recurring Items'!$F$11)*IFERROR(N('Recurring Items'!$D$11),0)+(IF(AC208=1,'Debt Tracker'!$P$9&gt;0.01,INDEX('Debt Tracker'!$T$5:$AE$29,5,AC208-1)&gt;0.01))*('Recurring Items'!$H$12&lt;&gt;"Skip")*(DAY(AB208)='Recurring Items'!$F$12)*IFERROR(N('Recurring Items'!$D$12),0)+(IF(AC208=1,'Debt Tracker'!$P$10&gt;0.01,INDEX('Debt Tracker'!$T$5:$AE$29,6,AC208-1)&gt;0.01))*('Recurring Items'!$H$13&lt;&gt;"Skip")*(DAY(AB208)='Recurring Items'!$F$13)*IFERROR(N('Recurring Items'!$D$13),0)+(IF(AC208=1,'Debt Tracker'!$P$11&gt;0.01,INDEX('Debt Tracker'!$T$5:$AE$29,7,AC208-1)&gt;0.01))*('Recurring Items'!$H$14&lt;&gt;"Skip")*(DAY(AB208)='Recurring Items'!$F$14)*IFERROR(N('Recurring Items'!$D$14),0)+(IF(AC208=1,'Debt Tracker'!$P$12&gt;0.01,INDEX('Debt Tracker'!$T$5:$AE$29,8,AC208-1)&gt;0.01))*('Recurring Items'!$H$15&lt;&gt;"Skip")*(DAY(AB208)='Recurring Items'!$F$15)*IFERROR(N('Recurring Items'!$D$15),0)+(IF(AC208=1,'Debt Tracker'!$P$13&gt;0.01,INDEX('Debt Tracker'!$T$5:$AE$29,9,AC208-1)&gt;0.01))*('Recurring Items'!$H$16&lt;&gt;"Skip")*(DAY(AB208)='Recurring Items'!$F$16)*IFERROR(N('Recurring Items'!$D$16),0)+(IF(AC208=1,'Debt Tracker'!$P$14&gt;0.01,INDEX('Debt Tracker'!$T$5:$AE$29,10,AC208-1)&gt;0.01))*('Recurring Items'!$H$17&lt;&gt;"Skip")*(DAY(AB208)='Recurring Items'!$F$17)*IFERROR(N('Recurring Items'!$D$17),0)+(IF(AC208=1,'Debt Tracker'!$P$15&gt;0.01,INDEX('Debt Tracker'!$T$5:$AE$29,11,AC208-1)&gt;0.01))*('Recurring Items'!$H$18&lt;&gt;"Skip")*(DAY(AB208)='Recurring Items'!$F$18)*IFERROR(N('Recurring Items'!$D$18),0)+(IF(AC208=1,'Debt Tracker'!$P$16&gt;0.01,INDEX('Debt Tracker'!$T$5:$AE$29,12,AC208-1)&gt;0.01))*('Recurring Items'!$H$19&lt;&gt;"Skip")*(DAY(AB208)='Recurring Items'!$F$19)*IFERROR(N('Recurring Items'!$D$19),0)+(IF(AC208=1,'Debt Tracker'!$P$17&gt;0.01,INDEX('Debt Tracker'!$T$5:$AE$29,13,AC208-1)&gt;0.01))*('Recurring Items'!$H$20&lt;&gt;"Skip")*(DAY(AB208)='Recurring Items'!$F$20)*IFERROR(N('Recurring Items'!$D$20),0)+(IF(AC208=1,'Debt Tracker'!$P$18&gt;0.01,INDEX('Debt Tracker'!$T$5:$AE$29,14,AC208-1)&gt;0.01))*('Recurring Items'!$H$21&lt;&gt;"Skip")*(DAY(AB208)='Recurring Items'!$F$21)*IFERROR(N('Recurring Items'!$D$21),0)+(IF(AC208=1,'Debt Tracker'!$P$19&gt;0.01,INDEX('Debt Tracker'!$T$5:$AE$29,15,AC208-1)&gt;0.01))*('Recurring Items'!$H$22&lt;&gt;"Skip")*(DAY(AB208)='Recurring Items'!$F$22)*IFERROR(N('Recurring Items'!$D$22),0)+(IF(AC208=1,'Debt Tracker'!$P$20&gt;0.01,INDEX('Debt Tracker'!$T$5:$AE$29,16,AC208-1)&gt;0.01))*('Recurring Items'!$H$23&lt;&gt;"Skip")*(DAY(AB208)='Recurring Items'!$F$23)*IFERROR(N('Recurring Items'!$D$23),0)+(IF(AC208=1,'Debt Tracker'!$P$21&gt;0.01,INDEX('Debt Tracker'!$T$5:$AE$29,17,AC208-1)&gt;0.01))*('Recurring Items'!$H$24&lt;&gt;"Skip")*(DAY(AB208)='Recurring Items'!$F$24)*IFERROR(N('Recurring Items'!$D$24),0)+(IF(AC208=1,'Debt Tracker'!$P$22&gt;0.01,INDEX('Debt Tracker'!$T$5:$AE$29,18,AC208-1)&gt;0.01))*('Recurring Items'!$H$25&lt;&gt;"Skip")*(DAY(AB208)='Recurring Items'!$F$25)*IFERROR(N('Recurring Items'!$D$25),0)+(IF(AC208=1,'Debt Tracker'!$P$23&gt;0.01,INDEX('Debt Tracker'!$T$5:$AE$29,19,AC208-1)&gt;0.01))*('Recurring Items'!$H$26&lt;&gt;"Skip")*(DAY(AB208)='Recurring Items'!$F$26)*IFERROR(N('Recurring Items'!$D$26),0)+(IF(AC208=1,'Debt Tracker'!$P$24&gt;0.01,INDEX('Debt Tracker'!$T$5:$AE$29,20,AC208-1)&gt;0.01))*('Recurring Items'!$H$27&lt;&gt;"Skip")*(DAY(AB208)='Recurring Items'!$F$27)*IFERROR(N('Recurring Items'!$D$27),0)+(IF(AC208=1,'Debt Tracker'!$P$25&gt;0.01,INDEX('Debt Tracker'!$T$5:$AE$29,21,AC208-1)&gt;0.01))*('Recurring Items'!$H$28&lt;&gt;"Skip")*(DAY(AB208)='Recurring Items'!$F$28)*IFERROR(N('Recurring Items'!$D$28),0)+(IF(AC208=1,'Debt Tracker'!$P$26&gt;0.01,INDEX('Debt Tracker'!$T$5:$AE$29,22,AC208-1)&gt;0.01))*('Recurring Items'!$H$29&lt;&gt;"Skip")*(DAY(AB208)='Recurring Items'!$F$29)*IFERROR(N('Recurring Items'!$D$29),0)+(IF(AC208=1,'Debt Tracker'!$P$27&gt;0.01,INDEX('Debt Tracker'!$T$5:$AE$29,23,AC208-1)&gt;0.01))*('Recurring Items'!$H$30&lt;&gt;"Skip")*(DAY(AB208)='Recurring Items'!$F$30)*IFERROR(N('Recurring Items'!$D$30),0)+(IF(AC208=1,'Debt Tracker'!$P$28&gt;0.01,INDEX('Debt Tracker'!$T$5:$AE$29,24,AC208-1)&gt;0.01))*('Recurring Items'!$H$31&lt;&gt;"Skip")*(DAY(AB208)='Recurring Items'!$F$31)*IFERROR(N('Recurring Items'!$D$31),0)+(IF(AC208=1,'Debt Tracker'!$P$29&gt;0.01,INDEX('Debt Tracker'!$T$5:$AE$29,25,AC208-1)&gt;0.01))*('Recurring Items'!$H$32&lt;&gt;"Skip")*(DAY(AB208)='Recurring Items'!$F$32)*IFERROR(N('Recurring Items'!$D$32),0)</f>
        <v>162</v>
      </c>
      <c r="AG208" s="1" t="n">
        <f aca="false">AD208-AE208-AF208</f>
        <v>-162</v>
      </c>
      <c r="AH208" s="1" t="n">
        <f aca="false">AH207+AG208</f>
        <v>3787.62</v>
      </c>
    </row>
    <row r="209" customFormat="false" ht="15" hidden="false" customHeight="true" outlineLevel="0" collapsed="false">
      <c r="AA209" s="1" t="n">
        <v>9</v>
      </c>
      <c r="AB209" s="145" t="n">
        <f aca="false">$D$3+9</f>
        <v>46152</v>
      </c>
      <c r="AC209" s="1" t="n">
        <f aca="false">MIN(12,1+DATEDIF($D$3,AB209,"M"))</f>
        <v>1</v>
      </c>
      <c r="AD209" s="1" t="n">
        <f aca="false">SUMPRODUCT(('Recurring Items'!$C$6:$C$56="Income")*('Recurring Items'!$H$6:$H$56&lt;&gt;"Skip")*IFERROR(N('Recurring Items'!$D$6:$D$56),0)*(('Recurring Items'!$E$6:$E$56="Monthly")*(DAY(AB209)='Recurring Items'!$F$6:$F$56)+('Recurring Items'!$E$6:$E$56="Bi-weekly")*(WEEKDAY(AB209)=IFERROR(WEEKDAY('Recurring Items'!$G$6:$G$56),0))*(MOD(AB209-IFERROR('Recurring Items'!$G$6:$G$56,0),14)=0)*(AB209&gt;=IFERROR('Recurring Items'!$G$6:$G$56,9000000000))+('Recurring Items'!$E$6:$E$56="Weekly")*(WEEKDAY(AB209)=IFERROR(WEEKDAY('Recurring Items'!$G$6:$G$56),0))*(AB209&gt;=IFERROR('Recurring Items'!$G$6:$G$56,9000000000))+('Recurring Items'!$E$6:$E$56="One-time")*(AB209='Recurring Items'!$G$6:$G$56)))</f>
        <v>0</v>
      </c>
      <c r="AE209" s="1" t="n">
        <f aca="false">SUMPRODUCT(('Recurring Items'!$C$6:$C$56="Expense")*('Recurring Items'!$H$6:$H$56&lt;&gt;"Skip")*IFERROR(N('Recurring Items'!$D$6:$D$56),0)*(('Recurring Items'!$E$6:$E$56="Monthly")*(DAY(AB209)='Recurring Items'!$F$6:$F$56)+('Recurring Items'!$E$6:$E$56="Bi-weekly")*(WEEKDAY(AB209)=IFERROR(WEEKDAY('Recurring Items'!$G$6:$G$56),0))*(MOD(AB209-IFERROR('Recurring Items'!$G$6:$G$56,0),14)=0)*(AB209&gt;=IFERROR('Recurring Items'!$G$6:$G$56,9000000000))+('Recurring Items'!$E$6:$E$56="Weekly")*(WEEKDAY(AB209)=IFERROR(WEEKDAY('Recurring Items'!$G$6:$G$56),0))*(AB209&gt;=IFERROR('Recurring Items'!$G$6:$G$56,9000000000))+('Recurring Items'!$E$6:$E$56="One-time")*(AB209='Recurring Items'!$G$6:$G$56)))</f>
        <v>340.22</v>
      </c>
      <c r="AF209" s="1" t="n">
        <f aca="false">(IF(AC209=1,'Debt Tracker'!$P$5&gt;0.01,INDEX('Debt Tracker'!$T$5:$AE$29,1,AC209-1)&gt;0.01))*('Recurring Items'!$H$8&lt;&gt;"Skip")*(DAY(AB209)='Recurring Items'!$F$8)*IFERROR(N('Recurring Items'!$D$8),0)+(IF(AC209=1,'Debt Tracker'!$P$6&gt;0.01,INDEX('Debt Tracker'!$T$5:$AE$29,2,AC209-1)&gt;0.01))*('Recurring Items'!$H$9&lt;&gt;"Skip")*(DAY(AB209)='Recurring Items'!$F$9)*IFERROR(N('Recurring Items'!$D$9),0)+(IF(AC209=1,'Debt Tracker'!$P$7&gt;0.01,INDEX('Debt Tracker'!$T$5:$AE$29,3,AC209-1)&gt;0.01))*('Recurring Items'!$H$10&lt;&gt;"Skip")*(DAY(AB209)='Recurring Items'!$F$10)*IFERROR(N('Recurring Items'!$D$10),0)+(IF(AC209=1,'Debt Tracker'!$P$8&gt;0.01,INDEX('Debt Tracker'!$T$5:$AE$29,4,AC209-1)&gt;0.01))*('Recurring Items'!$H$11&lt;&gt;"Skip")*(DAY(AB209)='Recurring Items'!$F$11)*IFERROR(N('Recurring Items'!$D$11),0)+(IF(AC209=1,'Debt Tracker'!$P$9&gt;0.01,INDEX('Debt Tracker'!$T$5:$AE$29,5,AC209-1)&gt;0.01))*('Recurring Items'!$H$12&lt;&gt;"Skip")*(DAY(AB209)='Recurring Items'!$F$12)*IFERROR(N('Recurring Items'!$D$12),0)+(IF(AC209=1,'Debt Tracker'!$P$10&gt;0.01,INDEX('Debt Tracker'!$T$5:$AE$29,6,AC209-1)&gt;0.01))*('Recurring Items'!$H$13&lt;&gt;"Skip")*(DAY(AB209)='Recurring Items'!$F$13)*IFERROR(N('Recurring Items'!$D$13),0)+(IF(AC209=1,'Debt Tracker'!$P$11&gt;0.01,INDEX('Debt Tracker'!$T$5:$AE$29,7,AC209-1)&gt;0.01))*('Recurring Items'!$H$14&lt;&gt;"Skip")*(DAY(AB209)='Recurring Items'!$F$14)*IFERROR(N('Recurring Items'!$D$14),0)+(IF(AC209=1,'Debt Tracker'!$P$12&gt;0.01,INDEX('Debt Tracker'!$T$5:$AE$29,8,AC209-1)&gt;0.01))*('Recurring Items'!$H$15&lt;&gt;"Skip")*(DAY(AB209)='Recurring Items'!$F$15)*IFERROR(N('Recurring Items'!$D$15),0)+(IF(AC209=1,'Debt Tracker'!$P$13&gt;0.01,INDEX('Debt Tracker'!$T$5:$AE$29,9,AC209-1)&gt;0.01))*('Recurring Items'!$H$16&lt;&gt;"Skip")*(DAY(AB209)='Recurring Items'!$F$16)*IFERROR(N('Recurring Items'!$D$16),0)+(IF(AC209=1,'Debt Tracker'!$P$14&gt;0.01,INDEX('Debt Tracker'!$T$5:$AE$29,10,AC209-1)&gt;0.01))*('Recurring Items'!$H$17&lt;&gt;"Skip")*(DAY(AB209)='Recurring Items'!$F$17)*IFERROR(N('Recurring Items'!$D$17),0)+(IF(AC209=1,'Debt Tracker'!$P$15&gt;0.01,INDEX('Debt Tracker'!$T$5:$AE$29,11,AC209-1)&gt;0.01))*('Recurring Items'!$H$18&lt;&gt;"Skip")*(DAY(AB209)='Recurring Items'!$F$18)*IFERROR(N('Recurring Items'!$D$18),0)+(IF(AC209=1,'Debt Tracker'!$P$16&gt;0.01,INDEX('Debt Tracker'!$T$5:$AE$29,12,AC209-1)&gt;0.01))*('Recurring Items'!$H$19&lt;&gt;"Skip")*(DAY(AB209)='Recurring Items'!$F$19)*IFERROR(N('Recurring Items'!$D$19),0)+(IF(AC209=1,'Debt Tracker'!$P$17&gt;0.01,INDEX('Debt Tracker'!$T$5:$AE$29,13,AC209-1)&gt;0.01))*('Recurring Items'!$H$20&lt;&gt;"Skip")*(DAY(AB209)='Recurring Items'!$F$20)*IFERROR(N('Recurring Items'!$D$20),0)+(IF(AC209=1,'Debt Tracker'!$P$18&gt;0.01,INDEX('Debt Tracker'!$T$5:$AE$29,14,AC209-1)&gt;0.01))*('Recurring Items'!$H$21&lt;&gt;"Skip")*(DAY(AB209)='Recurring Items'!$F$21)*IFERROR(N('Recurring Items'!$D$21),0)+(IF(AC209=1,'Debt Tracker'!$P$19&gt;0.01,INDEX('Debt Tracker'!$T$5:$AE$29,15,AC209-1)&gt;0.01))*('Recurring Items'!$H$22&lt;&gt;"Skip")*(DAY(AB209)='Recurring Items'!$F$22)*IFERROR(N('Recurring Items'!$D$22),0)+(IF(AC209=1,'Debt Tracker'!$P$20&gt;0.01,INDEX('Debt Tracker'!$T$5:$AE$29,16,AC209-1)&gt;0.01))*('Recurring Items'!$H$23&lt;&gt;"Skip")*(DAY(AB209)='Recurring Items'!$F$23)*IFERROR(N('Recurring Items'!$D$23),0)+(IF(AC209=1,'Debt Tracker'!$P$21&gt;0.01,INDEX('Debt Tracker'!$T$5:$AE$29,17,AC209-1)&gt;0.01))*('Recurring Items'!$H$24&lt;&gt;"Skip")*(DAY(AB209)='Recurring Items'!$F$24)*IFERROR(N('Recurring Items'!$D$24),0)+(IF(AC209=1,'Debt Tracker'!$P$22&gt;0.01,INDEX('Debt Tracker'!$T$5:$AE$29,18,AC209-1)&gt;0.01))*('Recurring Items'!$H$25&lt;&gt;"Skip")*(DAY(AB209)='Recurring Items'!$F$25)*IFERROR(N('Recurring Items'!$D$25),0)+(IF(AC209=1,'Debt Tracker'!$P$23&gt;0.01,INDEX('Debt Tracker'!$T$5:$AE$29,19,AC209-1)&gt;0.01))*('Recurring Items'!$H$26&lt;&gt;"Skip")*(DAY(AB209)='Recurring Items'!$F$26)*IFERROR(N('Recurring Items'!$D$26),0)+(IF(AC209=1,'Debt Tracker'!$P$24&gt;0.01,INDEX('Debt Tracker'!$T$5:$AE$29,20,AC209-1)&gt;0.01))*('Recurring Items'!$H$27&lt;&gt;"Skip")*(DAY(AB209)='Recurring Items'!$F$27)*IFERROR(N('Recurring Items'!$D$27),0)+(IF(AC209=1,'Debt Tracker'!$P$25&gt;0.01,INDEX('Debt Tracker'!$T$5:$AE$29,21,AC209-1)&gt;0.01))*('Recurring Items'!$H$28&lt;&gt;"Skip")*(DAY(AB209)='Recurring Items'!$F$28)*IFERROR(N('Recurring Items'!$D$28),0)+(IF(AC209=1,'Debt Tracker'!$P$26&gt;0.01,INDEX('Debt Tracker'!$T$5:$AE$29,22,AC209-1)&gt;0.01))*('Recurring Items'!$H$29&lt;&gt;"Skip")*(DAY(AB209)='Recurring Items'!$F$29)*IFERROR(N('Recurring Items'!$D$29),0)+(IF(AC209=1,'Debt Tracker'!$P$27&gt;0.01,INDEX('Debt Tracker'!$T$5:$AE$29,23,AC209-1)&gt;0.01))*('Recurring Items'!$H$30&lt;&gt;"Skip")*(DAY(AB209)='Recurring Items'!$F$30)*IFERROR(N('Recurring Items'!$D$30),0)+(IF(AC209=1,'Debt Tracker'!$P$28&gt;0.01,INDEX('Debt Tracker'!$T$5:$AE$29,24,AC209-1)&gt;0.01))*('Recurring Items'!$H$31&lt;&gt;"Skip")*(DAY(AB209)='Recurring Items'!$F$31)*IFERROR(N('Recurring Items'!$D$31),0)+(IF(AC209=1,'Debt Tracker'!$P$29&gt;0.01,INDEX('Debt Tracker'!$T$5:$AE$29,25,AC209-1)&gt;0.01))*('Recurring Items'!$H$32&lt;&gt;"Skip")*(DAY(AB209)='Recurring Items'!$F$32)*IFERROR(N('Recurring Items'!$D$32),0)</f>
        <v>72.54</v>
      </c>
      <c r="AG209" s="1" t="n">
        <f aca="false">AD209-AE209-AF209</f>
        <v>-412.76</v>
      </c>
      <c r="AH209" s="1" t="n">
        <f aca="false">AH208+AG209</f>
        <v>3374.86</v>
      </c>
    </row>
    <row r="210" customFormat="false" ht="15" hidden="false" customHeight="true" outlineLevel="0" collapsed="false">
      <c r="AA210" s="1" t="n">
        <v>10</v>
      </c>
      <c r="AB210" s="145" t="n">
        <f aca="false">$D$3+10</f>
        <v>46153</v>
      </c>
      <c r="AC210" s="1" t="n">
        <f aca="false">MIN(12,1+DATEDIF($D$3,AB210,"M"))</f>
        <v>1</v>
      </c>
      <c r="AD210" s="1" t="n">
        <f aca="false">SUMPRODUCT(('Recurring Items'!$C$6:$C$56="Income")*('Recurring Items'!$H$6:$H$56&lt;&gt;"Skip")*IFERROR(N('Recurring Items'!$D$6:$D$56),0)*(('Recurring Items'!$E$6:$E$56="Monthly")*(DAY(AB210)='Recurring Items'!$F$6:$F$56)+('Recurring Items'!$E$6:$E$56="Bi-weekly")*(WEEKDAY(AB210)=IFERROR(WEEKDAY('Recurring Items'!$G$6:$G$56),0))*(MOD(AB210-IFERROR('Recurring Items'!$G$6:$G$56,0),14)=0)*(AB210&gt;=IFERROR('Recurring Items'!$G$6:$G$56,9000000000))+('Recurring Items'!$E$6:$E$56="Weekly")*(WEEKDAY(AB210)=IFERROR(WEEKDAY('Recurring Items'!$G$6:$G$56),0))*(AB210&gt;=IFERROR('Recurring Items'!$G$6:$G$56,9000000000))+('Recurring Items'!$E$6:$E$56="One-time")*(AB210='Recurring Items'!$G$6:$G$56)))</f>
        <v>0</v>
      </c>
      <c r="AE210" s="1" t="n">
        <f aca="false">SUMPRODUCT(('Recurring Items'!$C$6:$C$56="Expense")*('Recurring Items'!$H$6:$H$56&lt;&gt;"Skip")*IFERROR(N('Recurring Items'!$D$6:$D$56),0)*(('Recurring Items'!$E$6:$E$56="Monthly")*(DAY(AB210)='Recurring Items'!$F$6:$F$56)+('Recurring Items'!$E$6:$E$56="Bi-weekly")*(WEEKDAY(AB210)=IFERROR(WEEKDAY('Recurring Items'!$G$6:$G$56),0))*(MOD(AB210-IFERROR('Recurring Items'!$G$6:$G$56,0),14)=0)*(AB210&gt;=IFERROR('Recurring Items'!$G$6:$G$56,9000000000))+('Recurring Items'!$E$6:$E$56="Weekly")*(WEEKDAY(AB210)=IFERROR(WEEKDAY('Recurring Items'!$G$6:$G$56),0))*(AB210&gt;=IFERROR('Recurring Items'!$G$6:$G$56,9000000000))+('Recurring Items'!$E$6:$E$56="One-time")*(AB210='Recurring Items'!$G$6:$G$56)))</f>
        <v>0</v>
      </c>
      <c r="AF210" s="1" t="n">
        <f aca="false">(IF(AC210=1,'Debt Tracker'!$P$5&gt;0.01,INDEX('Debt Tracker'!$T$5:$AE$29,1,AC210-1)&gt;0.01))*('Recurring Items'!$H$8&lt;&gt;"Skip")*(DAY(AB210)='Recurring Items'!$F$8)*IFERROR(N('Recurring Items'!$D$8),0)+(IF(AC210=1,'Debt Tracker'!$P$6&gt;0.01,INDEX('Debt Tracker'!$T$5:$AE$29,2,AC210-1)&gt;0.01))*('Recurring Items'!$H$9&lt;&gt;"Skip")*(DAY(AB210)='Recurring Items'!$F$9)*IFERROR(N('Recurring Items'!$D$9),0)+(IF(AC210=1,'Debt Tracker'!$P$7&gt;0.01,INDEX('Debt Tracker'!$T$5:$AE$29,3,AC210-1)&gt;0.01))*('Recurring Items'!$H$10&lt;&gt;"Skip")*(DAY(AB210)='Recurring Items'!$F$10)*IFERROR(N('Recurring Items'!$D$10),0)+(IF(AC210=1,'Debt Tracker'!$P$8&gt;0.01,INDEX('Debt Tracker'!$T$5:$AE$29,4,AC210-1)&gt;0.01))*('Recurring Items'!$H$11&lt;&gt;"Skip")*(DAY(AB210)='Recurring Items'!$F$11)*IFERROR(N('Recurring Items'!$D$11),0)+(IF(AC210=1,'Debt Tracker'!$P$9&gt;0.01,INDEX('Debt Tracker'!$T$5:$AE$29,5,AC210-1)&gt;0.01))*('Recurring Items'!$H$12&lt;&gt;"Skip")*(DAY(AB210)='Recurring Items'!$F$12)*IFERROR(N('Recurring Items'!$D$12),0)+(IF(AC210=1,'Debt Tracker'!$P$10&gt;0.01,INDEX('Debt Tracker'!$T$5:$AE$29,6,AC210-1)&gt;0.01))*('Recurring Items'!$H$13&lt;&gt;"Skip")*(DAY(AB210)='Recurring Items'!$F$13)*IFERROR(N('Recurring Items'!$D$13),0)+(IF(AC210=1,'Debt Tracker'!$P$11&gt;0.01,INDEX('Debt Tracker'!$T$5:$AE$29,7,AC210-1)&gt;0.01))*('Recurring Items'!$H$14&lt;&gt;"Skip")*(DAY(AB210)='Recurring Items'!$F$14)*IFERROR(N('Recurring Items'!$D$14),0)+(IF(AC210=1,'Debt Tracker'!$P$12&gt;0.01,INDEX('Debt Tracker'!$T$5:$AE$29,8,AC210-1)&gt;0.01))*('Recurring Items'!$H$15&lt;&gt;"Skip")*(DAY(AB210)='Recurring Items'!$F$15)*IFERROR(N('Recurring Items'!$D$15),0)+(IF(AC210=1,'Debt Tracker'!$P$13&gt;0.01,INDEX('Debt Tracker'!$T$5:$AE$29,9,AC210-1)&gt;0.01))*('Recurring Items'!$H$16&lt;&gt;"Skip")*(DAY(AB210)='Recurring Items'!$F$16)*IFERROR(N('Recurring Items'!$D$16),0)+(IF(AC210=1,'Debt Tracker'!$P$14&gt;0.01,INDEX('Debt Tracker'!$T$5:$AE$29,10,AC210-1)&gt;0.01))*('Recurring Items'!$H$17&lt;&gt;"Skip")*(DAY(AB210)='Recurring Items'!$F$17)*IFERROR(N('Recurring Items'!$D$17),0)+(IF(AC210=1,'Debt Tracker'!$P$15&gt;0.01,INDEX('Debt Tracker'!$T$5:$AE$29,11,AC210-1)&gt;0.01))*('Recurring Items'!$H$18&lt;&gt;"Skip")*(DAY(AB210)='Recurring Items'!$F$18)*IFERROR(N('Recurring Items'!$D$18),0)+(IF(AC210=1,'Debt Tracker'!$P$16&gt;0.01,INDEX('Debt Tracker'!$T$5:$AE$29,12,AC210-1)&gt;0.01))*('Recurring Items'!$H$19&lt;&gt;"Skip")*(DAY(AB210)='Recurring Items'!$F$19)*IFERROR(N('Recurring Items'!$D$19),0)+(IF(AC210=1,'Debt Tracker'!$P$17&gt;0.01,INDEX('Debt Tracker'!$T$5:$AE$29,13,AC210-1)&gt;0.01))*('Recurring Items'!$H$20&lt;&gt;"Skip")*(DAY(AB210)='Recurring Items'!$F$20)*IFERROR(N('Recurring Items'!$D$20),0)+(IF(AC210=1,'Debt Tracker'!$P$18&gt;0.01,INDEX('Debt Tracker'!$T$5:$AE$29,14,AC210-1)&gt;0.01))*('Recurring Items'!$H$21&lt;&gt;"Skip")*(DAY(AB210)='Recurring Items'!$F$21)*IFERROR(N('Recurring Items'!$D$21),0)+(IF(AC210=1,'Debt Tracker'!$P$19&gt;0.01,INDEX('Debt Tracker'!$T$5:$AE$29,15,AC210-1)&gt;0.01))*('Recurring Items'!$H$22&lt;&gt;"Skip")*(DAY(AB210)='Recurring Items'!$F$22)*IFERROR(N('Recurring Items'!$D$22),0)+(IF(AC210=1,'Debt Tracker'!$P$20&gt;0.01,INDEX('Debt Tracker'!$T$5:$AE$29,16,AC210-1)&gt;0.01))*('Recurring Items'!$H$23&lt;&gt;"Skip")*(DAY(AB210)='Recurring Items'!$F$23)*IFERROR(N('Recurring Items'!$D$23),0)+(IF(AC210=1,'Debt Tracker'!$P$21&gt;0.01,INDEX('Debt Tracker'!$T$5:$AE$29,17,AC210-1)&gt;0.01))*('Recurring Items'!$H$24&lt;&gt;"Skip")*(DAY(AB210)='Recurring Items'!$F$24)*IFERROR(N('Recurring Items'!$D$24),0)+(IF(AC210=1,'Debt Tracker'!$P$22&gt;0.01,INDEX('Debt Tracker'!$T$5:$AE$29,18,AC210-1)&gt;0.01))*('Recurring Items'!$H$25&lt;&gt;"Skip")*(DAY(AB210)='Recurring Items'!$F$25)*IFERROR(N('Recurring Items'!$D$25),0)+(IF(AC210=1,'Debt Tracker'!$P$23&gt;0.01,INDEX('Debt Tracker'!$T$5:$AE$29,19,AC210-1)&gt;0.01))*('Recurring Items'!$H$26&lt;&gt;"Skip")*(DAY(AB210)='Recurring Items'!$F$26)*IFERROR(N('Recurring Items'!$D$26),0)+(IF(AC210=1,'Debt Tracker'!$P$24&gt;0.01,INDEX('Debt Tracker'!$T$5:$AE$29,20,AC210-1)&gt;0.01))*('Recurring Items'!$H$27&lt;&gt;"Skip")*(DAY(AB210)='Recurring Items'!$F$27)*IFERROR(N('Recurring Items'!$D$27),0)+(IF(AC210=1,'Debt Tracker'!$P$25&gt;0.01,INDEX('Debt Tracker'!$T$5:$AE$29,21,AC210-1)&gt;0.01))*('Recurring Items'!$H$28&lt;&gt;"Skip")*(DAY(AB210)='Recurring Items'!$F$28)*IFERROR(N('Recurring Items'!$D$28),0)+(IF(AC210=1,'Debt Tracker'!$P$26&gt;0.01,INDEX('Debt Tracker'!$T$5:$AE$29,22,AC210-1)&gt;0.01))*('Recurring Items'!$H$29&lt;&gt;"Skip")*(DAY(AB210)='Recurring Items'!$F$29)*IFERROR(N('Recurring Items'!$D$29),0)+(IF(AC210=1,'Debt Tracker'!$P$27&gt;0.01,INDEX('Debt Tracker'!$T$5:$AE$29,23,AC210-1)&gt;0.01))*('Recurring Items'!$H$30&lt;&gt;"Skip")*(DAY(AB210)='Recurring Items'!$F$30)*IFERROR(N('Recurring Items'!$D$30),0)+(IF(AC210=1,'Debt Tracker'!$P$28&gt;0.01,INDEX('Debt Tracker'!$T$5:$AE$29,24,AC210-1)&gt;0.01))*('Recurring Items'!$H$31&lt;&gt;"Skip")*(DAY(AB210)='Recurring Items'!$F$31)*IFERROR(N('Recurring Items'!$D$31),0)+(IF(AC210=1,'Debt Tracker'!$P$29&gt;0.01,INDEX('Debt Tracker'!$T$5:$AE$29,25,AC210-1)&gt;0.01))*('Recurring Items'!$H$32&lt;&gt;"Skip")*(DAY(AB210)='Recurring Items'!$F$32)*IFERROR(N('Recurring Items'!$D$32),0)</f>
        <v>0</v>
      </c>
      <c r="AG210" s="1" t="n">
        <f aca="false">AD210-AE210-AF210</f>
        <v>0</v>
      </c>
      <c r="AH210" s="1" t="n">
        <f aca="false">AH209+AG210</f>
        <v>3374.86</v>
      </c>
    </row>
    <row r="211" customFormat="false" ht="15" hidden="false" customHeight="true" outlineLevel="0" collapsed="false">
      <c r="AA211" s="1" t="n">
        <v>11</v>
      </c>
      <c r="AB211" s="145" t="n">
        <f aca="false">$D$3+11</f>
        <v>46154</v>
      </c>
      <c r="AC211" s="1" t="n">
        <f aca="false">MIN(12,1+DATEDIF($D$3,AB211,"M"))</f>
        <v>1</v>
      </c>
      <c r="AD211" s="1" t="n">
        <f aca="false">SUMPRODUCT(('Recurring Items'!$C$6:$C$56="Income")*('Recurring Items'!$H$6:$H$56&lt;&gt;"Skip")*IFERROR(N('Recurring Items'!$D$6:$D$56),0)*(('Recurring Items'!$E$6:$E$56="Monthly")*(DAY(AB211)='Recurring Items'!$F$6:$F$56)+('Recurring Items'!$E$6:$E$56="Bi-weekly")*(WEEKDAY(AB211)=IFERROR(WEEKDAY('Recurring Items'!$G$6:$G$56),0))*(MOD(AB211-IFERROR('Recurring Items'!$G$6:$G$56,0),14)=0)*(AB211&gt;=IFERROR('Recurring Items'!$G$6:$G$56,9000000000))+('Recurring Items'!$E$6:$E$56="Weekly")*(WEEKDAY(AB211)=IFERROR(WEEKDAY('Recurring Items'!$G$6:$G$56),0))*(AB211&gt;=IFERROR('Recurring Items'!$G$6:$G$56,9000000000))+('Recurring Items'!$E$6:$E$56="One-time")*(AB211='Recurring Items'!$G$6:$G$56)))</f>
        <v>0</v>
      </c>
      <c r="AE211" s="1" t="n">
        <f aca="false">SUMPRODUCT(('Recurring Items'!$C$6:$C$56="Expense")*('Recurring Items'!$H$6:$H$56&lt;&gt;"Skip")*IFERROR(N('Recurring Items'!$D$6:$D$56),0)*(('Recurring Items'!$E$6:$E$56="Monthly")*(DAY(AB211)='Recurring Items'!$F$6:$F$56)+('Recurring Items'!$E$6:$E$56="Bi-weekly")*(WEEKDAY(AB211)=IFERROR(WEEKDAY('Recurring Items'!$G$6:$G$56),0))*(MOD(AB211-IFERROR('Recurring Items'!$G$6:$G$56,0),14)=0)*(AB211&gt;=IFERROR('Recurring Items'!$G$6:$G$56,9000000000))+('Recurring Items'!$E$6:$E$56="Weekly")*(WEEKDAY(AB211)=IFERROR(WEEKDAY('Recurring Items'!$G$6:$G$56),0))*(AB211&gt;=IFERROR('Recurring Items'!$G$6:$G$56,9000000000))+('Recurring Items'!$E$6:$E$56="One-time")*(AB211='Recurring Items'!$G$6:$G$56)))</f>
        <v>167.68</v>
      </c>
      <c r="AF211" s="1" t="n">
        <f aca="false">(IF(AC211=1,'Debt Tracker'!$P$5&gt;0.01,INDEX('Debt Tracker'!$T$5:$AE$29,1,AC211-1)&gt;0.01))*('Recurring Items'!$H$8&lt;&gt;"Skip")*(DAY(AB211)='Recurring Items'!$F$8)*IFERROR(N('Recurring Items'!$D$8),0)+(IF(AC211=1,'Debt Tracker'!$P$6&gt;0.01,INDEX('Debt Tracker'!$T$5:$AE$29,2,AC211-1)&gt;0.01))*('Recurring Items'!$H$9&lt;&gt;"Skip")*(DAY(AB211)='Recurring Items'!$F$9)*IFERROR(N('Recurring Items'!$D$9),0)+(IF(AC211=1,'Debt Tracker'!$P$7&gt;0.01,INDEX('Debt Tracker'!$T$5:$AE$29,3,AC211-1)&gt;0.01))*('Recurring Items'!$H$10&lt;&gt;"Skip")*(DAY(AB211)='Recurring Items'!$F$10)*IFERROR(N('Recurring Items'!$D$10),0)+(IF(AC211=1,'Debt Tracker'!$P$8&gt;0.01,INDEX('Debt Tracker'!$T$5:$AE$29,4,AC211-1)&gt;0.01))*('Recurring Items'!$H$11&lt;&gt;"Skip")*(DAY(AB211)='Recurring Items'!$F$11)*IFERROR(N('Recurring Items'!$D$11),0)+(IF(AC211=1,'Debt Tracker'!$P$9&gt;0.01,INDEX('Debt Tracker'!$T$5:$AE$29,5,AC211-1)&gt;0.01))*('Recurring Items'!$H$12&lt;&gt;"Skip")*(DAY(AB211)='Recurring Items'!$F$12)*IFERROR(N('Recurring Items'!$D$12),0)+(IF(AC211=1,'Debt Tracker'!$P$10&gt;0.01,INDEX('Debt Tracker'!$T$5:$AE$29,6,AC211-1)&gt;0.01))*('Recurring Items'!$H$13&lt;&gt;"Skip")*(DAY(AB211)='Recurring Items'!$F$13)*IFERROR(N('Recurring Items'!$D$13),0)+(IF(AC211=1,'Debt Tracker'!$P$11&gt;0.01,INDEX('Debt Tracker'!$T$5:$AE$29,7,AC211-1)&gt;0.01))*('Recurring Items'!$H$14&lt;&gt;"Skip")*(DAY(AB211)='Recurring Items'!$F$14)*IFERROR(N('Recurring Items'!$D$14),0)+(IF(AC211=1,'Debt Tracker'!$P$12&gt;0.01,INDEX('Debt Tracker'!$T$5:$AE$29,8,AC211-1)&gt;0.01))*('Recurring Items'!$H$15&lt;&gt;"Skip")*(DAY(AB211)='Recurring Items'!$F$15)*IFERROR(N('Recurring Items'!$D$15),0)+(IF(AC211=1,'Debt Tracker'!$P$13&gt;0.01,INDEX('Debt Tracker'!$T$5:$AE$29,9,AC211-1)&gt;0.01))*('Recurring Items'!$H$16&lt;&gt;"Skip")*(DAY(AB211)='Recurring Items'!$F$16)*IFERROR(N('Recurring Items'!$D$16),0)+(IF(AC211=1,'Debt Tracker'!$P$14&gt;0.01,INDEX('Debt Tracker'!$T$5:$AE$29,10,AC211-1)&gt;0.01))*('Recurring Items'!$H$17&lt;&gt;"Skip")*(DAY(AB211)='Recurring Items'!$F$17)*IFERROR(N('Recurring Items'!$D$17),0)+(IF(AC211=1,'Debt Tracker'!$P$15&gt;0.01,INDEX('Debt Tracker'!$T$5:$AE$29,11,AC211-1)&gt;0.01))*('Recurring Items'!$H$18&lt;&gt;"Skip")*(DAY(AB211)='Recurring Items'!$F$18)*IFERROR(N('Recurring Items'!$D$18),0)+(IF(AC211=1,'Debt Tracker'!$P$16&gt;0.01,INDEX('Debt Tracker'!$T$5:$AE$29,12,AC211-1)&gt;0.01))*('Recurring Items'!$H$19&lt;&gt;"Skip")*(DAY(AB211)='Recurring Items'!$F$19)*IFERROR(N('Recurring Items'!$D$19),0)+(IF(AC211=1,'Debt Tracker'!$P$17&gt;0.01,INDEX('Debt Tracker'!$T$5:$AE$29,13,AC211-1)&gt;0.01))*('Recurring Items'!$H$20&lt;&gt;"Skip")*(DAY(AB211)='Recurring Items'!$F$20)*IFERROR(N('Recurring Items'!$D$20),0)+(IF(AC211=1,'Debt Tracker'!$P$18&gt;0.01,INDEX('Debt Tracker'!$T$5:$AE$29,14,AC211-1)&gt;0.01))*('Recurring Items'!$H$21&lt;&gt;"Skip")*(DAY(AB211)='Recurring Items'!$F$21)*IFERROR(N('Recurring Items'!$D$21),0)+(IF(AC211=1,'Debt Tracker'!$P$19&gt;0.01,INDEX('Debt Tracker'!$T$5:$AE$29,15,AC211-1)&gt;0.01))*('Recurring Items'!$H$22&lt;&gt;"Skip")*(DAY(AB211)='Recurring Items'!$F$22)*IFERROR(N('Recurring Items'!$D$22),0)+(IF(AC211=1,'Debt Tracker'!$P$20&gt;0.01,INDEX('Debt Tracker'!$T$5:$AE$29,16,AC211-1)&gt;0.01))*('Recurring Items'!$H$23&lt;&gt;"Skip")*(DAY(AB211)='Recurring Items'!$F$23)*IFERROR(N('Recurring Items'!$D$23),0)+(IF(AC211=1,'Debt Tracker'!$P$21&gt;0.01,INDEX('Debt Tracker'!$T$5:$AE$29,17,AC211-1)&gt;0.01))*('Recurring Items'!$H$24&lt;&gt;"Skip")*(DAY(AB211)='Recurring Items'!$F$24)*IFERROR(N('Recurring Items'!$D$24),0)+(IF(AC211=1,'Debt Tracker'!$P$22&gt;0.01,INDEX('Debt Tracker'!$T$5:$AE$29,18,AC211-1)&gt;0.01))*('Recurring Items'!$H$25&lt;&gt;"Skip")*(DAY(AB211)='Recurring Items'!$F$25)*IFERROR(N('Recurring Items'!$D$25),0)+(IF(AC211=1,'Debt Tracker'!$P$23&gt;0.01,INDEX('Debt Tracker'!$T$5:$AE$29,19,AC211-1)&gt;0.01))*('Recurring Items'!$H$26&lt;&gt;"Skip")*(DAY(AB211)='Recurring Items'!$F$26)*IFERROR(N('Recurring Items'!$D$26),0)+(IF(AC211=1,'Debt Tracker'!$P$24&gt;0.01,INDEX('Debt Tracker'!$T$5:$AE$29,20,AC211-1)&gt;0.01))*('Recurring Items'!$H$27&lt;&gt;"Skip")*(DAY(AB211)='Recurring Items'!$F$27)*IFERROR(N('Recurring Items'!$D$27),0)+(IF(AC211=1,'Debt Tracker'!$P$25&gt;0.01,INDEX('Debt Tracker'!$T$5:$AE$29,21,AC211-1)&gt;0.01))*('Recurring Items'!$H$28&lt;&gt;"Skip")*(DAY(AB211)='Recurring Items'!$F$28)*IFERROR(N('Recurring Items'!$D$28),0)+(IF(AC211=1,'Debt Tracker'!$P$26&gt;0.01,INDEX('Debt Tracker'!$T$5:$AE$29,22,AC211-1)&gt;0.01))*('Recurring Items'!$H$29&lt;&gt;"Skip")*(DAY(AB211)='Recurring Items'!$F$29)*IFERROR(N('Recurring Items'!$D$29),0)+(IF(AC211=1,'Debt Tracker'!$P$27&gt;0.01,INDEX('Debt Tracker'!$T$5:$AE$29,23,AC211-1)&gt;0.01))*('Recurring Items'!$H$30&lt;&gt;"Skip")*(DAY(AB211)='Recurring Items'!$F$30)*IFERROR(N('Recurring Items'!$D$30),0)+(IF(AC211=1,'Debt Tracker'!$P$28&gt;0.01,INDEX('Debt Tracker'!$T$5:$AE$29,24,AC211-1)&gt;0.01))*('Recurring Items'!$H$31&lt;&gt;"Skip")*(DAY(AB211)='Recurring Items'!$F$31)*IFERROR(N('Recurring Items'!$D$31),0)+(IF(AC211=1,'Debt Tracker'!$P$29&gt;0.01,INDEX('Debt Tracker'!$T$5:$AE$29,25,AC211-1)&gt;0.01))*('Recurring Items'!$H$32&lt;&gt;"Skip")*(DAY(AB211)='Recurring Items'!$F$32)*IFERROR(N('Recurring Items'!$D$32),0)</f>
        <v>0</v>
      </c>
      <c r="AG211" s="1" t="n">
        <f aca="false">AD211-AE211-AF211</f>
        <v>-167.68</v>
      </c>
      <c r="AH211" s="1" t="n">
        <f aca="false">AH210+AG211</f>
        <v>3207.18</v>
      </c>
    </row>
    <row r="212" customFormat="false" ht="15" hidden="false" customHeight="true" outlineLevel="0" collapsed="false">
      <c r="AA212" s="1" t="n">
        <v>12</v>
      </c>
      <c r="AB212" s="145" t="n">
        <f aca="false">$D$3+12</f>
        <v>46155</v>
      </c>
      <c r="AC212" s="1" t="n">
        <f aca="false">MIN(12,1+DATEDIF($D$3,AB212,"M"))</f>
        <v>1</v>
      </c>
      <c r="AD212" s="1" t="n">
        <f aca="false">SUMPRODUCT(('Recurring Items'!$C$6:$C$56="Income")*('Recurring Items'!$H$6:$H$56&lt;&gt;"Skip")*IFERROR(N('Recurring Items'!$D$6:$D$56),0)*(('Recurring Items'!$E$6:$E$56="Monthly")*(DAY(AB212)='Recurring Items'!$F$6:$F$56)+('Recurring Items'!$E$6:$E$56="Bi-weekly")*(WEEKDAY(AB212)=IFERROR(WEEKDAY('Recurring Items'!$G$6:$G$56),0))*(MOD(AB212-IFERROR('Recurring Items'!$G$6:$G$56,0),14)=0)*(AB212&gt;=IFERROR('Recurring Items'!$G$6:$G$56,9000000000))+('Recurring Items'!$E$6:$E$56="Weekly")*(WEEKDAY(AB212)=IFERROR(WEEKDAY('Recurring Items'!$G$6:$G$56),0))*(AB212&gt;=IFERROR('Recurring Items'!$G$6:$G$56,9000000000))+('Recurring Items'!$E$6:$E$56="One-time")*(AB212='Recurring Items'!$G$6:$G$56)))</f>
        <v>0</v>
      </c>
      <c r="AE212" s="1" t="n">
        <f aca="false">SUMPRODUCT(('Recurring Items'!$C$6:$C$56="Expense")*('Recurring Items'!$H$6:$H$56&lt;&gt;"Skip")*IFERROR(N('Recurring Items'!$D$6:$D$56),0)*(('Recurring Items'!$E$6:$E$56="Monthly")*(DAY(AB212)='Recurring Items'!$F$6:$F$56)+('Recurring Items'!$E$6:$E$56="Bi-weekly")*(WEEKDAY(AB212)=IFERROR(WEEKDAY('Recurring Items'!$G$6:$G$56),0))*(MOD(AB212-IFERROR('Recurring Items'!$G$6:$G$56,0),14)=0)*(AB212&gt;=IFERROR('Recurring Items'!$G$6:$G$56,9000000000))+('Recurring Items'!$E$6:$E$56="Weekly")*(WEEKDAY(AB212)=IFERROR(WEEKDAY('Recurring Items'!$G$6:$G$56),0))*(AB212&gt;=IFERROR('Recurring Items'!$G$6:$G$56,9000000000))+('Recurring Items'!$E$6:$E$56="One-time")*(AB212='Recurring Items'!$G$6:$G$56)))</f>
        <v>0</v>
      </c>
      <c r="AF212" s="1" t="n">
        <f aca="false">(IF(AC212=1,'Debt Tracker'!$P$5&gt;0.01,INDEX('Debt Tracker'!$T$5:$AE$29,1,AC212-1)&gt;0.01))*('Recurring Items'!$H$8&lt;&gt;"Skip")*(DAY(AB212)='Recurring Items'!$F$8)*IFERROR(N('Recurring Items'!$D$8),0)+(IF(AC212=1,'Debt Tracker'!$P$6&gt;0.01,INDEX('Debt Tracker'!$T$5:$AE$29,2,AC212-1)&gt;0.01))*('Recurring Items'!$H$9&lt;&gt;"Skip")*(DAY(AB212)='Recurring Items'!$F$9)*IFERROR(N('Recurring Items'!$D$9),0)+(IF(AC212=1,'Debt Tracker'!$P$7&gt;0.01,INDEX('Debt Tracker'!$T$5:$AE$29,3,AC212-1)&gt;0.01))*('Recurring Items'!$H$10&lt;&gt;"Skip")*(DAY(AB212)='Recurring Items'!$F$10)*IFERROR(N('Recurring Items'!$D$10),0)+(IF(AC212=1,'Debt Tracker'!$P$8&gt;0.01,INDEX('Debt Tracker'!$T$5:$AE$29,4,AC212-1)&gt;0.01))*('Recurring Items'!$H$11&lt;&gt;"Skip")*(DAY(AB212)='Recurring Items'!$F$11)*IFERROR(N('Recurring Items'!$D$11),0)+(IF(AC212=1,'Debt Tracker'!$P$9&gt;0.01,INDEX('Debt Tracker'!$T$5:$AE$29,5,AC212-1)&gt;0.01))*('Recurring Items'!$H$12&lt;&gt;"Skip")*(DAY(AB212)='Recurring Items'!$F$12)*IFERROR(N('Recurring Items'!$D$12),0)+(IF(AC212=1,'Debt Tracker'!$P$10&gt;0.01,INDEX('Debt Tracker'!$T$5:$AE$29,6,AC212-1)&gt;0.01))*('Recurring Items'!$H$13&lt;&gt;"Skip")*(DAY(AB212)='Recurring Items'!$F$13)*IFERROR(N('Recurring Items'!$D$13),0)+(IF(AC212=1,'Debt Tracker'!$P$11&gt;0.01,INDEX('Debt Tracker'!$T$5:$AE$29,7,AC212-1)&gt;0.01))*('Recurring Items'!$H$14&lt;&gt;"Skip")*(DAY(AB212)='Recurring Items'!$F$14)*IFERROR(N('Recurring Items'!$D$14),0)+(IF(AC212=1,'Debt Tracker'!$P$12&gt;0.01,INDEX('Debt Tracker'!$T$5:$AE$29,8,AC212-1)&gt;0.01))*('Recurring Items'!$H$15&lt;&gt;"Skip")*(DAY(AB212)='Recurring Items'!$F$15)*IFERROR(N('Recurring Items'!$D$15),0)+(IF(AC212=1,'Debt Tracker'!$P$13&gt;0.01,INDEX('Debt Tracker'!$T$5:$AE$29,9,AC212-1)&gt;0.01))*('Recurring Items'!$H$16&lt;&gt;"Skip")*(DAY(AB212)='Recurring Items'!$F$16)*IFERROR(N('Recurring Items'!$D$16),0)+(IF(AC212=1,'Debt Tracker'!$P$14&gt;0.01,INDEX('Debt Tracker'!$T$5:$AE$29,10,AC212-1)&gt;0.01))*('Recurring Items'!$H$17&lt;&gt;"Skip")*(DAY(AB212)='Recurring Items'!$F$17)*IFERROR(N('Recurring Items'!$D$17),0)+(IF(AC212=1,'Debt Tracker'!$P$15&gt;0.01,INDEX('Debt Tracker'!$T$5:$AE$29,11,AC212-1)&gt;0.01))*('Recurring Items'!$H$18&lt;&gt;"Skip")*(DAY(AB212)='Recurring Items'!$F$18)*IFERROR(N('Recurring Items'!$D$18),0)+(IF(AC212=1,'Debt Tracker'!$P$16&gt;0.01,INDEX('Debt Tracker'!$T$5:$AE$29,12,AC212-1)&gt;0.01))*('Recurring Items'!$H$19&lt;&gt;"Skip")*(DAY(AB212)='Recurring Items'!$F$19)*IFERROR(N('Recurring Items'!$D$19),0)+(IF(AC212=1,'Debt Tracker'!$P$17&gt;0.01,INDEX('Debt Tracker'!$T$5:$AE$29,13,AC212-1)&gt;0.01))*('Recurring Items'!$H$20&lt;&gt;"Skip")*(DAY(AB212)='Recurring Items'!$F$20)*IFERROR(N('Recurring Items'!$D$20),0)+(IF(AC212=1,'Debt Tracker'!$P$18&gt;0.01,INDEX('Debt Tracker'!$T$5:$AE$29,14,AC212-1)&gt;0.01))*('Recurring Items'!$H$21&lt;&gt;"Skip")*(DAY(AB212)='Recurring Items'!$F$21)*IFERROR(N('Recurring Items'!$D$21),0)+(IF(AC212=1,'Debt Tracker'!$P$19&gt;0.01,INDEX('Debt Tracker'!$T$5:$AE$29,15,AC212-1)&gt;0.01))*('Recurring Items'!$H$22&lt;&gt;"Skip")*(DAY(AB212)='Recurring Items'!$F$22)*IFERROR(N('Recurring Items'!$D$22),0)+(IF(AC212=1,'Debt Tracker'!$P$20&gt;0.01,INDEX('Debt Tracker'!$T$5:$AE$29,16,AC212-1)&gt;0.01))*('Recurring Items'!$H$23&lt;&gt;"Skip")*(DAY(AB212)='Recurring Items'!$F$23)*IFERROR(N('Recurring Items'!$D$23),0)+(IF(AC212=1,'Debt Tracker'!$P$21&gt;0.01,INDEX('Debt Tracker'!$T$5:$AE$29,17,AC212-1)&gt;0.01))*('Recurring Items'!$H$24&lt;&gt;"Skip")*(DAY(AB212)='Recurring Items'!$F$24)*IFERROR(N('Recurring Items'!$D$24),0)+(IF(AC212=1,'Debt Tracker'!$P$22&gt;0.01,INDEX('Debt Tracker'!$T$5:$AE$29,18,AC212-1)&gt;0.01))*('Recurring Items'!$H$25&lt;&gt;"Skip")*(DAY(AB212)='Recurring Items'!$F$25)*IFERROR(N('Recurring Items'!$D$25),0)+(IF(AC212=1,'Debt Tracker'!$P$23&gt;0.01,INDEX('Debt Tracker'!$T$5:$AE$29,19,AC212-1)&gt;0.01))*('Recurring Items'!$H$26&lt;&gt;"Skip")*(DAY(AB212)='Recurring Items'!$F$26)*IFERROR(N('Recurring Items'!$D$26),0)+(IF(AC212=1,'Debt Tracker'!$P$24&gt;0.01,INDEX('Debt Tracker'!$T$5:$AE$29,20,AC212-1)&gt;0.01))*('Recurring Items'!$H$27&lt;&gt;"Skip")*(DAY(AB212)='Recurring Items'!$F$27)*IFERROR(N('Recurring Items'!$D$27),0)+(IF(AC212=1,'Debt Tracker'!$P$25&gt;0.01,INDEX('Debt Tracker'!$T$5:$AE$29,21,AC212-1)&gt;0.01))*('Recurring Items'!$H$28&lt;&gt;"Skip")*(DAY(AB212)='Recurring Items'!$F$28)*IFERROR(N('Recurring Items'!$D$28),0)+(IF(AC212=1,'Debt Tracker'!$P$26&gt;0.01,INDEX('Debt Tracker'!$T$5:$AE$29,22,AC212-1)&gt;0.01))*('Recurring Items'!$H$29&lt;&gt;"Skip")*(DAY(AB212)='Recurring Items'!$F$29)*IFERROR(N('Recurring Items'!$D$29),0)+(IF(AC212=1,'Debt Tracker'!$P$27&gt;0.01,INDEX('Debt Tracker'!$T$5:$AE$29,23,AC212-1)&gt;0.01))*('Recurring Items'!$H$30&lt;&gt;"Skip")*(DAY(AB212)='Recurring Items'!$F$30)*IFERROR(N('Recurring Items'!$D$30),0)+(IF(AC212=1,'Debt Tracker'!$P$28&gt;0.01,INDEX('Debt Tracker'!$T$5:$AE$29,24,AC212-1)&gt;0.01))*('Recurring Items'!$H$31&lt;&gt;"Skip")*(DAY(AB212)='Recurring Items'!$F$31)*IFERROR(N('Recurring Items'!$D$31),0)+(IF(AC212=1,'Debt Tracker'!$P$29&gt;0.01,INDEX('Debt Tracker'!$T$5:$AE$29,25,AC212-1)&gt;0.01))*('Recurring Items'!$H$32&lt;&gt;"Skip")*(DAY(AB212)='Recurring Items'!$F$32)*IFERROR(N('Recurring Items'!$D$32),0)</f>
        <v>80</v>
      </c>
      <c r="AG212" s="1" t="n">
        <f aca="false">AD212-AE212-AF212</f>
        <v>-80</v>
      </c>
      <c r="AH212" s="1" t="n">
        <f aca="false">AH211+AG212</f>
        <v>3127.18</v>
      </c>
    </row>
    <row r="213" customFormat="false" ht="15" hidden="false" customHeight="true" outlineLevel="0" collapsed="false">
      <c r="AA213" s="1" t="n">
        <v>13</v>
      </c>
      <c r="AB213" s="145" t="n">
        <f aca="false">$D$3+13</f>
        <v>46156</v>
      </c>
      <c r="AC213" s="1" t="n">
        <f aca="false">MIN(12,1+DATEDIF($D$3,AB213,"M"))</f>
        <v>1</v>
      </c>
      <c r="AD213" s="1" t="n">
        <f aca="false">SUMPRODUCT(('Recurring Items'!$C$6:$C$56="Income")*('Recurring Items'!$H$6:$H$56&lt;&gt;"Skip")*IFERROR(N('Recurring Items'!$D$6:$D$56),0)*(('Recurring Items'!$E$6:$E$56="Monthly")*(DAY(AB213)='Recurring Items'!$F$6:$F$56)+('Recurring Items'!$E$6:$E$56="Bi-weekly")*(WEEKDAY(AB213)=IFERROR(WEEKDAY('Recurring Items'!$G$6:$G$56),0))*(MOD(AB213-IFERROR('Recurring Items'!$G$6:$G$56,0),14)=0)*(AB213&gt;=IFERROR('Recurring Items'!$G$6:$G$56,9000000000))+('Recurring Items'!$E$6:$E$56="Weekly")*(WEEKDAY(AB213)=IFERROR(WEEKDAY('Recurring Items'!$G$6:$G$56),0))*(AB213&gt;=IFERROR('Recurring Items'!$G$6:$G$56,9000000000))+('Recurring Items'!$E$6:$E$56="One-time")*(AB213='Recurring Items'!$G$6:$G$56)))</f>
        <v>0</v>
      </c>
      <c r="AE213" s="1" t="n">
        <f aca="false">SUMPRODUCT(('Recurring Items'!$C$6:$C$56="Expense")*('Recurring Items'!$H$6:$H$56&lt;&gt;"Skip")*IFERROR(N('Recurring Items'!$D$6:$D$56),0)*(('Recurring Items'!$E$6:$E$56="Monthly")*(DAY(AB213)='Recurring Items'!$F$6:$F$56)+('Recurring Items'!$E$6:$E$56="Bi-weekly")*(WEEKDAY(AB213)=IFERROR(WEEKDAY('Recurring Items'!$G$6:$G$56),0))*(MOD(AB213-IFERROR('Recurring Items'!$G$6:$G$56,0),14)=0)*(AB213&gt;=IFERROR('Recurring Items'!$G$6:$G$56,9000000000))+('Recurring Items'!$E$6:$E$56="Weekly")*(WEEKDAY(AB213)=IFERROR(WEEKDAY('Recurring Items'!$G$6:$G$56),0))*(AB213&gt;=IFERROR('Recurring Items'!$G$6:$G$56,9000000000))+('Recurring Items'!$E$6:$E$56="One-time")*(AB213='Recurring Items'!$G$6:$G$56)))</f>
        <v>0</v>
      </c>
      <c r="AF213" s="1" t="n">
        <f aca="false">(IF(AC213=1,'Debt Tracker'!$P$5&gt;0.01,INDEX('Debt Tracker'!$T$5:$AE$29,1,AC213-1)&gt;0.01))*('Recurring Items'!$H$8&lt;&gt;"Skip")*(DAY(AB213)='Recurring Items'!$F$8)*IFERROR(N('Recurring Items'!$D$8),0)+(IF(AC213=1,'Debt Tracker'!$P$6&gt;0.01,INDEX('Debt Tracker'!$T$5:$AE$29,2,AC213-1)&gt;0.01))*('Recurring Items'!$H$9&lt;&gt;"Skip")*(DAY(AB213)='Recurring Items'!$F$9)*IFERROR(N('Recurring Items'!$D$9),0)+(IF(AC213=1,'Debt Tracker'!$P$7&gt;0.01,INDEX('Debt Tracker'!$T$5:$AE$29,3,AC213-1)&gt;0.01))*('Recurring Items'!$H$10&lt;&gt;"Skip")*(DAY(AB213)='Recurring Items'!$F$10)*IFERROR(N('Recurring Items'!$D$10),0)+(IF(AC213=1,'Debt Tracker'!$P$8&gt;0.01,INDEX('Debt Tracker'!$T$5:$AE$29,4,AC213-1)&gt;0.01))*('Recurring Items'!$H$11&lt;&gt;"Skip")*(DAY(AB213)='Recurring Items'!$F$11)*IFERROR(N('Recurring Items'!$D$11),0)+(IF(AC213=1,'Debt Tracker'!$P$9&gt;0.01,INDEX('Debt Tracker'!$T$5:$AE$29,5,AC213-1)&gt;0.01))*('Recurring Items'!$H$12&lt;&gt;"Skip")*(DAY(AB213)='Recurring Items'!$F$12)*IFERROR(N('Recurring Items'!$D$12),0)+(IF(AC213=1,'Debt Tracker'!$P$10&gt;0.01,INDEX('Debt Tracker'!$T$5:$AE$29,6,AC213-1)&gt;0.01))*('Recurring Items'!$H$13&lt;&gt;"Skip")*(DAY(AB213)='Recurring Items'!$F$13)*IFERROR(N('Recurring Items'!$D$13),0)+(IF(AC213=1,'Debt Tracker'!$P$11&gt;0.01,INDEX('Debt Tracker'!$T$5:$AE$29,7,AC213-1)&gt;0.01))*('Recurring Items'!$H$14&lt;&gt;"Skip")*(DAY(AB213)='Recurring Items'!$F$14)*IFERROR(N('Recurring Items'!$D$14),0)+(IF(AC213=1,'Debt Tracker'!$P$12&gt;0.01,INDEX('Debt Tracker'!$T$5:$AE$29,8,AC213-1)&gt;0.01))*('Recurring Items'!$H$15&lt;&gt;"Skip")*(DAY(AB213)='Recurring Items'!$F$15)*IFERROR(N('Recurring Items'!$D$15),0)+(IF(AC213=1,'Debt Tracker'!$P$13&gt;0.01,INDEX('Debt Tracker'!$T$5:$AE$29,9,AC213-1)&gt;0.01))*('Recurring Items'!$H$16&lt;&gt;"Skip")*(DAY(AB213)='Recurring Items'!$F$16)*IFERROR(N('Recurring Items'!$D$16),0)+(IF(AC213=1,'Debt Tracker'!$P$14&gt;0.01,INDEX('Debt Tracker'!$T$5:$AE$29,10,AC213-1)&gt;0.01))*('Recurring Items'!$H$17&lt;&gt;"Skip")*(DAY(AB213)='Recurring Items'!$F$17)*IFERROR(N('Recurring Items'!$D$17),0)+(IF(AC213=1,'Debt Tracker'!$P$15&gt;0.01,INDEX('Debt Tracker'!$T$5:$AE$29,11,AC213-1)&gt;0.01))*('Recurring Items'!$H$18&lt;&gt;"Skip")*(DAY(AB213)='Recurring Items'!$F$18)*IFERROR(N('Recurring Items'!$D$18),0)+(IF(AC213=1,'Debt Tracker'!$P$16&gt;0.01,INDEX('Debt Tracker'!$T$5:$AE$29,12,AC213-1)&gt;0.01))*('Recurring Items'!$H$19&lt;&gt;"Skip")*(DAY(AB213)='Recurring Items'!$F$19)*IFERROR(N('Recurring Items'!$D$19),0)+(IF(AC213=1,'Debt Tracker'!$P$17&gt;0.01,INDEX('Debt Tracker'!$T$5:$AE$29,13,AC213-1)&gt;0.01))*('Recurring Items'!$H$20&lt;&gt;"Skip")*(DAY(AB213)='Recurring Items'!$F$20)*IFERROR(N('Recurring Items'!$D$20),0)+(IF(AC213=1,'Debt Tracker'!$P$18&gt;0.01,INDEX('Debt Tracker'!$T$5:$AE$29,14,AC213-1)&gt;0.01))*('Recurring Items'!$H$21&lt;&gt;"Skip")*(DAY(AB213)='Recurring Items'!$F$21)*IFERROR(N('Recurring Items'!$D$21),0)+(IF(AC213=1,'Debt Tracker'!$P$19&gt;0.01,INDEX('Debt Tracker'!$T$5:$AE$29,15,AC213-1)&gt;0.01))*('Recurring Items'!$H$22&lt;&gt;"Skip")*(DAY(AB213)='Recurring Items'!$F$22)*IFERROR(N('Recurring Items'!$D$22),0)+(IF(AC213=1,'Debt Tracker'!$P$20&gt;0.01,INDEX('Debt Tracker'!$T$5:$AE$29,16,AC213-1)&gt;0.01))*('Recurring Items'!$H$23&lt;&gt;"Skip")*(DAY(AB213)='Recurring Items'!$F$23)*IFERROR(N('Recurring Items'!$D$23),0)+(IF(AC213=1,'Debt Tracker'!$P$21&gt;0.01,INDEX('Debt Tracker'!$T$5:$AE$29,17,AC213-1)&gt;0.01))*('Recurring Items'!$H$24&lt;&gt;"Skip")*(DAY(AB213)='Recurring Items'!$F$24)*IFERROR(N('Recurring Items'!$D$24),0)+(IF(AC213=1,'Debt Tracker'!$P$22&gt;0.01,INDEX('Debt Tracker'!$T$5:$AE$29,18,AC213-1)&gt;0.01))*('Recurring Items'!$H$25&lt;&gt;"Skip")*(DAY(AB213)='Recurring Items'!$F$25)*IFERROR(N('Recurring Items'!$D$25),0)+(IF(AC213=1,'Debt Tracker'!$P$23&gt;0.01,INDEX('Debt Tracker'!$T$5:$AE$29,19,AC213-1)&gt;0.01))*('Recurring Items'!$H$26&lt;&gt;"Skip")*(DAY(AB213)='Recurring Items'!$F$26)*IFERROR(N('Recurring Items'!$D$26),0)+(IF(AC213=1,'Debt Tracker'!$P$24&gt;0.01,INDEX('Debt Tracker'!$T$5:$AE$29,20,AC213-1)&gt;0.01))*('Recurring Items'!$H$27&lt;&gt;"Skip")*(DAY(AB213)='Recurring Items'!$F$27)*IFERROR(N('Recurring Items'!$D$27),0)+(IF(AC213=1,'Debt Tracker'!$P$25&gt;0.01,INDEX('Debt Tracker'!$T$5:$AE$29,21,AC213-1)&gt;0.01))*('Recurring Items'!$H$28&lt;&gt;"Skip")*(DAY(AB213)='Recurring Items'!$F$28)*IFERROR(N('Recurring Items'!$D$28),0)+(IF(AC213=1,'Debt Tracker'!$P$26&gt;0.01,INDEX('Debt Tracker'!$T$5:$AE$29,22,AC213-1)&gt;0.01))*('Recurring Items'!$H$29&lt;&gt;"Skip")*(DAY(AB213)='Recurring Items'!$F$29)*IFERROR(N('Recurring Items'!$D$29),0)+(IF(AC213=1,'Debt Tracker'!$P$27&gt;0.01,INDEX('Debt Tracker'!$T$5:$AE$29,23,AC213-1)&gt;0.01))*('Recurring Items'!$H$30&lt;&gt;"Skip")*(DAY(AB213)='Recurring Items'!$F$30)*IFERROR(N('Recurring Items'!$D$30),0)+(IF(AC213=1,'Debt Tracker'!$P$28&gt;0.01,INDEX('Debt Tracker'!$T$5:$AE$29,24,AC213-1)&gt;0.01))*('Recurring Items'!$H$31&lt;&gt;"Skip")*(DAY(AB213)='Recurring Items'!$F$31)*IFERROR(N('Recurring Items'!$D$31),0)+(IF(AC213=1,'Debt Tracker'!$P$29&gt;0.01,INDEX('Debt Tracker'!$T$5:$AE$29,25,AC213-1)&gt;0.01))*('Recurring Items'!$H$32&lt;&gt;"Skip")*(DAY(AB213)='Recurring Items'!$F$32)*IFERROR(N('Recurring Items'!$D$32),0)</f>
        <v>95.51</v>
      </c>
      <c r="AG213" s="1" t="n">
        <f aca="false">AD213-AE213-AF213</f>
        <v>-95.51</v>
      </c>
      <c r="AH213" s="1" t="n">
        <f aca="false">AH212+AG213</f>
        <v>3031.67</v>
      </c>
    </row>
    <row r="214" customFormat="false" ht="15" hidden="false" customHeight="true" outlineLevel="0" collapsed="false">
      <c r="AA214" s="1" t="n">
        <v>14</v>
      </c>
      <c r="AB214" s="145" t="n">
        <f aca="false">$D$3+14</f>
        <v>46157</v>
      </c>
      <c r="AC214" s="1" t="n">
        <f aca="false">MIN(12,1+DATEDIF($D$3,AB214,"M"))</f>
        <v>1</v>
      </c>
      <c r="AD214" s="1" t="n">
        <f aca="false">SUMPRODUCT(('Recurring Items'!$C$6:$C$56="Income")*('Recurring Items'!$H$6:$H$56&lt;&gt;"Skip")*IFERROR(N('Recurring Items'!$D$6:$D$56),0)*(('Recurring Items'!$E$6:$E$56="Monthly")*(DAY(AB214)='Recurring Items'!$F$6:$F$56)+('Recurring Items'!$E$6:$E$56="Bi-weekly")*(WEEKDAY(AB214)=IFERROR(WEEKDAY('Recurring Items'!$G$6:$G$56),0))*(MOD(AB214-IFERROR('Recurring Items'!$G$6:$G$56,0),14)=0)*(AB214&gt;=IFERROR('Recurring Items'!$G$6:$G$56,9000000000))+('Recurring Items'!$E$6:$E$56="Weekly")*(WEEKDAY(AB214)=IFERROR(WEEKDAY('Recurring Items'!$G$6:$G$56),0))*(AB214&gt;=IFERROR('Recurring Items'!$G$6:$G$56,9000000000))+('Recurring Items'!$E$6:$E$56="One-time")*(AB214='Recurring Items'!$G$6:$G$56)))</f>
        <v>3819.79</v>
      </c>
      <c r="AE214" s="1" t="n">
        <f aca="false">SUMPRODUCT(('Recurring Items'!$C$6:$C$56="Expense")*('Recurring Items'!$H$6:$H$56&lt;&gt;"Skip")*IFERROR(N('Recurring Items'!$D$6:$D$56),0)*(('Recurring Items'!$E$6:$E$56="Monthly")*(DAY(AB214)='Recurring Items'!$F$6:$F$56)+('Recurring Items'!$E$6:$E$56="Bi-weekly")*(WEEKDAY(AB214)=IFERROR(WEEKDAY('Recurring Items'!$G$6:$G$56),0))*(MOD(AB214-IFERROR('Recurring Items'!$G$6:$G$56,0),14)=0)*(AB214&gt;=IFERROR('Recurring Items'!$G$6:$G$56,9000000000))+('Recurring Items'!$E$6:$E$56="Weekly")*(WEEKDAY(AB214)=IFERROR(WEEKDAY('Recurring Items'!$G$6:$G$56),0))*(AB214&gt;=IFERROR('Recurring Items'!$G$6:$G$56,9000000000))+('Recurring Items'!$E$6:$E$56="One-time")*(AB214='Recurring Items'!$G$6:$G$56)))</f>
        <v>3450.57</v>
      </c>
      <c r="AF214" s="1" t="n">
        <f aca="false">(IF(AC214=1,'Debt Tracker'!$P$5&gt;0.01,INDEX('Debt Tracker'!$T$5:$AE$29,1,AC214-1)&gt;0.01))*('Recurring Items'!$H$8&lt;&gt;"Skip")*(DAY(AB214)='Recurring Items'!$F$8)*IFERROR(N('Recurring Items'!$D$8),0)+(IF(AC214=1,'Debt Tracker'!$P$6&gt;0.01,INDEX('Debt Tracker'!$T$5:$AE$29,2,AC214-1)&gt;0.01))*('Recurring Items'!$H$9&lt;&gt;"Skip")*(DAY(AB214)='Recurring Items'!$F$9)*IFERROR(N('Recurring Items'!$D$9),0)+(IF(AC214=1,'Debt Tracker'!$P$7&gt;0.01,INDEX('Debt Tracker'!$T$5:$AE$29,3,AC214-1)&gt;0.01))*('Recurring Items'!$H$10&lt;&gt;"Skip")*(DAY(AB214)='Recurring Items'!$F$10)*IFERROR(N('Recurring Items'!$D$10),0)+(IF(AC214=1,'Debt Tracker'!$P$8&gt;0.01,INDEX('Debt Tracker'!$T$5:$AE$29,4,AC214-1)&gt;0.01))*('Recurring Items'!$H$11&lt;&gt;"Skip")*(DAY(AB214)='Recurring Items'!$F$11)*IFERROR(N('Recurring Items'!$D$11),0)+(IF(AC214=1,'Debt Tracker'!$P$9&gt;0.01,INDEX('Debt Tracker'!$T$5:$AE$29,5,AC214-1)&gt;0.01))*('Recurring Items'!$H$12&lt;&gt;"Skip")*(DAY(AB214)='Recurring Items'!$F$12)*IFERROR(N('Recurring Items'!$D$12),0)+(IF(AC214=1,'Debt Tracker'!$P$10&gt;0.01,INDEX('Debt Tracker'!$T$5:$AE$29,6,AC214-1)&gt;0.01))*('Recurring Items'!$H$13&lt;&gt;"Skip")*(DAY(AB214)='Recurring Items'!$F$13)*IFERROR(N('Recurring Items'!$D$13),0)+(IF(AC214=1,'Debt Tracker'!$P$11&gt;0.01,INDEX('Debt Tracker'!$T$5:$AE$29,7,AC214-1)&gt;0.01))*('Recurring Items'!$H$14&lt;&gt;"Skip")*(DAY(AB214)='Recurring Items'!$F$14)*IFERROR(N('Recurring Items'!$D$14),0)+(IF(AC214=1,'Debt Tracker'!$P$12&gt;0.01,INDEX('Debt Tracker'!$T$5:$AE$29,8,AC214-1)&gt;0.01))*('Recurring Items'!$H$15&lt;&gt;"Skip")*(DAY(AB214)='Recurring Items'!$F$15)*IFERROR(N('Recurring Items'!$D$15),0)+(IF(AC214=1,'Debt Tracker'!$P$13&gt;0.01,INDEX('Debt Tracker'!$T$5:$AE$29,9,AC214-1)&gt;0.01))*('Recurring Items'!$H$16&lt;&gt;"Skip")*(DAY(AB214)='Recurring Items'!$F$16)*IFERROR(N('Recurring Items'!$D$16),0)+(IF(AC214=1,'Debt Tracker'!$P$14&gt;0.01,INDEX('Debt Tracker'!$T$5:$AE$29,10,AC214-1)&gt;0.01))*('Recurring Items'!$H$17&lt;&gt;"Skip")*(DAY(AB214)='Recurring Items'!$F$17)*IFERROR(N('Recurring Items'!$D$17),0)+(IF(AC214=1,'Debt Tracker'!$P$15&gt;0.01,INDEX('Debt Tracker'!$T$5:$AE$29,11,AC214-1)&gt;0.01))*('Recurring Items'!$H$18&lt;&gt;"Skip")*(DAY(AB214)='Recurring Items'!$F$18)*IFERROR(N('Recurring Items'!$D$18),0)+(IF(AC214=1,'Debt Tracker'!$P$16&gt;0.01,INDEX('Debt Tracker'!$T$5:$AE$29,12,AC214-1)&gt;0.01))*('Recurring Items'!$H$19&lt;&gt;"Skip")*(DAY(AB214)='Recurring Items'!$F$19)*IFERROR(N('Recurring Items'!$D$19),0)+(IF(AC214=1,'Debt Tracker'!$P$17&gt;0.01,INDEX('Debt Tracker'!$T$5:$AE$29,13,AC214-1)&gt;0.01))*('Recurring Items'!$H$20&lt;&gt;"Skip")*(DAY(AB214)='Recurring Items'!$F$20)*IFERROR(N('Recurring Items'!$D$20),0)+(IF(AC214=1,'Debt Tracker'!$P$18&gt;0.01,INDEX('Debt Tracker'!$T$5:$AE$29,14,AC214-1)&gt;0.01))*('Recurring Items'!$H$21&lt;&gt;"Skip")*(DAY(AB214)='Recurring Items'!$F$21)*IFERROR(N('Recurring Items'!$D$21),0)+(IF(AC214=1,'Debt Tracker'!$P$19&gt;0.01,INDEX('Debt Tracker'!$T$5:$AE$29,15,AC214-1)&gt;0.01))*('Recurring Items'!$H$22&lt;&gt;"Skip")*(DAY(AB214)='Recurring Items'!$F$22)*IFERROR(N('Recurring Items'!$D$22),0)+(IF(AC214=1,'Debt Tracker'!$P$20&gt;0.01,INDEX('Debt Tracker'!$T$5:$AE$29,16,AC214-1)&gt;0.01))*('Recurring Items'!$H$23&lt;&gt;"Skip")*(DAY(AB214)='Recurring Items'!$F$23)*IFERROR(N('Recurring Items'!$D$23),0)+(IF(AC214=1,'Debt Tracker'!$P$21&gt;0.01,INDEX('Debt Tracker'!$T$5:$AE$29,17,AC214-1)&gt;0.01))*('Recurring Items'!$H$24&lt;&gt;"Skip")*(DAY(AB214)='Recurring Items'!$F$24)*IFERROR(N('Recurring Items'!$D$24),0)+(IF(AC214=1,'Debt Tracker'!$P$22&gt;0.01,INDEX('Debt Tracker'!$T$5:$AE$29,18,AC214-1)&gt;0.01))*('Recurring Items'!$H$25&lt;&gt;"Skip")*(DAY(AB214)='Recurring Items'!$F$25)*IFERROR(N('Recurring Items'!$D$25),0)+(IF(AC214=1,'Debt Tracker'!$P$23&gt;0.01,INDEX('Debt Tracker'!$T$5:$AE$29,19,AC214-1)&gt;0.01))*('Recurring Items'!$H$26&lt;&gt;"Skip")*(DAY(AB214)='Recurring Items'!$F$26)*IFERROR(N('Recurring Items'!$D$26),0)+(IF(AC214=1,'Debt Tracker'!$P$24&gt;0.01,INDEX('Debt Tracker'!$T$5:$AE$29,20,AC214-1)&gt;0.01))*('Recurring Items'!$H$27&lt;&gt;"Skip")*(DAY(AB214)='Recurring Items'!$F$27)*IFERROR(N('Recurring Items'!$D$27),0)+(IF(AC214=1,'Debt Tracker'!$P$25&gt;0.01,INDEX('Debt Tracker'!$T$5:$AE$29,21,AC214-1)&gt;0.01))*('Recurring Items'!$H$28&lt;&gt;"Skip")*(DAY(AB214)='Recurring Items'!$F$28)*IFERROR(N('Recurring Items'!$D$28),0)+(IF(AC214=1,'Debt Tracker'!$P$26&gt;0.01,INDEX('Debt Tracker'!$T$5:$AE$29,22,AC214-1)&gt;0.01))*('Recurring Items'!$H$29&lt;&gt;"Skip")*(DAY(AB214)='Recurring Items'!$F$29)*IFERROR(N('Recurring Items'!$D$29),0)+(IF(AC214=1,'Debt Tracker'!$P$27&gt;0.01,INDEX('Debt Tracker'!$T$5:$AE$29,23,AC214-1)&gt;0.01))*('Recurring Items'!$H$30&lt;&gt;"Skip")*(DAY(AB214)='Recurring Items'!$F$30)*IFERROR(N('Recurring Items'!$D$30),0)+(IF(AC214=1,'Debt Tracker'!$P$28&gt;0.01,INDEX('Debt Tracker'!$T$5:$AE$29,24,AC214-1)&gt;0.01))*('Recurring Items'!$H$31&lt;&gt;"Skip")*(DAY(AB214)='Recurring Items'!$F$31)*IFERROR(N('Recurring Items'!$D$31),0)+(IF(AC214=1,'Debt Tracker'!$P$29&gt;0.01,INDEX('Debt Tracker'!$T$5:$AE$29,25,AC214-1)&gt;0.01))*('Recurring Items'!$H$32&lt;&gt;"Skip")*(DAY(AB214)='Recurring Items'!$F$32)*IFERROR(N('Recurring Items'!$D$32),0)</f>
        <v>136.75</v>
      </c>
      <c r="AG214" s="1" t="n">
        <f aca="false">AD214-AE214-AF214</f>
        <v>232.47</v>
      </c>
      <c r="AH214" s="1" t="n">
        <f aca="false">AH213+AG214</f>
        <v>3264.14</v>
      </c>
    </row>
    <row r="215" customFormat="false" ht="15" hidden="false" customHeight="true" outlineLevel="0" collapsed="false">
      <c r="AA215" s="1" t="n">
        <v>15</v>
      </c>
      <c r="AB215" s="145" t="n">
        <f aca="false">$D$3+15</f>
        <v>46158</v>
      </c>
      <c r="AC215" s="1" t="n">
        <f aca="false">MIN(12,1+DATEDIF($D$3,AB215,"M"))</f>
        <v>1</v>
      </c>
      <c r="AD215" s="1" t="n">
        <f aca="false">SUMPRODUCT(('Recurring Items'!$C$6:$C$56="Income")*('Recurring Items'!$H$6:$H$56&lt;&gt;"Skip")*IFERROR(N('Recurring Items'!$D$6:$D$56),0)*(('Recurring Items'!$E$6:$E$56="Monthly")*(DAY(AB215)='Recurring Items'!$F$6:$F$56)+('Recurring Items'!$E$6:$E$56="Bi-weekly")*(WEEKDAY(AB215)=IFERROR(WEEKDAY('Recurring Items'!$G$6:$G$56),0))*(MOD(AB215-IFERROR('Recurring Items'!$G$6:$G$56,0),14)=0)*(AB215&gt;=IFERROR('Recurring Items'!$G$6:$G$56,9000000000))+('Recurring Items'!$E$6:$E$56="Weekly")*(WEEKDAY(AB215)=IFERROR(WEEKDAY('Recurring Items'!$G$6:$G$56),0))*(AB215&gt;=IFERROR('Recurring Items'!$G$6:$G$56,9000000000))+('Recurring Items'!$E$6:$E$56="One-time")*(AB215='Recurring Items'!$G$6:$G$56)))</f>
        <v>0</v>
      </c>
      <c r="AE215" s="1" t="n">
        <f aca="false">SUMPRODUCT(('Recurring Items'!$C$6:$C$56="Expense")*('Recurring Items'!$H$6:$H$56&lt;&gt;"Skip")*IFERROR(N('Recurring Items'!$D$6:$D$56),0)*(('Recurring Items'!$E$6:$E$56="Monthly")*(DAY(AB215)='Recurring Items'!$F$6:$F$56)+('Recurring Items'!$E$6:$E$56="Bi-weekly")*(WEEKDAY(AB215)=IFERROR(WEEKDAY('Recurring Items'!$G$6:$G$56),0))*(MOD(AB215-IFERROR('Recurring Items'!$G$6:$G$56,0),14)=0)*(AB215&gt;=IFERROR('Recurring Items'!$G$6:$G$56,9000000000))+('Recurring Items'!$E$6:$E$56="Weekly")*(WEEKDAY(AB215)=IFERROR(WEEKDAY('Recurring Items'!$G$6:$G$56),0))*(AB215&gt;=IFERROR('Recurring Items'!$G$6:$G$56,9000000000))+('Recurring Items'!$E$6:$E$56="One-time")*(AB215='Recurring Items'!$G$6:$G$56)))</f>
        <v>342</v>
      </c>
      <c r="AF215" s="1" t="n">
        <f aca="false">(IF(AC215=1,'Debt Tracker'!$P$5&gt;0.01,INDEX('Debt Tracker'!$T$5:$AE$29,1,AC215-1)&gt;0.01))*('Recurring Items'!$H$8&lt;&gt;"Skip")*(DAY(AB215)='Recurring Items'!$F$8)*IFERROR(N('Recurring Items'!$D$8),0)+(IF(AC215=1,'Debt Tracker'!$P$6&gt;0.01,INDEX('Debt Tracker'!$T$5:$AE$29,2,AC215-1)&gt;0.01))*('Recurring Items'!$H$9&lt;&gt;"Skip")*(DAY(AB215)='Recurring Items'!$F$9)*IFERROR(N('Recurring Items'!$D$9),0)+(IF(AC215=1,'Debt Tracker'!$P$7&gt;0.01,INDEX('Debt Tracker'!$T$5:$AE$29,3,AC215-1)&gt;0.01))*('Recurring Items'!$H$10&lt;&gt;"Skip")*(DAY(AB215)='Recurring Items'!$F$10)*IFERROR(N('Recurring Items'!$D$10),0)+(IF(AC215=1,'Debt Tracker'!$P$8&gt;0.01,INDEX('Debt Tracker'!$T$5:$AE$29,4,AC215-1)&gt;0.01))*('Recurring Items'!$H$11&lt;&gt;"Skip")*(DAY(AB215)='Recurring Items'!$F$11)*IFERROR(N('Recurring Items'!$D$11),0)+(IF(AC215=1,'Debt Tracker'!$P$9&gt;0.01,INDEX('Debt Tracker'!$T$5:$AE$29,5,AC215-1)&gt;0.01))*('Recurring Items'!$H$12&lt;&gt;"Skip")*(DAY(AB215)='Recurring Items'!$F$12)*IFERROR(N('Recurring Items'!$D$12),0)+(IF(AC215=1,'Debt Tracker'!$P$10&gt;0.01,INDEX('Debt Tracker'!$T$5:$AE$29,6,AC215-1)&gt;0.01))*('Recurring Items'!$H$13&lt;&gt;"Skip")*(DAY(AB215)='Recurring Items'!$F$13)*IFERROR(N('Recurring Items'!$D$13),0)+(IF(AC215=1,'Debt Tracker'!$P$11&gt;0.01,INDEX('Debt Tracker'!$T$5:$AE$29,7,AC215-1)&gt;0.01))*('Recurring Items'!$H$14&lt;&gt;"Skip")*(DAY(AB215)='Recurring Items'!$F$14)*IFERROR(N('Recurring Items'!$D$14),0)+(IF(AC215=1,'Debt Tracker'!$P$12&gt;0.01,INDEX('Debt Tracker'!$T$5:$AE$29,8,AC215-1)&gt;0.01))*('Recurring Items'!$H$15&lt;&gt;"Skip")*(DAY(AB215)='Recurring Items'!$F$15)*IFERROR(N('Recurring Items'!$D$15),0)+(IF(AC215=1,'Debt Tracker'!$P$13&gt;0.01,INDEX('Debt Tracker'!$T$5:$AE$29,9,AC215-1)&gt;0.01))*('Recurring Items'!$H$16&lt;&gt;"Skip")*(DAY(AB215)='Recurring Items'!$F$16)*IFERROR(N('Recurring Items'!$D$16),0)+(IF(AC215=1,'Debt Tracker'!$P$14&gt;0.01,INDEX('Debt Tracker'!$T$5:$AE$29,10,AC215-1)&gt;0.01))*('Recurring Items'!$H$17&lt;&gt;"Skip")*(DAY(AB215)='Recurring Items'!$F$17)*IFERROR(N('Recurring Items'!$D$17),0)+(IF(AC215=1,'Debt Tracker'!$P$15&gt;0.01,INDEX('Debt Tracker'!$T$5:$AE$29,11,AC215-1)&gt;0.01))*('Recurring Items'!$H$18&lt;&gt;"Skip")*(DAY(AB215)='Recurring Items'!$F$18)*IFERROR(N('Recurring Items'!$D$18),0)+(IF(AC215=1,'Debt Tracker'!$P$16&gt;0.01,INDEX('Debt Tracker'!$T$5:$AE$29,12,AC215-1)&gt;0.01))*('Recurring Items'!$H$19&lt;&gt;"Skip")*(DAY(AB215)='Recurring Items'!$F$19)*IFERROR(N('Recurring Items'!$D$19),0)+(IF(AC215=1,'Debt Tracker'!$P$17&gt;0.01,INDEX('Debt Tracker'!$T$5:$AE$29,13,AC215-1)&gt;0.01))*('Recurring Items'!$H$20&lt;&gt;"Skip")*(DAY(AB215)='Recurring Items'!$F$20)*IFERROR(N('Recurring Items'!$D$20),0)+(IF(AC215=1,'Debt Tracker'!$P$18&gt;0.01,INDEX('Debt Tracker'!$T$5:$AE$29,14,AC215-1)&gt;0.01))*('Recurring Items'!$H$21&lt;&gt;"Skip")*(DAY(AB215)='Recurring Items'!$F$21)*IFERROR(N('Recurring Items'!$D$21),0)+(IF(AC215=1,'Debt Tracker'!$P$19&gt;0.01,INDEX('Debt Tracker'!$T$5:$AE$29,15,AC215-1)&gt;0.01))*('Recurring Items'!$H$22&lt;&gt;"Skip")*(DAY(AB215)='Recurring Items'!$F$22)*IFERROR(N('Recurring Items'!$D$22),0)+(IF(AC215=1,'Debt Tracker'!$P$20&gt;0.01,INDEX('Debt Tracker'!$T$5:$AE$29,16,AC215-1)&gt;0.01))*('Recurring Items'!$H$23&lt;&gt;"Skip")*(DAY(AB215)='Recurring Items'!$F$23)*IFERROR(N('Recurring Items'!$D$23),0)+(IF(AC215=1,'Debt Tracker'!$P$21&gt;0.01,INDEX('Debt Tracker'!$T$5:$AE$29,17,AC215-1)&gt;0.01))*('Recurring Items'!$H$24&lt;&gt;"Skip")*(DAY(AB215)='Recurring Items'!$F$24)*IFERROR(N('Recurring Items'!$D$24),0)+(IF(AC215=1,'Debt Tracker'!$P$22&gt;0.01,INDEX('Debt Tracker'!$T$5:$AE$29,18,AC215-1)&gt;0.01))*('Recurring Items'!$H$25&lt;&gt;"Skip")*(DAY(AB215)='Recurring Items'!$F$25)*IFERROR(N('Recurring Items'!$D$25),0)+(IF(AC215=1,'Debt Tracker'!$P$23&gt;0.01,INDEX('Debt Tracker'!$T$5:$AE$29,19,AC215-1)&gt;0.01))*('Recurring Items'!$H$26&lt;&gt;"Skip")*(DAY(AB215)='Recurring Items'!$F$26)*IFERROR(N('Recurring Items'!$D$26),0)+(IF(AC215=1,'Debt Tracker'!$P$24&gt;0.01,INDEX('Debt Tracker'!$T$5:$AE$29,20,AC215-1)&gt;0.01))*('Recurring Items'!$H$27&lt;&gt;"Skip")*(DAY(AB215)='Recurring Items'!$F$27)*IFERROR(N('Recurring Items'!$D$27),0)+(IF(AC215=1,'Debt Tracker'!$P$25&gt;0.01,INDEX('Debt Tracker'!$T$5:$AE$29,21,AC215-1)&gt;0.01))*('Recurring Items'!$H$28&lt;&gt;"Skip")*(DAY(AB215)='Recurring Items'!$F$28)*IFERROR(N('Recurring Items'!$D$28),0)+(IF(AC215=1,'Debt Tracker'!$P$26&gt;0.01,INDEX('Debt Tracker'!$T$5:$AE$29,22,AC215-1)&gt;0.01))*('Recurring Items'!$H$29&lt;&gt;"Skip")*(DAY(AB215)='Recurring Items'!$F$29)*IFERROR(N('Recurring Items'!$D$29),0)+(IF(AC215=1,'Debt Tracker'!$P$27&gt;0.01,INDEX('Debt Tracker'!$T$5:$AE$29,23,AC215-1)&gt;0.01))*('Recurring Items'!$H$30&lt;&gt;"Skip")*(DAY(AB215)='Recurring Items'!$F$30)*IFERROR(N('Recurring Items'!$D$30),0)+(IF(AC215=1,'Debt Tracker'!$P$28&gt;0.01,INDEX('Debt Tracker'!$T$5:$AE$29,24,AC215-1)&gt;0.01))*('Recurring Items'!$H$31&lt;&gt;"Skip")*(DAY(AB215)='Recurring Items'!$F$31)*IFERROR(N('Recurring Items'!$D$31),0)+(IF(AC215=1,'Debt Tracker'!$P$29&gt;0.01,INDEX('Debt Tracker'!$T$5:$AE$29,25,AC215-1)&gt;0.01))*('Recurring Items'!$H$32&lt;&gt;"Skip")*(DAY(AB215)='Recurring Items'!$F$32)*IFERROR(N('Recurring Items'!$D$32),0)</f>
        <v>143</v>
      </c>
      <c r="AG215" s="1" t="n">
        <f aca="false">AD215-AE215-AF215</f>
        <v>-485</v>
      </c>
      <c r="AH215" s="1" t="n">
        <f aca="false">AH214+AG215</f>
        <v>2779.14</v>
      </c>
    </row>
    <row r="216" customFormat="false" ht="15" hidden="false" customHeight="true" outlineLevel="0" collapsed="false">
      <c r="AA216" s="1" t="n">
        <v>16</v>
      </c>
      <c r="AB216" s="145" t="n">
        <f aca="false">$D$3+16</f>
        <v>46159</v>
      </c>
      <c r="AC216" s="1" t="n">
        <f aca="false">MIN(12,1+DATEDIF($D$3,AB216,"M"))</f>
        <v>1</v>
      </c>
      <c r="AD216" s="1" t="n">
        <f aca="false">SUMPRODUCT(('Recurring Items'!$C$6:$C$56="Income")*('Recurring Items'!$H$6:$H$56&lt;&gt;"Skip")*IFERROR(N('Recurring Items'!$D$6:$D$56),0)*(('Recurring Items'!$E$6:$E$56="Monthly")*(DAY(AB216)='Recurring Items'!$F$6:$F$56)+('Recurring Items'!$E$6:$E$56="Bi-weekly")*(WEEKDAY(AB216)=IFERROR(WEEKDAY('Recurring Items'!$G$6:$G$56),0))*(MOD(AB216-IFERROR('Recurring Items'!$G$6:$G$56,0),14)=0)*(AB216&gt;=IFERROR('Recurring Items'!$G$6:$G$56,9000000000))+('Recurring Items'!$E$6:$E$56="Weekly")*(WEEKDAY(AB216)=IFERROR(WEEKDAY('Recurring Items'!$G$6:$G$56),0))*(AB216&gt;=IFERROR('Recurring Items'!$G$6:$G$56,9000000000))+('Recurring Items'!$E$6:$E$56="One-time")*(AB216='Recurring Items'!$G$6:$G$56)))</f>
        <v>0</v>
      </c>
      <c r="AE216" s="1" t="n">
        <f aca="false">SUMPRODUCT(('Recurring Items'!$C$6:$C$56="Expense")*('Recurring Items'!$H$6:$H$56&lt;&gt;"Skip")*IFERROR(N('Recurring Items'!$D$6:$D$56),0)*(('Recurring Items'!$E$6:$E$56="Monthly")*(DAY(AB216)='Recurring Items'!$F$6:$F$56)+('Recurring Items'!$E$6:$E$56="Bi-weekly")*(WEEKDAY(AB216)=IFERROR(WEEKDAY('Recurring Items'!$G$6:$G$56),0))*(MOD(AB216-IFERROR('Recurring Items'!$G$6:$G$56,0),14)=0)*(AB216&gt;=IFERROR('Recurring Items'!$G$6:$G$56,9000000000))+('Recurring Items'!$E$6:$E$56="Weekly")*(WEEKDAY(AB216)=IFERROR(WEEKDAY('Recurring Items'!$G$6:$G$56),0))*(AB216&gt;=IFERROR('Recurring Items'!$G$6:$G$56,9000000000))+('Recurring Items'!$E$6:$E$56="One-time")*(AB216='Recurring Items'!$G$6:$G$56)))</f>
        <v>0</v>
      </c>
      <c r="AF216" s="1" t="n">
        <f aca="false">(IF(AC216=1,'Debt Tracker'!$P$5&gt;0.01,INDEX('Debt Tracker'!$T$5:$AE$29,1,AC216-1)&gt;0.01))*('Recurring Items'!$H$8&lt;&gt;"Skip")*(DAY(AB216)='Recurring Items'!$F$8)*IFERROR(N('Recurring Items'!$D$8),0)+(IF(AC216=1,'Debt Tracker'!$P$6&gt;0.01,INDEX('Debt Tracker'!$T$5:$AE$29,2,AC216-1)&gt;0.01))*('Recurring Items'!$H$9&lt;&gt;"Skip")*(DAY(AB216)='Recurring Items'!$F$9)*IFERROR(N('Recurring Items'!$D$9),0)+(IF(AC216=1,'Debt Tracker'!$P$7&gt;0.01,INDEX('Debt Tracker'!$T$5:$AE$29,3,AC216-1)&gt;0.01))*('Recurring Items'!$H$10&lt;&gt;"Skip")*(DAY(AB216)='Recurring Items'!$F$10)*IFERROR(N('Recurring Items'!$D$10),0)+(IF(AC216=1,'Debt Tracker'!$P$8&gt;0.01,INDEX('Debt Tracker'!$T$5:$AE$29,4,AC216-1)&gt;0.01))*('Recurring Items'!$H$11&lt;&gt;"Skip")*(DAY(AB216)='Recurring Items'!$F$11)*IFERROR(N('Recurring Items'!$D$11),0)+(IF(AC216=1,'Debt Tracker'!$P$9&gt;0.01,INDEX('Debt Tracker'!$T$5:$AE$29,5,AC216-1)&gt;0.01))*('Recurring Items'!$H$12&lt;&gt;"Skip")*(DAY(AB216)='Recurring Items'!$F$12)*IFERROR(N('Recurring Items'!$D$12),0)+(IF(AC216=1,'Debt Tracker'!$P$10&gt;0.01,INDEX('Debt Tracker'!$T$5:$AE$29,6,AC216-1)&gt;0.01))*('Recurring Items'!$H$13&lt;&gt;"Skip")*(DAY(AB216)='Recurring Items'!$F$13)*IFERROR(N('Recurring Items'!$D$13),0)+(IF(AC216=1,'Debt Tracker'!$P$11&gt;0.01,INDEX('Debt Tracker'!$T$5:$AE$29,7,AC216-1)&gt;0.01))*('Recurring Items'!$H$14&lt;&gt;"Skip")*(DAY(AB216)='Recurring Items'!$F$14)*IFERROR(N('Recurring Items'!$D$14),0)+(IF(AC216=1,'Debt Tracker'!$P$12&gt;0.01,INDEX('Debt Tracker'!$T$5:$AE$29,8,AC216-1)&gt;0.01))*('Recurring Items'!$H$15&lt;&gt;"Skip")*(DAY(AB216)='Recurring Items'!$F$15)*IFERROR(N('Recurring Items'!$D$15),0)+(IF(AC216=1,'Debt Tracker'!$P$13&gt;0.01,INDEX('Debt Tracker'!$T$5:$AE$29,9,AC216-1)&gt;0.01))*('Recurring Items'!$H$16&lt;&gt;"Skip")*(DAY(AB216)='Recurring Items'!$F$16)*IFERROR(N('Recurring Items'!$D$16),0)+(IF(AC216=1,'Debt Tracker'!$P$14&gt;0.01,INDEX('Debt Tracker'!$T$5:$AE$29,10,AC216-1)&gt;0.01))*('Recurring Items'!$H$17&lt;&gt;"Skip")*(DAY(AB216)='Recurring Items'!$F$17)*IFERROR(N('Recurring Items'!$D$17),0)+(IF(AC216=1,'Debt Tracker'!$P$15&gt;0.01,INDEX('Debt Tracker'!$T$5:$AE$29,11,AC216-1)&gt;0.01))*('Recurring Items'!$H$18&lt;&gt;"Skip")*(DAY(AB216)='Recurring Items'!$F$18)*IFERROR(N('Recurring Items'!$D$18),0)+(IF(AC216=1,'Debt Tracker'!$P$16&gt;0.01,INDEX('Debt Tracker'!$T$5:$AE$29,12,AC216-1)&gt;0.01))*('Recurring Items'!$H$19&lt;&gt;"Skip")*(DAY(AB216)='Recurring Items'!$F$19)*IFERROR(N('Recurring Items'!$D$19),0)+(IF(AC216=1,'Debt Tracker'!$P$17&gt;0.01,INDEX('Debt Tracker'!$T$5:$AE$29,13,AC216-1)&gt;0.01))*('Recurring Items'!$H$20&lt;&gt;"Skip")*(DAY(AB216)='Recurring Items'!$F$20)*IFERROR(N('Recurring Items'!$D$20),0)+(IF(AC216=1,'Debt Tracker'!$P$18&gt;0.01,INDEX('Debt Tracker'!$T$5:$AE$29,14,AC216-1)&gt;0.01))*('Recurring Items'!$H$21&lt;&gt;"Skip")*(DAY(AB216)='Recurring Items'!$F$21)*IFERROR(N('Recurring Items'!$D$21),0)+(IF(AC216=1,'Debt Tracker'!$P$19&gt;0.01,INDEX('Debt Tracker'!$T$5:$AE$29,15,AC216-1)&gt;0.01))*('Recurring Items'!$H$22&lt;&gt;"Skip")*(DAY(AB216)='Recurring Items'!$F$22)*IFERROR(N('Recurring Items'!$D$22),0)+(IF(AC216=1,'Debt Tracker'!$P$20&gt;0.01,INDEX('Debt Tracker'!$T$5:$AE$29,16,AC216-1)&gt;0.01))*('Recurring Items'!$H$23&lt;&gt;"Skip")*(DAY(AB216)='Recurring Items'!$F$23)*IFERROR(N('Recurring Items'!$D$23),0)+(IF(AC216=1,'Debt Tracker'!$P$21&gt;0.01,INDEX('Debt Tracker'!$T$5:$AE$29,17,AC216-1)&gt;0.01))*('Recurring Items'!$H$24&lt;&gt;"Skip")*(DAY(AB216)='Recurring Items'!$F$24)*IFERROR(N('Recurring Items'!$D$24),0)+(IF(AC216=1,'Debt Tracker'!$P$22&gt;0.01,INDEX('Debt Tracker'!$T$5:$AE$29,18,AC216-1)&gt;0.01))*('Recurring Items'!$H$25&lt;&gt;"Skip")*(DAY(AB216)='Recurring Items'!$F$25)*IFERROR(N('Recurring Items'!$D$25),0)+(IF(AC216=1,'Debt Tracker'!$P$23&gt;0.01,INDEX('Debt Tracker'!$T$5:$AE$29,19,AC216-1)&gt;0.01))*('Recurring Items'!$H$26&lt;&gt;"Skip")*(DAY(AB216)='Recurring Items'!$F$26)*IFERROR(N('Recurring Items'!$D$26),0)+(IF(AC216=1,'Debt Tracker'!$P$24&gt;0.01,INDEX('Debt Tracker'!$T$5:$AE$29,20,AC216-1)&gt;0.01))*('Recurring Items'!$H$27&lt;&gt;"Skip")*(DAY(AB216)='Recurring Items'!$F$27)*IFERROR(N('Recurring Items'!$D$27),0)+(IF(AC216=1,'Debt Tracker'!$P$25&gt;0.01,INDEX('Debt Tracker'!$T$5:$AE$29,21,AC216-1)&gt;0.01))*('Recurring Items'!$H$28&lt;&gt;"Skip")*(DAY(AB216)='Recurring Items'!$F$28)*IFERROR(N('Recurring Items'!$D$28),0)+(IF(AC216=1,'Debt Tracker'!$P$26&gt;0.01,INDEX('Debt Tracker'!$T$5:$AE$29,22,AC216-1)&gt;0.01))*('Recurring Items'!$H$29&lt;&gt;"Skip")*(DAY(AB216)='Recurring Items'!$F$29)*IFERROR(N('Recurring Items'!$D$29),0)+(IF(AC216=1,'Debt Tracker'!$P$27&gt;0.01,INDEX('Debt Tracker'!$T$5:$AE$29,23,AC216-1)&gt;0.01))*('Recurring Items'!$H$30&lt;&gt;"Skip")*(DAY(AB216)='Recurring Items'!$F$30)*IFERROR(N('Recurring Items'!$D$30),0)+(IF(AC216=1,'Debt Tracker'!$P$28&gt;0.01,INDEX('Debt Tracker'!$T$5:$AE$29,24,AC216-1)&gt;0.01))*('Recurring Items'!$H$31&lt;&gt;"Skip")*(DAY(AB216)='Recurring Items'!$F$31)*IFERROR(N('Recurring Items'!$D$31),0)+(IF(AC216=1,'Debt Tracker'!$P$29&gt;0.01,INDEX('Debt Tracker'!$T$5:$AE$29,25,AC216-1)&gt;0.01))*('Recurring Items'!$H$32&lt;&gt;"Skip")*(DAY(AB216)='Recurring Items'!$F$32)*IFERROR(N('Recurring Items'!$D$32),0)</f>
        <v>0</v>
      </c>
      <c r="AG216" s="1" t="n">
        <f aca="false">AD216-AE216-AF216</f>
        <v>0</v>
      </c>
      <c r="AH216" s="1" t="n">
        <f aca="false">AH215+AG216</f>
        <v>2779.14</v>
      </c>
    </row>
    <row r="217" customFormat="false" ht="15" hidden="false" customHeight="true" outlineLevel="0" collapsed="false">
      <c r="AA217" s="1" t="n">
        <v>17</v>
      </c>
      <c r="AB217" s="145" t="n">
        <f aca="false">$D$3+17</f>
        <v>46160</v>
      </c>
      <c r="AC217" s="1" t="n">
        <f aca="false">MIN(12,1+DATEDIF($D$3,AB217,"M"))</f>
        <v>1</v>
      </c>
      <c r="AD217" s="1" t="n">
        <f aca="false">SUMPRODUCT(('Recurring Items'!$C$6:$C$56="Income")*('Recurring Items'!$H$6:$H$56&lt;&gt;"Skip")*IFERROR(N('Recurring Items'!$D$6:$D$56),0)*(('Recurring Items'!$E$6:$E$56="Monthly")*(DAY(AB217)='Recurring Items'!$F$6:$F$56)+('Recurring Items'!$E$6:$E$56="Bi-weekly")*(WEEKDAY(AB217)=IFERROR(WEEKDAY('Recurring Items'!$G$6:$G$56),0))*(MOD(AB217-IFERROR('Recurring Items'!$G$6:$G$56,0),14)=0)*(AB217&gt;=IFERROR('Recurring Items'!$G$6:$G$56,9000000000))+('Recurring Items'!$E$6:$E$56="Weekly")*(WEEKDAY(AB217)=IFERROR(WEEKDAY('Recurring Items'!$G$6:$G$56),0))*(AB217&gt;=IFERROR('Recurring Items'!$G$6:$G$56,9000000000))+('Recurring Items'!$E$6:$E$56="One-time")*(AB217='Recurring Items'!$G$6:$G$56)))</f>
        <v>0</v>
      </c>
      <c r="AE217" s="1" t="n">
        <f aca="false">SUMPRODUCT(('Recurring Items'!$C$6:$C$56="Expense")*('Recurring Items'!$H$6:$H$56&lt;&gt;"Skip")*IFERROR(N('Recurring Items'!$D$6:$D$56),0)*(('Recurring Items'!$E$6:$E$56="Monthly")*(DAY(AB217)='Recurring Items'!$F$6:$F$56)+('Recurring Items'!$E$6:$E$56="Bi-weekly")*(WEEKDAY(AB217)=IFERROR(WEEKDAY('Recurring Items'!$G$6:$G$56),0))*(MOD(AB217-IFERROR('Recurring Items'!$G$6:$G$56,0),14)=0)*(AB217&gt;=IFERROR('Recurring Items'!$G$6:$G$56,9000000000))+('Recurring Items'!$E$6:$E$56="Weekly")*(WEEKDAY(AB217)=IFERROR(WEEKDAY('Recurring Items'!$G$6:$G$56),0))*(AB217&gt;=IFERROR('Recurring Items'!$G$6:$G$56,9000000000))+('Recurring Items'!$E$6:$E$56="One-time")*(AB217='Recurring Items'!$G$6:$G$56)))</f>
        <v>0</v>
      </c>
      <c r="AF217" s="1" t="n">
        <f aca="false">(IF(AC217=1,'Debt Tracker'!$P$5&gt;0.01,INDEX('Debt Tracker'!$T$5:$AE$29,1,AC217-1)&gt;0.01))*('Recurring Items'!$H$8&lt;&gt;"Skip")*(DAY(AB217)='Recurring Items'!$F$8)*IFERROR(N('Recurring Items'!$D$8),0)+(IF(AC217=1,'Debt Tracker'!$P$6&gt;0.01,INDEX('Debt Tracker'!$T$5:$AE$29,2,AC217-1)&gt;0.01))*('Recurring Items'!$H$9&lt;&gt;"Skip")*(DAY(AB217)='Recurring Items'!$F$9)*IFERROR(N('Recurring Items'!$D$9),0)+(IF(AC217=1,'Debt Tracker'!$P$7&gt;0.01,INDEX('Debt Tracker'!$T$5:$AE$29,3,AC217-1)&gt;0.01))*('Recurring Items'!$H$10&lt;&gt;"Skip")*(DAY(AB217)='Recurring Items'!$F$10)*IFERROR(N('Recurring Items'!$D$10),0)+(IF(AC217=1,'Debt Tracker'!$P$8&gt;0.01,INDEX('Debt Tracker'!$T$5:$AE$29,4,AC217-1)&gt;0.01))*('Recurring Items'!$H$11&lt;&gt;"Skip")*(DAY(AB217)='Recurring Items'!$F$11)*IFERROR(N('Recurring Items'!$D$11),0)+(IF(AC217=1,'Debt Tracker'!$P$9&gt;0.01,INDEX('Debt Tracker'!$T$5:$AE$29,5,AC217-1)&gt;0.01))*('Recurring Items'!$H$12&lt;&gt;"Skip")*(DAY(AB217)='Recurring Items'!$F$12)*IFERROR(N('Recurring Items'!$D$12),0)+(IF(AC217=1,'Debt Tracker'!$P$10&gt;0.01,INDEX('Debt Tracker'!$T$5:$AE$29,6,AC217-1)&gt;0.01))*('Recurring Items'!$H$13&lt;&gt;"Skip")*(DAY(AB217)='Recurring Items'!$F$13)*IFERROR(N('Recurring Items'!$D$13),0)+(IF(AC217=1,'Debt Tracker'!$P$11&gt;0.01,INDEX('Debt Tracker'!$T$5:$AE$29,7,AC217-1)&gt;0.01))*('Recurring Items'!$H$14&lt;&gt;"Skip")*(DAY(AB217)='Recurring Items'!$F$14)*IFERROR(N('Recurring Items'!$D$14),0)+(IF(AC217=1,'Debt Tracker'!$P$12&gt;0.01,INDEX('Debt Tracker'!$T$5:$AE$29,8,AC217-1)&gt;0.01))*('Recurring Items'!$H$15&lt;&gt;"Skip")*(DAY(AB217)='Recurring Items'!$F$15)*IFERROR(N('Recurring Items'!$D$15),0)+(IF(AC217=1,'Debt Tracker'!$P$13&gt;0.01,INDEX('Debt Tracker'!$T$5:$AE$29,9,AC217-1)&gt;0.01))*('Recurring Items'!$H$16&lt;&gt;"Skip")*(DAY(AB217)='Recurring Items'!$F$16)*IFERROR(N('Recurring Items'!$D$16),0)+(IF(AC217=1,'Debt Tracker'!$P$14&gt;0.01,INDEX('Debt Tracker'!$T$5:$AE$29,10,AC217-1)&gt;0.01))*('Recurring Items'!$H$17&lt;&gt;"Skip")*(DAY(AB217)='Recurring Items'!$F$17)*IFERROR(N('Recurring Items'!$D$17),0)+(IF(AC217=1,'Debt Tracker'!$P$15&gt;0.01,INDEX('Debt Tracker'!$T$5:$AE$29,11,AC217-1)&gt;0.01))*('Recurring Items'!$H$18&lt;&gt;"Skip")*(DAY(AB217)='Recurring Items'!$F$18)*IFERROR(N('Recurring Items'!$D$18),0)+(IF(AC217=1,'Debt Tracker'!$P$16&gt;0.01,INDEX('Debt Tracker'!$T$5:$AE$29,12,AC217-1)&gt;0.01))*('Recurring Items'!$H$19&lt;&gt;"Skip")*(DAY(AB217)='Recurring Items'!$F$19)*IFERROR(N('Recurring Items'!$D$19),0)+(IF(AC217=1,'Debt Tracker'!$P$17&gt;0.01,INDEX('Debt Tracker'!$T$5:$AE$29,13,AC217-1)&gt;0.01))*('Recurring Items'!$H$20&lt;&gt;"Skip")*(DAY(AB217)='Recurring Items'!$F$20)*IFERROR(N('Recurring Items'!$D$20),0)+(IF(AC217=1,'Debt Tracker'!$P$18&gt;0.01,INDEX('Debt Tracker'!$T$5:$AE$29,14,AC217-1)&gt;0.01))*('Recurring Items'!$H$21&lt;&gt;"Skip")*(DAY(AB217)='Recurring Items'!$F$21)*IFERROR(N('Recurring Items'!$D$21),0)+(IF(AC217=1,'Debt Tracker'!$P$19&gt;0.01,INDEX('Debt Tracker'!$T$5:$AE$29,15,AC217-1)&gt;0.01))*('Recurring Items'!$H$22&lt;&gt;"Skip")*(DAY(AB217)='Recurring Items'!$F$22)*IFERROR(N('Recurring Items'!$D$22),0)+(IF(AC217=1,'Debt Tracker'!$P$20&gt;0.01,INDEX('Debt Tracker'!$T$5:$AE$29,16,AC217-1)&gt;0.01))*('Recurring Items'!$H$23&lt;&gt;"Skip")*(DAY(AB217)='Recurring Items'!$F$23)*IFERROR(N('Recurring Items'!$D$23),0)+(IF(AC217=1,'Debt Tracker'!$P$21&gt;0.01,INDEX('Debt Tracker'!$T$5:$AE$29,17,AC217-1)&gt;0.01))*('Recurring Items'!$H$24&lt;&gt;"Skip")*(DAY(AB217)='Recurring Items'!$F$24)*IFERROR(N('Recurring Items'!$D$24),0)+(IF(AC217=1,'Debt Tracker'!$P$22&gt;0.01,INDEX('Debt Tracker'!$T$5:$AE$29,18,AC217-1)&gt;0.01))*('Recurring Items'!$H$25&lt;&gt;"Skip")*(DAY(AB217)='Recurring Items'!$F$25)*IFERROR(N('Recurring Items'!$D$25),0)+(IF(AC217=1,'Debt Tracker'!$P$23&gt;0.01,INDEX('Debt Tracker'!$T$5:$AE$29,19,AC217-1)&gt;0.01))*('Recurring Items'!$H$26&lt;&gt;"Skip")*(DAY(AB217)='Recurring Items'!$F$26)*IFERROR(N('Recurring Items'!$D$26),0)+(IF(AC217=1,'Debt Tracker'!$P$24&gt;0.01,INDEX('Debt Tracker'!$T$5:$AE$29,20,AC217-1)&gt;0.01))*('Recurring Items'!$H$27&lt;&gt;"Skip")*(DAY(AB217)='Recurring Items'!$F$27)*IFERROR(N('Recurring Items'!$D$27),0)+(IF(AC217=1,'Debt Tracker'!$P$25&gt;0.01,INDEX('Debt Tracker'!$T$5:$AE$29,21,AC217-1)&gt;0.01))*('Recurring Items'!$H$28&lt;&gt;"Skip")*(DAY(AB217)='Recurring Items'!$F$28)*IFERROR(N('Recurring Items'!$D$28),0)+(IF(AC217=1,'Debt Tracker'!$P$26&gt;0.01,INDEX('Debt Tracker'!$T$5:$AE$29,22,AC217-1)&gt;0.01))*('Recurring Items'!$H$29&lt;&gt;"Skip")*(DAY(AB217)='Recurring Items'!$F$29)*IFERROR(N('Recurring Items'!$D$29),0)+(IF(AC217=1,'Debt Tracker'!$P$27&gt;0.01,INDEX('Debt Tracker'!$T$5:$AE$29,23,AC217-1)&gt;0.01))*('Recurring Items'!$H$30&lt;&gt;"Skip")*(DAY(AB217)='Recurring Items'!$F$30)*IFERROR(N('Recurring Items'!$D$30),0)+(IF(AC217=1,'Debt Tracker'!$P$28&gt;0.01,INDEX('Debt Tracker'!$T$5:$AE$29,24,AC217-1)&gt;0.01))*('Recurring Items'!$H$31&lt;&gt;"Skip")*(DAY(AB217)='Recurring Items'!$F$31)*IFERROR(N('Recurring Items'!$D$31),0)+(IF(AC217=1,'Debt Tracker'!$P$29&gt;0.01,INDEX('Debt Tracker'!$T$5:$AE$29,25,AC217-1)&gt;0.01))*('Recurring Items'!$H$32&lt;&gt;"Skip")*(DAY(AB217)='Recurring Items'!$F$32)*IFERROR(N('Recurring Items'!$D$32),0)</f>
        <v>0</v>
      </c>
      <c r="AG217" s="1" t="n">
        <f aca="false">AD217-AE217-AF217</f>
        <v>0</v>
      </c>
      <c r="AH217" s="1" t="n">
        <f aca="false">AH216+AG217</f>
        <v>2779.14</v>
      </c>
    </row>
    <row r="218" customFormat="false" ht="15" hidden="false" customHeight="true" outlineLevel="0" collapsed="false">
      <c r="AA218" s="1" t="n">
        <v>18</v>
      </c>
      <c r="AB218" s="145" t="n">
        <f aca="false">$D$3+18</f>
        <v>46161</v>
      </c>
      <c r="AC218" s="1" t="n">
        <f aca="false">MIN(12,1+DATEDIF($D$3,AB218,"M"))</f>
        <v>1</v>
      </c>
      <c r="AD218" s="1" t="n">
        <f aca="false">SUMPRODUCT(('Recurring Items'!$C$6:$C$56="Income")*('Recurring Items'!$H$6:$H$56&lt;&gt;"Skip")*IFERROR(N('Recurring Items'!$D$6:$D$56),0)*(('Recurring Items'!$E$6:$E$56="Monthly")*(DAY(AB218)='Recurring Items'!$F$6:$F$56)+('Recurring Items'!$E$6:$E$56="Bi-weekly")*(WEEKDAY(AB218)=IFERROR(WEEKDAY('Recurring Items'!$G$6:$G$56),0))*(MOD(AB218-IFERROR('Recurring Items'!$G$6:$G$56,0),14)=0)*(AB218&gt;=IFERROR('Recurring Items'!$G$6:$G$56,9000000000))+('Recurring Items'!$E$6:$E$56="Weekly")*(WEEKDAY(AB218)=IFERROR(WEEKDAY('Recurring Items'!$G$6:$G$56),0))*(AB218&gt;=IFERROR('Recurring Items'!$G$6:$G$56,9000000000))+('Recurring Items'!$E$6:$E$56="One-time")*(AB218='Recurring Items'!$G$6:$G$56)))</f>
        <v>0</v>
      </c>
      <c r="AE218" s="1" t="n">
        <f aca="false">SUMPRODUCT(('Recurring Items'!$C$6:$C$56="Expense")*('Recurring Items'!$H$6:$H$56&lt;&gt;"Skip")*IFERROR(N('Recurring Items'!$D$6:$D$56),0)*(('Recurring Items'!$E$6:$E$56="Monthly")*(DAY(AB218)='Recurring Items'!$F$6:$F$56)+('Recurring Items'!$E$6:$E$56="Bi-weekly")*(WEEKDAY(AB218)=IFERROR(WEEKDAY('Recurring Items'!$G$6:$G$56),0))*(MOD(AB218-IFERROR('Recurring Items'!$G$6:$G$56,0),14)=0)*(AB218&gt;=IFERROR('Recurring Items'!$G$6:$G$56,9000000000))+('Recurring Items'!$E$6:$E$56="Weekly")*(WEEKDAY(AB218)=IFERROR(WEEKDAY('Recurring Items'!$G$6:$G$56),0))*(AB218&gt;=IFERROR('Recurring Items'!$G$6:$G$56,9000000000))+('Recurring Items'!$E$6:$E$56="One-time")*(AB218='Recurring Items'!$G$6:$G$56)))</f>
        <v>0</v>
      </c>
      <c r="AF218" s="1" t="n">
        <f aca="false">(IF(AC218=1,'Debt Tracker'!$P$5&gt;0.01,INDEX('Debt Tracker'!$T$5:$AE$29,1,AC218-1)&gt;0.01))*('Recurring Items'!$H$8&lt;&gt;"Skip")*(DAY(AB218)='Recurring Items'!$F$8)*IFERROR(N('Recurring Items'!$D$8),0)+(IF(AC218=1,'Debt Tracker'!$P$6&gt;0.01,INDEX('Debt Tracker'!$T$5:$AE$29,2,AC218-1)&gt;0.01))*('Recurring Items'!$H$9&lt;&gt;"Skip")*(DAY(AB218)='Recurring Items'!$F$9)*IFERROR(N('Recurring Items'!$D$9),0)+(IF(AC218=1,'Debt Tracker'!$P$7&gt;0.01,INDEX('Debt Tracker'!$T$5:$AE$29,3,AC218-1)&gt;0.01))*('Recurring Items'!$H$10&lt;&gt;"Skip")*(DAY(AB218)='Recurring Items'!$F$10)*IFERROR(N('Recurring Items'!$D$10),0)+(IF(AC218=1,'Debt Tracker'!$P$8&gt;0.01,INDEX('Debt Tracker'!$T$5:$AE$29,4,AC218-1)&gt;0.01))*('Recurring Items'!$H$11&lt;&gt;"Skip")*(DAY(AB218)='Recurring Items'!$F$11)*IFERROR(N('Recurring Items'!$D$11),0)+(IF(AC218=1,'Debt Tracker'!$P$9&gt;0.01,INDEX('Debt Tracker'!$T$5:$AE$29,5,AC218-1)&gt;0.01))*('Recurring Items'!$H$12&lt;&gt;"Skip")*(DAY(AB218)='Recurring Items'!$F$12)*IFERROR(N('Recurring Items'!$D$12),0)+(IF(AC218=1,'Debt Tracker'!$P$10&gt;0.01,INDEX('Debt Tracker'!$T$5:$AE$29,6,AC218-1)&gt;0.01))*('Recurring Items'!$H$13&lt;&gt;"Skip")*(DAY(AB218)='Recurring Items'!$F$13)*IFERROR(N('Recurring Items'!$D$13),0)+(IF(AC218=1,'Debt Tracker'!$P$11&gt;0.01,INDEX('Debt Tracker'!$T$5:$AE$29,7,AC218-1)&gt;0.01))*('Recurring Items'!$H$14&lt;&gt;"Skip")*(DAY(AB218)='Recurring Items'!$F$14)*IFERROR(N('Recurring Items'!$D$14),0)+(IF(AC218=1,'Debt Tracker'!$P$12&gt;0.01,INDEX('Debt Tracker'!$T$5:$AE$29,8,AC218-1)&gt;0.01))*('Recurring Items'!$H$15&lt;&gt;"Skip")*(DAY(AB218)='Recurring Items'!$F$15)*IFERROR(N('Recurring Items'!$D$15),0)+(IF(AC218=1,'Debt Tracker'!$P$13&gt;0.01,INDEX('Debt Tracker'!$T$5:$AE$29,9,AC218-1)&gt;0.01))*('Recurring Items'!$H$16&lt;&gt;"Skip")*(DAY(AB218)='Recurring Items'!$F$16)*IFERROR(N('Recurring Items'!$D$16),0)+(IF(AC218=1,'Debt Tracker'!$P$14&gt;0.01,INDEX('Debt Tracker'!$T$5:$AE$29,10,AC218-1)&gt;0.01))*('Recurring Items'!$H$17&lt;&gt;"Skip")*(DAY(AB218)='Recurring Items'!$F$17)*IFERROR(N('Recurring Items'!$D$17),0)+(IF(AC218=1,'Debt Tracker'!$P$15&gt;0.01,INDEX('Debt Tracker'!$T$5:$AE$29,11,AC218-1)&gt;0.01))*('Recurring Items'!$H$18&lt;&gt;"Skip")*(DAY(AB218)='Recurring Items'!$F$18)*IFERROR(N('Recurring Items'!$D$18),0)+(IF(AC218=1,'Debt Tracker'!$P$16&gt;0.01,INDEX('Debt Tracker'!$T$5:$AE$29,12,AC218-1)&gt;0.01))*('Recurring Items'!$H$19&lt;&gt;"Skip")*(DAY(AB218)='Recurring Items'!$F$19)*IFERROR(N('Recurring Items'!$D$19),0)+(IF(AC218=1,'Debt Tracker'!$P$17&gt;0.01,INDEX('Debt Tracker'!$T$5:$AE$29,13,AC218-1)&gt;0.01))*('Recurring Items'!$H$20&lt;&gt;"Skip")*(DAY(AB218)='Recurring Items'!$F$20)*IFERROR(N('Recurring Items'!$D$20),0)+(IF(AC218=1,'Debt Tracker'!$P$18&gt;0.01,INDEX('Debt Tracker'!$T$5:$AE$29,14,AC218-1)&gt;0.01))*('Recurring Items'!$H$21&lt;&gt;"Skip")*(DAY(AB218)='Recurring Items'!$F$21)*IFERROR(N('Recurring Items'!$D$21),0)+(IF(AC218=1,'Debt Tracker'!$P$19&gt;0.01,INDEX('Debt Tracker'!$T$5:$AE$29,15,AC218-1)&gt;0.01))*('Recurring Items'!$H$22&lt;&gt;"Skip")*(DAY(AB218)='Recurring Items'!$F$22)*IFERROR(N('Recurring Items'!$D$22),0)+(IF(AC218=1,'Debt Tracker'!$P$20&gt;0.01,INDEX('Debt Tracker'!$T$5:$AE$29,16,AC218-1)&gt;0.01))*('Recurring Items'!$H$23&lt;&gt;"Skip")*(DAY(AB218)='Recurring Items'!$F$23)*IFERROR(N('Recurring Items'!$D$23),0)+(IF(AC218=1,'Debt Tracker'!$P$21&gt;0.01,INDEX('Debt Tracker'!$T$5:$AE$29,17,AC218-1)&gt;0.01))*('Recurring Items'!$H$24&lt;&gt;"Skip")*(DAY(AB218)='Recurring Items'!$F$24)*IFERROR(N('Recurring Items'!$D$24),0)+(IF(AC218=1,'Debt Tracker'!$P$22&gt;0.01,INDEX('Debt Tracker'!$T$5:$AE$29,18,AC218-1)&gt;0.01))*('Recurring Items'!$H$25&lt;&gt;"Skip")*(DAY(AB218)='Recurring Items'!$F$25)*IFERROR(N('Recurring Items'!$D$25),0)+(IF(AC218=1,'Debt Tracker'!$P$23&gt;0.01,INDEX('Debt Tracker'!$T$5:$AE$29,19,AC218-1)&gt;0.01))*('Recurring Items'!$H$26&lt;&gt;"Skip")*(DAY(AB218)='Recurring Items'!$F$26)*IFERROR(N('Recurring Items'!$D$26),0)+(IF(AC218=1,'Debt Tracker'!$P$24&gt;0.01,INDEX('Debt Tracker'!$T$5:$AE$29,20,AC218-1)&gt;0.01))*('Recurring Items'!$H$27&lt;&gt;"Skip")*(DAY(AB218)='Recurring Items'!$F$27)*IFERROR(N('Recurring Items'!$D$27),0)+(IF(AC218=1,'Debt Tracker'!$P$25&gt;0.01,INDEX('Debt Tracker'!$T$5:$AE$29,21,AC218-1)&gt;0.01))*('Recurring Items'!$H$28&lt;&gt;"Skip")*(DAY(AB218)='Recurring Items'!$F$28)*IFERROR(N('Recurring Items'!$D$28),0)+(IF(AC218=1,'Debt Tracker'!$P$26&gt;0.01,INDEX('Debt Tracker'!$T$5:$AE$29,22,AC218-1)&gt;0.01))*('Recurring Items'!$H$29&lt;&gt;"Skip")*(DAY(AB218)='Recurring Items'!$F$29)*IFERROR(N('Recurring Items'!$D$29),0)+(IF(AC218=1,'Debt Tracker'!$P$27&gt;0.01,INDEX('Debt Tracker'!$T$5:$AE$29,23,AC218-1)&gt;0.01))*('Recurring Items'!$H$30&lt;&gt;"Skip")*(DAY(AB218)='Recurring Items'!$F$30)*IFERROR(N('Recurring Items'!$D$30),0)+(IF(AC218=1,'Debt Tracker'!$P$28&gt;0.01,INDEX('Debt Tracker'!$T$5:$AE$29,24,AC218-1)&gt;0.01))*('Recurring Items'!$H$31&lt;&gt;"Skip")*(DAY(AB218)='Recurring Items'!$F$31)*IFERROR(N('Recurring Items'!$D$31),0)+(IF(AC218=1,'Debt Tracker'!$P$29&gt;0.01,INDEX('Debt Tracker'!$T$5:$AE$29,25,AC218-1)&gt;0.01))*('Recurring Items'!$H$32&lt;&gt;"Skip")*(DAY(AB218)='Recurring Items'!$F$32)*IFERROR(N('Recurring Items'!$D$32),0)</f>
        <v>0</v>
      </c>
      <c r="AG218" s="1" t="n">
        <f aca="false">AD218-AE218-AF218</f>
        <v>0</v>
      </c>
      <c r="AH218" s="1" t="n">
        <f aca="false">AH217+AG218</f>
        <v>2779.14</v>
      </c>
    </row>
    <row r="219" customFormat="false" ht="15" hidden="false" customHeight="true" outlineLevel="0" collapsed="false">
      <c r="AA219" s="1" t="n">
        <v>19</v>
      </c>
      <c r="AB219" s="145" t="n">
        <f aca="false">$D$3+19</f>
        <v>46162</v>
      </c>
      <c r="AC219" s="1" t="n">
        <f aca="false">MIN(12,1+DATEDIF($D$3,AB219,"M"))</f>
        <v>1</v>
      </c>
      <c r="AD219" s="1" t="n">
        <f aca="false">SUMPRODUCT(('Recurring Items'!$C$6:$C$56="Income")*('Recurring Items'!$H$6:$H$56&lt;&gt;"Skip")*IFERROR(N('Recurring Items'!$D$6:$D$56),0)*(('Recurring Items'!$E$6:$E$56="Monthly")*(DAY(AB219)='Recurring Items'!$F$6:$F$56)+('Recurring Items'!$E$6:$E$56="Bi-weekly")*(WEEKDAY(AB219)=IFERROR(WEEKDAY('Recurring Items'!$G$6:$G$56),0))*(MOD(AB219-IFERROR('Recurring Items'!$G$6:$G$56,0),14)=0)*(AB219&gt;=IFERROR('Recurring Items'!$G$6:$G$56,9000000000))+('Recurring Items'!$E$6:$E$56="Weekly")*(WEEKDAY(AB219)=IFERROR(WEEKDAY('Recurring Items'!$G$6:$G$56),0))*(AB219&gt;=IFERROR('Recurring Items'!$G$6:$G$56,9000000000))+('Recurring Items'!$E$6:$E$56="One-time")*(AB219='Recurring Items'!$G$6:$G$56)))</f>
        <v>0</v>
      </c>
      <c r="AE219" s="1" t="n">
        <f aca="false">SUMPRODUCT(('Recurring Items'!$C$6:$C$56="Expense")*('Recurring Items'!$H$6:$H$56&lt;&gt;"Skip")*IFERROR(N('Recurring Items'!$D$6:$D$56),0)*(('Recurring Items'!$E$6:$E$56="Monthly")*(DAY(AB219)='Recurring Items'!$F$6:$F$56)+('Recurring Items'!$E$6:$E$56="Bi-weekly")*(WEEKDAY(AB219)=IFERROR(WEEKDAY('Recurring Items'!$G$6:$G$56),0))*(MOD(AB219-IFERROR('Recurring Items'!$G$6:$G$56,0),14)=0)*(AB219&gt;=IFERROR('Recurring Items'!$G$6:$G$56,9000000000))+('Recurring Items'!$E$6:$E$56="Weekly")*(WEEKDAY(AB219)=IFERROR(WEEKDAY('Recurring Items'!$G$6:$G$56),0))*(AB219&gt;=IFERROR('Recurring Items'!$G$6:$G$56,9000000000))+('Recurring Items'!$E$6:$E$56="One-time")*(AB219='Recurring Items'!$G$6:$G$56)))</f>
        <v>0</v>
      </c>
      <c r="AF219" s="1" t="n">
        <f aca="false">(IF(AC219=1,'Debt Tracker'!$P$5&gt;0.01,INDEX('Debt Tracker'!$T$5:$AE$29,1,AC219-1)&gt;0.01))*('Recurring Items'!$H$8&lt;&gt;"Skip")*(DAY(AB219)='Recurring Items'!$F$8)*IFERROR(N('Recurring Items'!$D$8),0)+(IF(AC219=1,'Debt Tracker'!$P$6&gt;0.01,INDEX('Debt Tracker'!$T$5:$AE$29,2,AC219-1)&gt;0.01))*('Recurring Items'!$H$9&lt;&gt;"Skip")*(DAY(AB219)='Recurring Items'!$F$9)*IFERROR(N('Recurring Items'!$D$9),0)+(IF(AC219=1,'Debt Tracker'!$P$7&gt;0.01,INDEX('Debt Tracker'!$T$5:$AE$29,3,AC219-1)&gt;0.01))*('Recurring Items'!$H$10&lt;&gt;"Skip")*(DAY(AB219)='Recurring Items'!$F$10)*IFERROR(N('Recurring Items'!$D$10),0)+(IF(AC219=1,'Debt Tracker'!$P$8&gt;0.01,INDEX('Debt Tracker'!$T$5:$AE$29,4,AC219-1)&gt;0.01))*('Recurring Items'!$H$11&lt;&gt;"Skip")*(DAY(AB219)='Recurring Items'!$F$11)*IFERROR(N('Recurring Items'!$D$11),0)+(IF(AC219=1,'Debt Tracker'!$P$9&gt;0.01,INDEX('Debt Tracker'!$T$5:$AE$29,5,AC219-1)&gt;0.01))*('Recurring Items'!$H$12&lt;&gt;"Skip")*(DAY(AB219)='Recurring Items'!$F$12)*IFERROR(N('Recurring Items'!$D$12),0)+(IF(AC219=1,'Debt Tracker'!$P$10&gt;0.01,INDEX('Debt Tracker'!$T$5:$AE$29,6,AC219-1)&gt;0.01))*('Recurring Items'!$H$13&lt;&gt;"Skip")*(DAY(AB219)='Recurring Items'!$F$13)*IFERROR(N('Recurring Items'!$D$13),0)+(IF(AC219=1,'Debt Tracker'!$P$11&gt;0.01,INDEX('Debt Tracker'!$T$5:$AE$29,7,AC219-1)&gt;0.01))*('Recurring Items'!$H$14&lt;&gt;"Skip")*(DAY(AB219)='Recurring Items'!$F$14)*IFERROR(N('Recurring Items'!$D$14),0)+(IF(AC219=1,'Debt Tracker'!$P$12&gt;0.01,INDEX('Debt Tracker'!$T$5:$AE$29,8,AC219-1)&gt;0.01))*('Recurring Items'!$H$15&lt;&gt;"Skip")*(DAY(AB219)='Recurring Items'!$F$15)*IFERROR(N('Recurring Items'!$D$15),0)+(IF(AC219=1,'Debt Tracker'!$P$13&gt;0.01,INDEX('Debt Tracker'!$T$5:$AE$29,9,AC219-1)&gt;0.01))*('Recurring Items'!$H$16&lt;&gt;"Skip")*(DAY(AB219)='Recurring Items'!$F$16)*IFERROR(N('Recurring Items'!$D$16),0)+(IF(AC219=1,'Debt Tracker'!$P$14&gt;0.01,INDEX('Debt Tracker'!$T$5:$AE$29,10,AC219-1)&gt;0.01))*('Recurring Items'!$H$17&lt;&gt;"Skip")*(DAY(AB219)='Recurring Items'!$F$17)*IFERROR(N('Recurring Items'!$D$17),0)+(IF(AC219=1,'Debt Tracker'!$P$15&gt;0.01,INDEX('Debt Tracker'!$T$5:$AE$29,11,AC219-1)&gt;0.01))*('Recurring Items'!$H$18&lt;&gt;"Skip")*(DAY(AB219)='Recurring Items'!$F$18)*IFERROR(N('Recurring Items'!$D$18),0)+(IF(AC219=1,'Debt Tracker'!$P$16&gt;0.01,INDEX('Debt Tracker'!$T$5:$AE$29,12,AC219-1)&gt;0.01))*('Recurring Items'!$H$19&lt;&gt;"Skip")*(DAY(AB219)='Recurring Items'!$F$19)*IFERROR(N('Recurring Items'!$D$19),0)+(IF(AC219=1,'Debt Tracker'!$P$17&gt;0.01,INDEX('Debt Tracker'!$T$5:$AE$29,13,AC219-1)&gt;0.01))*('Recurring Items'!$H$20&lt;&gt;"Skip")*(DAY(AB219)='Recurring Items'!$F$20)*IFERROR(N('Recurring Items'!$D$20),0)+(IF(AC219=1,'Debt Tracker'!$P$18&gt;0.01,INDEX('Debt Tracker'!$T$5:$AE$29,14,AC219-1)&gt;0.01))*('Recurring Items'!$H$21&lt;&gt;"Skip")*(DAY(AB219)='Recurring Items'!$F$21)*IFERROR(N('Recurring Items'!$D$21),0)+(IF(AC219=1,'Debt Tracker'!$P$19&gt;0.01,INDEX('Debt Tracker'!$T$5:$AE$29,15,AC219-1)&gt;0.01))*('Recurring Items'!$H$22&lt;&gt;"Skip")*(DAY(AB219)='Recurring Items'!$F$22)*IFERROR(N('Recurring Items'!$D$22),0)+(IF(AC219=1,'Debt Tracker'!$P$20&gt;0.01,INDEX('Debt Tracker'!$T$5:$AE$29,16,AC219-1)&gt;0.01))*('Recurring Items'!$H$23&lt;&gt;"Skip")*(DAY(AB219)='Recurring Items'!$F$23)*IFERROR(N('Recurring Items'!$D$23),0)+(IF(AC219=1,'Debt Tracker'!$P$21&gt;0.01,INDEX('Debt Tracker'!$T$5:$AE$29,17,AC219-1)&gt;0.01))*('Recurring Items'!$H$24&lt;&gt;"Skip")*(DAY(AB219)='Recurring Items'!$F$24)*IFERROR(N('Recurring Items'!$D$24),0)+(IF(AC219=1,'Debt Tracker'!$P$22&gt;0.01,INDEX('Debt Tracker'!$T$5:$AE$29,18,AC219-1)&gt;0.01))*('Recurring Items'!$H$25&lt;&gt;"Skip")*(DAY(AB219)='Recurring Items'!$F$25)*IFERROR(N('Recurring Items'!$D$25),0)+(IF(AC219=1,'Debt Tracker'!$P$23&gt;0.01,INDEX('Debt Tracker'!$T$5:$AE$29,19,AC219-1)&gt;0.01))*('Recurring Items'!$H$26&lt;&gt;"Skip")*(DAY(AB219)='Recurring Items'!$F$26)*IFERROR(N('Recurring Items'!$D$26),0)+(IF(AC219=1,'Debt Tracker'!$P$24&gt;0.01,INDEX('Debt Tracker'!$T$5:$AE$29,20,AC219-1)&gt;0.01))*('Recurring Items'!$H$27&lt;&gt;"Skip")*(DAY(AB219)='Recurring Items'!$F$27)*IFERROR(N('Recurring Items'!$D$27),0)+(IF(AC219=1,'Debt Tracker'!$P$25&gt;0.01,INDEX('Debt Tracker'!$T$5:$AE$29,21,AC219-1)&gt;0.01))*('Recurring Items'!$H$28&lt;&gt;"Skip")*(DAY(AB219)='Recurring Items'!$F$28)*IFERROR(N('Recurring Items'!$D$28),0)+(IF(AC219=1,'Debt Tracker'!$P$26&gt;0.01,INDEX('Debt Tracker'!$T$5:$AE$29,22,AC219-1)&gt;0.01))*('Recurring Items'!$H$29&lt;&gt;"Skip")*(DAY(AB219)='Recurring Items'!$F$29)*IFERROR(N('Recurring Items'!$D$29),0)+(IF(AC219=1,'Debt Tracker'!$P$27&gt;0.01,INDEX('Debt Tracker'!$T$5:$AE$29,23,AC219-1)&gt;0.01))*('Recurring Items'!$H$30&lt;&gt;"Skip")*(DAY(AB219)='Recurring Items'!$F$30)*IFERROR(N('Recurring Items'!$D$30),0)+(IF(AC219=1,'Debt Tracker'!$P$28&gt;0.01,INDEX('Debt Tracker'!$T$5:$AE$29,24,AC219-1)&gt;0.01))*('Recurring Items'!$H$31&lt;&gt;"Skip")*(DAY(AB219)='Recurring Items'!$F$31)*IFERROR(N('Recurring Items'!$D$31),0)+(IF(AC219=1,'Debt Tracker'!$P$29&gt;0.01,INDEX('Debt Tracker'!$T$5:$AE$29,25,AC219-1)&gt;0.01))*('Recurring Items'!$H$32&lt;&gt;"Skip")*(DAY(AB219)='Recurring Items'!$F$32)*IFERROR(N('Recurring Items'!$D$32),0)</f>
        <v>207.23</v>
      </c>
      <c r="AG219" s="1" t="n">
        <f aca="false">AD219-AE219-AF219</f>
        <v>-207.23</v>
      </c>
      <c r="AH219" s="1" t="n">
        <f aca="false">AH218+AG219</f>
        <v>2571.91</v>
      </c>
    </row>
    <row r="220" customFormat="false" ht="15" hidden="false" customHeight="true" outlineLevel="0" collapsed="false">
      <c r="AA220" s="1" t="n">
        <v>20</v>
      </c>
      <c r="AB220" s="145" t="n">
        <f aca="false">$D$3+20</f>
        <v>46163</v>
      </c>
      <c r="AC220" s="1" t="n">
        <f aca="false">MIN(12,1+DATEDIF($D$3,AB220,"M"))</f>
        <v>1</v>
      </c>
      <c r="AD220" s="1" t="n">
        <f aca="false">SUMPRODUCT(('Recurring Items'!$C$6:$C$56="Income")*('Recurring Items'!$H$6:$H$56&lt;&gt;"Skip")*IFERROR(N('Recurring Items'!$D$6:$D$56),0)*(('Recurring Items'!$E$6:$E$56="Monthly")*(DAY(AB220)='Recurring Items'!$F$6:$F$56)+('Recurring Items'!$E$6:$E$56="Bi-weekly")*(WEEKDAY(AB220)=IFERROR(WEEKDAY('Recurring Items'!$G$6:$G$56),0))*(MOD(AB220-IFERROR('Recurring Items'!$G$6:$G$56,0),14)=0)*(AB220&gt;=IFERROR('Recurring Items'!$G$6:$G$56,9000000000))+('Recurring Items'!$E$6:$E$56="Weekly")*(WEEKDAY(AB220)=IFERROR(WEEKDAY('Recurring Items'!$G$6:$G$56),0))*(AB220&gt;=IFERROR('Recurring Items'!$G$6:$G$56,9000000000))+('Recurring Items'!$E$6:$E$56="One-time")*(AB220='Recurring Items'!$G$6:$G$56)))</f>
        <v>2274.42</v>
      </c>
      <c r="AE220" s="1" t="n">
        <f aca="false">SUMPRODUCT(('Recurring Items'!$C$6:$C$56="Expense")*('Recurring Items'!$H$6:$H$56&lt;&gt;"Skip")*IFERROR(N('Recurring Items'!$D$6:$D$56),0)*(('Recurring Items'!$E$6:$E$56="Monthly")*(DAY(AB220)='Recurring Items'!$F$6:$F$56)+('Recurring Items'!$E$6:$E$56="Bi-weekly")*(WEEKDAY(AB220)=IFERROR(WEEKDAY('Recurring Items'!$G$6:$G$56),0))*(MOD(AB220-IFERROR('Recurring Items'!$G$6:$G$56,0),14)=0)*(AB220&gt;=IFERROR('Recurring Items'!$G$6:$G$56,9000000000))+('Recurring Items'!$E$6:$E$56="Weekly")*(WEEKDAY(AB220)=IFERROR(WEEKDAY('Recurring Items'!$G$6:$G$56),0))*(AB220&gt;=IFERROR('Recurring Items'!$G$6:$G$56,9000000000))+('Recurring Items'!$E$6:$E$56="One-time")*(AB220='Recurring Items'!$G$6:$G$56)))</f>
        <v>241</v>
      </c>
      <c r="AF220" s="1" t="n">
        <f aca="false">(IF(AC220=1,'Debt Tracker'!$P$5&gt;0.01,INDEX('Debt Tracker'!$T$5:$AE$29,1,AC220-1)&gt;0.01))*('Recurring Items'!$H$8&lt;&gt;"Skip")*(DAY(AB220)='Recurring Items'!$F$8)*IFERROR(N('Recurring Items'!$D$8),0)+(IF(AC220=1,'Debt Tracker'!$P$6&gt;0.01,INDEX('Debt Tracker'!$T$5:$AE$29,2,AC220-1)&gt;0.01))*('Recurring Items'!$H$9&lt;&gt;"Skip")*(DAY(AB220)='Recurring Items'!$F$9)*IFERROR(N('Recurring Items'!$D$9),0)+(IF(AC220=1,'Debt Tracker'!$P$7&gt;0.01,INDEX('Debt Tracker'!$T$5:$AE$29,3,AC220-1)&gt;0.01))*('Recurring Items'!$H$10&lt;&gt;"Skip")*(DAY(AB220)='Recurring Items'!$F$10)*IFERROR(N('Recurring Items'!$D$10),0)+(IF(AC220=1,'Debt Tracker'!$P$8&gt;0.01,INDEX('Debt Tracker'!$T$5:$AE$29,4,AC220-1)&gt;0.01))*('Recurring Items'!$H$11&lt;&gt;"Skip")*(DAY(AB220)='Recurring Items'!$F$11)*IFERROR(N('Recurring Items'!$D$11),0)+(IF(AC220=1,'Debt Tracker'!$P$9&gt;0.01,INDEX('Debt Tracker'!$T$5:$AE$29,5,AC220-1)&gt;0.01))*('Recurring Items'!$H$12&lt;&gt;"Skip")*(DAY(AB220)='Recurring Items'!$F$12)*IFERROR(N('Recurring Items'!$D$12),0)+(IF(AC220=1,'Debt Tracker'!$P$10&gt;0.01,INDEX('Debt Tracker'!$T$5:$AE$29,6,AC220-1)&gt;0.01))*('Recurring Items'!$H$13&lt;&gt;"Skip")*(DAY(AB220)='Recurring Items'!$F$13)*IFERROR(N('Recurring Items'!$D$13),0)+(IF(AC220=1,'Debt Tracker'!$P$11&gt;0.01,INDEX('Debt Tracker'!$T$5:$AE$29,7,AC220-1)&gt;0.01))*('Recurring Items'!$H$14&lt;&gt;"Skip")*(DAY(AB220)='Recurring Items'!$F$14)*IFERROR(N('Recurring Items'!$D$14),0)+(IF(AC220=1,'Debt Tracker'!$P$12&gt;0.01,INDEX('Debt Tracker'!$T$5:$AE$29,8,AC220-1)&gt;0.01))*('Recurring Items'!$H$15&lt;&gt;"Skip")*(DAY(AB220)='Recurring Items'!$F$15)*IFERROR(N('Recurring Items'!$D$15),0)+(IF(AC220=1,'Debt Tracker'!$P$13&gt;0.01,INDEX('Debt Tracker'!$T$5:$AE$29,9,AC220-1)&gt;0.01))*('Recurring Items'!$H$16&lt;&gt;"Skip")*(DAY(AB220)='Recurring Items'!$F$16)*IFERROR(N('Recurring Items'!$D$16),0)+(IF(AC220=1,'Debt Tracker'!$P$14&gt;0.01,INDEX('Debt Tracker'!$T$5:$AE$29,10,AC220-1)&gt;0.01))*('Recurring Items'!$H$17&lt;&gt;"Skip")*(DAY(AB220)='Recurring Items'!$F$17)*IFERROR(N('Recurring Items'!$D$17),0)+(IF(AC220=1,'Debt Tracker'!$P$15&gt;0.01,INDEX('Debt Tracker'!$T$5:$AE$29,11,AC220-1)&gt;0.01))*('Recurring Items'!$H$18&lt;&gt;"Skip")*(DAY(AB220)='Recurring Items'!$F$18)*IFERROR(N('Recurring Items'!$D$18),0)+(IF(AC220=1,'Debt Tracker'!$P$16&gt;0.01,INDEX('Debt Tracker'!$T$5:$AE$29,12,AC220-1)&gt;0.01))*('Recurring Items'!$H$19&lt;&gt;"Skip")*(DAY(AB220)='Recurring Items'!$F$19)*IFERROR(N('Recurring Items'!$D$19),0)+(IF(AC220=1,'Debt Tracker'!$P$17&gt;0.01,INDEX('Debt Tracker'!$T$5:$AE$29,13,AC220-1)&gt;0.01))*('Recurring Items'!$H$20&lt;&gt;"Skip")*(DAY(AB220)='Recurring Items'!$F$20)*IFERROR(N('Recurring Items'!$D$20),0)+(IF(AC220=1,'Debt Tracker'!$P$18&gt;0.01,INDEX('Debt Tracker'!$T$5:$AE$29,14,AC220-1)&gt;0.01))*('Recurring Items'!$H$21&lt;&gt;"Skip")*(DAY(AB220)='Recurring Items'!$F$21)*IFERROR(N('Recurring Items'!$D$21),0)+(IF(AC220=1,'Debt Tracker'!$P$19&gt;0.01,INDEX('Debt Tracker'!$T$5:$AE$29,15,AC220-1)&gt;0.01))*('Recurring Items'!$H$22&lt;&gt;"Skip")*(DAY(AB220)='Recurring Items'!$F$22)*IFERROR(N('Recurring Items'!$D$22),0)+(IF(AC220=1,'Debt Tracker'!$P$20&gt;0.01,INDEX('Debt Tracker'!$T$5:$AE$29,16,AC220-1)&gt;0.01))*('Recurring Items'!$H$23&lt;&gt;"Skip")*(DAY(AB220)='Recurring Items'!$F$23)*IFERROR(N('Recurring Items'!$D$23),0)+(IF(AC220=1,'Debt Tracker'!$P$21&gt;0.01,INDEX('Debt Tracker'!$T$5:$AE$29,17,AC220-1)&gt;0.01))*('Recurring Items'!$H$24&lt;&gt;"Skip")*(DAY(AB220)='Recurring Items'!$F$24)*IFERROR(N('Recurring Items'!$D$24),0)+(IF(AC220=1,'Debt Tracker'!$P$22&gt;0.01,INDEX('Debt Tracker'!$T$5:$AE$29,18,AC220-1)&gt;0.01))*('Recurring Items'!$H$25&lt;&gt;"Skip")*(DAY(AB220)='Recurring Items'!$F$25)*IFERROR(N('Recurring Items'!$D$25),0)+(IF(AC220=1,'Debt Tracker'!$P$23&gt;0.01,INDEX('Debt Tracker'!$T$5:$AE$29,19,AC220-1)&gt;0.01))*('Recurring Items'!$H$26&lt;&gt;"Skip")*(DAY(AB220)='Recurring Items'!$F$26)*IFERROR(N('Recurring Items'!$D$26),0)+(IF(AC220=1,'Debt Tracker'!$P$24&gt;0.01,INDEX('Debt Tracker'!$T$5:$AE$29,20,AC220-1)&gt;0.01))*('Recurring Items'!$H$27&lt;&gt;"Skip")*(DAY(AB220)='Recurring Items'!$F$27)*IFERROR(N('Recurring Items'!$D$27),0)+(IF(AC220=1,'Debt Tracker'!$P$25&gt;0.01,INDEX('Debt Tracker'!$T$5:$AE$29,21,AC220-1)&gt;0.01))*('Recurring Items'!$H$28&lt;&gt;"Skip")*(DAY(AB220)='Recurring Items'!$F$28)*IFERROR(N('Recurring Items'!$D$28),0)+(IF(AC220=1,'Debt Tracker'!$P$26&gt;0.01,INDEX('Debt Tracker'!$T$5:$AE$29,22,AC220-1)&gt;0.01))*('Recurring Items'!$H$29&lt;&gt;"Skip")*(DAY(AB220)='Recurring Items'!$F$29)*IFERROR(N('Recurring Items'!$D$29),0)+(IF(AC220=1,'Debt Tracker'!$P$27&gt;0.01,INDEX('Debt Tracker'!$T$5:$AE$29,23,AC220-1)&gt;0.01))*('Recurring Items'!$H$30&lt;&gt;"Skip")*(DAY(AB220)='Recurring Items'!$F$30)*IFERROR(N('Recurring Items'!$D$30),0)+(IF(AC220=1,'Debt Tracker'!$P$28&gt;0.01,INDEX('Debt Tracker'!$T$5:$AE$29,24,AC220-1)&gt;0.01))*('Recurring Items'!$H$31&lt;&gt;"Skip")*(DAY(AB220)='Recurring Items'!$F$31)*IFERROR(N('Recurring Items'!$D$31),0)+(IF(AC220=1,'Debt Tracker'!$P$29&gt;0.01,INDEX('Debt Tracker'!$T$5:$AE$29,25,AC220-1)&gt;0.01))*('Recurring Items'!$H$32&lt;&gt;"Skip")*(DAY(AB220)='Recurring Items'!$F$32)*IFERROR(N('Recurring Items'!$D$32),0)</f>
        <v>80</v>
      </c>
      <c r="AG220" s="1" t="n">
        <f aca="false">AD220-AE220-AF220</f>
        <v>1953.42</v>
      </c>
      <c r="AH220" s="1" t="n">
        <f aca="false">AH219+AG220</f>
        <v>4525.33</v>
      </c>
    </row>
    <row r="221" customFormat="false" ht="15" hidden="false" customHeight="true" outlineLevel="0" collapsed="false">
      <c r="AA221" s="1" t="n">
        <v>21</v>
      </c>
      <c r="AB221" s="145" t="n">
        <f aca="false">$D$3+21</f>
        <v>46164</v>
      </c>
      <c r="AC221" s="1" t="n">
        <f aca="false">MIN(12,1+DATEDIF($D$3,AB221,"M"))</f>
        <v>1</v>
      </c>
      <c r="AD221" s="1" t="n">
        <f aca="false">SUMPRODUCT(('Recurring Items'!$C$6:$C$56="Income")*('Recurring Items'!$H$6:$H$56&lt;&gt;"Skip")*IFERROR(N('Recurring Items'!$D$6:$D$56),0)*(('Recurring Items'!$E$6:$E$56="Monthly")*(DAY(AB221)='Recurring Items'!$F$6:$F$56)+('Recurring Items'!$E$6:$E$56="Bi-weekly")*(WEEKDAY(AB221)=IFERROR(WEEKDAY('Recurring Items'!$G$6:$G$56),0))*(MOD(AB221-IFERROR('Recurring Items'!$G$6:$G$56,0),14)=0)*(AB221&gt;=IFERROR('Recurring Items'!$G$6:$G$56,9000000000))+('Recurring Items'!$E$6:$E$56="Weekly")*(WEEKDAY(AB221)=IFERROR(WEEKDAY('Recurring Items'!$G$6:$G$56),0))*(AB221&gt;=IFERROR('Recurring Items'!$G$6:$G$56,9000000000))+('Recurring Items'!$E$6:$E$56="One-time")*(AB221='Recurring Items'!$G$6:$G$56)))</f>
        <v>0</v>
      </c>
      <c r="AE221" s="1" t="n">
        <f aca="false">SUMPRODUCT(('Recurring Items'!$C$6:$C$56="Expense")*('Recurring Items'!$H$6:$H$56&lt;&gt;"Skip")*IFERROR(N('Recurring Items'!$D$6:$D$56),0)*(('Recurring Items'!$E$6:$E$56="Monthly")*(DAY(AB221)='Recurring Items'!$F$6:$F$56)+('Recurring Items'!$E$6:$E$56="Bi-weekly")*(WEEKDAY(AB221)=IFERROR(WEEKDAY('Recurring Items'!$G$6:$G$56),0))*(MOD(AB221-IFERROR('Recurring Items'!$G$6:$G$56,0),14)=0)*(AB221&gt;=IFERROR('Recurring Items'!$G$6:$G$56,9000000000))+('Recurring Items'!$E$6:$E$56="Weekly")*(WEEKDAY(AB221)=IFERROR(WEEKDAY('Recurring Items'!$G$6:$G$56),0))*(AB221&gt;=IFERROR('Recurring Items'!$G$6:$G$56,9000000000))+('Recurring Items'!$E$6:$E$56="One-time")*(AB221='Recurring Items'!$G$6:$G$56)))</f>
        <v>460</v>
      </c>
      <c r="AF221" s="1" t="n">
        <f aca="false">(IF(AC221=1,'Debt Tracker'!$P$5&gt;0.01,INDEX('Debt Tracker'!$T$5:$AE$29,1,AC221-1)&gt;0.01))*('Recurring Items'!$H$8&lt;&gt;"Skip")*(DAY(AB221)='Recurring Items'!$F$8)*IFERROR(N('Recurring Items'!$D$8),0)+(IF(AC221=1,'Debt Tracker'!$P$6&gt;0.01,INDEX('Debt Tracker'!$T$5:$AE$29,2,AC221-1)&gt;0.01))*('Recurring Items'!$H$9&lt;&gt;"Skip")*(DAY(AB221)='Recurring Items'!$F$9)*IFERROR(N('Recurring Items'!$D$9),0)+(IF(AC221=1,'Debt Tracker'!$P$7&gt;0.01,INDEX('Debt Tracker'!$T$5:$AE$29,3,AC221-1)&gt;0.01))*('Recurring Items'!$H$10&lt;&gt;"Skip")*(DAY(AB221)='Recurring Items'!$F$10)*IFERROR(N('Recurring Items'!$D$10),0)+(IF(AC221=1,'Debt Tracker'!$P$8&gt;0.01,INDEX('Debt Tracker'!$T$5:$AE$29,4,AC221-1)&gt;0.01))*('Recurring Items'!$H$11&lt;&gt;"Skip")*(DAY(AB221)='Recurring Items'!$F$11)*IFERROR(N('Recurring Items'!$D$11),0)+(IF(AC221=1,'Debt Tracker'!$P$9&gt;0.01,INDEX('Debt Tracker'!$T$5:$AE$29,5,AC221-1)&gt;0.01))*('Recurring Items'!$H$12&lt;&gt;"Skip")*(DAY(AB221)='Recurring Items'!$F$12)*IFERROR(N('Recurring Items'!$D$12),0)+(IF(AC221=1,'Debt Tracker'!$P$10&gt;0.01,INDEX('Debt Tracker'!$T$5:$AE$29,6,AC221-1)&gt;0.01))*('Recurring Items'!$H$13&lt;&gt;"Skip")*(DAY(AB221)='Recurring Items'!$F$13)*IFERROR(N('Recurring Items'!$D$13),0)+(IF(AC221=1,'Debt Tracker'!$P$11&gt;0.01,INDEX('Debt Tracker'!$T$5:$AE$29,7,AC221-1)&gt;0.01))*('Recurring Items'!$H$14&lt;&gt;"Skip")*(DAY(AB221)='Recurring Items'!$F$14)*IFERROR(N('Recurring Items'!$D$14),0)+(IF(AC221=1,'Debt Tracker'!$P$12&gt;0.01,INDEX('Debt Tracker'!$T$5:$AE$29,8,AC221-1)&gt;0.01))*('Recurring Items'!$H$15&lt;&gt;"Skip")*(DAY(AB221)='Recurring Items'!$F$15)*IFERROR(N('Recurring Items'!$D$15),0)+(IF(AC221=1,'Debt Tracker'!$P$13&gt;0.01,INDEX('Debt Tracker'!$T$5:$AE$29,9,AC221-1)&gt;0.01))*('Recurring Items'!$H$16&lt;&gt;"Skip")*(DAY(AB221)='Recurring Items'!$F$16)*IFERROR(N('Recurring Items'!$D$16),0)+(IF(AC221=1,'Debt Tracker'!$P$14&gt;0.01,INDEX('Debt Tracker'!$T$5:$AE$29,10,AC221-1)&gt;0.01))*('Recurring Items'!$H$17&lt;&gt;"Skip")*(DAY(AB221)='Recurring Items'!$F$17)*IFERROR(N('Recurring Items'!$D$17),0)+(IF(AC221=1,'Debt Tracker'!$P$15&gt;0.01,INDEX('Debt Tracker'!$T$5:$AE$29,11,AC221-1)&gt;0.01))*('Recurring Items'!$H$18&lt;&gt;"Skip")*(DAY(AB221)='Recurring Items'!$F$18)*IFERROR(N('Recurring Items'!$D$18),0)+(IF(AC221=1,'Debt Tracker'!$P$16&gt;0.01,INDEX('Debt Tracker'!$T$5:$AE$29,12,AC221-1)&gt;0.01))*('Recurring Items'!$H$19&lt;&gt;"Skip")*(DAY(AB221)='Recurring Items'!$F$19)*IFERROR(N('Recurring Items'!$D$19),0)+(IF(AC221=1,'Debt Tracker'!$P$17&gt;0.01,INDEX('Debt Tracker'!$T$5:$AE$29,13,AC221-1)&gt;0.01))*('Recurring Items'!$H$20&lt;&gt;"Skip")*(DAY(AB221)='Recurring Items'!$F$20)*IFERROR(N('Recurring Items'!$D$20),0)+(IF(AC221=1,'Debt Tracker'!$P$18&gt;0.01,INDEX('Debt Tracker'!$T$5:$AE$29,14,AC221-1)&gt;0.01))*('Recurring Items'!$H$21&lt;&gt;"Skip")*(DAY(AB221)='Recurring Items'!$F$21)*IFERROR(N('Recurring Items'!$D$21),0)+(IF(AC221=1,'Debt Tracker'!$P$19&gt;0.01,INDEX('Debt Tracker'!$T$5:$AE$29,15,AC221-1)&gt;0.01))*('Recurring Items'!$H$22&lt;&gt;"Skip")*(DAY(AB221)='Recurring Items'!$F$22)*IFERROR(N('Recurring Items'!$D$22),0)+(IF(AC221=1,'Debt Tracker'!$P$20&gt;0.01,INDEX('Debt Tracker'!$T$5:$AE$29,16,AC221-1)&gt;0.01))*('Recurring Items'!$H$23&lt;&gt;"Skip")*(DAY(AB221)='Recurring Items'!$F$23)*IFERROR(N('Recurring Items'!$D$23),0)+(IF(AC221=1,'Debt Tracker'!$P$21&gt;0.01,INDEX('Debt Tracker'!$T$5:$AE$29,17,AC221-1)&gt;0.01))*('Recurring Items'!$H$24&lt;&gt;"Skip")*(DAY(AB221)='Recurring Items'!$F$24)*IFERROR(N('Recurring Items'!$D$24),0)+(IF(AC221=1,'Debt Tracker'!$P$22&gt;0.01,INDEX('Debt Tracker'!$T$5:$AE$29,18,AC221-1)&gt;0.01))*('Recurring Items'!$H$25&lt;&gt;"Skip")*(DAY(AB221)='Recurring Items'!$F$25)*IFERROR(N('Recurring Items'!$D$25),0)+(IF(AC221=1,'Debt Tracker'!$P$23&gt;0.01,INDEX('Debt Tracker'!$T$5:$AE$29,19,AC221-1)&gt;0.01))*('Recurring Items'!$H$26&lt;&gt;"Skip")*(DAY(AB221)='Recurring Items'!$F$26)*IFERROR(N('Recurring Items'!$D$26),0)+(IF(AC221=1,'Debt Tracker'!$P$24&gt;0.01,INDEX('Debt Tracker'!$T$5:$AE$29,20,AC221-1)&gt;0.01))*('Recurring Items'!$H$27&lt;&gt;"Skip")*(DAY(AB221)='Recurring Items'!$F$27)*IFERROR(N('Recurring Items'!$D$27),0)+(IF(AC221=1,'Debt Tracker'!$P$25&gt;0.01,INDEX('Debt Tracker'!$T$5:$AE$29,21,AC221-1)&gt;0.01))*('Recurring Items'!$H$28&lt;&gt;"Skip")*(DAY(AB221)='Recurring Items'!$F$28)*IFERROR(N('Recurring Items'!$D$28),0)+(IF(AC221=1,'Debt Tracker'!$P$26&gt;0.01,INDEX('Debt Tracker'!$T$5:$AE$29,22,AC221-1)&gt;0.01))*('Recurring Items'!$H$29&lt;&gt;"Skip")*(DAY(AB221)='Recurring Items'!$F$29)*IFERROR(N('Recurring Items'!$D$29),0)+(IF(AC221=1,'Debt Tracker'!$P$27&gt;0.01,INDEX('Debt Tracker'!$T$5:$AE$29,23,AC221-1)&gt;0.01))*('Recurring Items'!$H$30&lt;&gt;"Skip")*(DAY(AB221)='Recurring Items'!$F$30)*IFERROR(N('Recurring Items'!$D$30),0)+(IF(AC221=1,'Debt Tracker'!$P$28&gt;0.01,INDEX('Debt Tracker'!$T$5:$AE$29,24,AC221-1)&gt;0.01))*('Recurring Items'!$H$31&lt;&gt;"Skip")*(DAY(AB221)='Recurring Items'!$F$31)*IFERROR(N('Recurring Items'!$D$31),0)+(IF(AC221=1,'Debt Tracker'!$P$29&gt;0.01,INDEX('Debt Tracker'!$T$5:$AE$29,25,AC221-1)&gt;0.01))*('Recurring Items'!$H$32&lt;&gt;"Skip")*(DAY(AB221)='Recurring Items'!$F$32)*IFERROR(N('Recurring Items'!$D$32),0)</f>
        <v>0</v>
      </c>
      <c r="AG221" s="1" t="n">
        <f aca="false">AD221-AE221-AF221</f>
        <v>-460</v>
      </c>
      <c r="AH221" s="1" t="n">
        <f aca="false">AH220+AG221</f>
        <v>4065.33</v>
      </c>
    </row>
    <row r="222" customFormat="false" ht="15" hidden="false" customHeight="true" outlineLevel="0" collapsed="false">
      <c r="AA222" s="1" t="n">
        <v>22</v>
      </c>
      <c r="AB222" s="145" t="n">
        <f aca="false">$D$3+22</f>
        <v>46165</v>
      </c>
      <c r="AC222" s="1" t="n">
        <f aca="false">MIN(12,1+DATEDIF($D$3,AB222,"M"))</f>
        <v>1</v>
      </c>
      <c r="AD222" s="1" t="n">
        <f aca="false">SUMPRODUCT(('Recurring Items'!$C$6:$C$56="Income")*('Recurring Items'!$H$6:$H$56&lt;&gt;"Skip")*IFERROR(N('Recurring Items'!$D$6:$D$56),0)*(('Recurring Items'!$E$6:$E$56="Monthly")*(DAY(AB222)='Recurring Items'!$F$6:$F$56)+('Recurring Items'!$E$6:$E$56="Bi-weekly")*(WEEKDAY(AB222)=IFERROR(WEEKDAY('Recurring Items'!$G$6:$G$56),0))*(MOD(AB222-IFERROR('Recurring Items'!$G$6:$G$56,0),14)=0)*(AB222&gt;=IFERROR('Recurring Items'!$G$6:$G$56,9000000000))+('Recurring Items'!$E$6:$E$56="Weekly")*(WEEKDAY(AB222)=IFERROR(WEEKDAY('Recurring Items'!$G$6:$G$56),0))*(AB222&gt;=IFERROR('Recurring Items'!$G$6:$G$56,9000000000))+('Recurring Items'!$E$6:$E$56="One-time")*(AB222='Recurring Items'!$G$6:$G$56)))</f>
        <v>0</v>
      </c>
      <c r="AE222" s="1" t="n">
        <f aca="false">SUMPRODUCT(('Recurring Items'!$C$6:$C$56="Expense")*('Recurring Items'!$H$6:$H$56&lt;&gt;"Skip")*IFERROR(N('Recurring Items'!$D$6:$D$56),0)*(('Recurring Items'!$E$6:$E$56="Monthly")*(DAY(AB222)='Recurring Items'!$F$6:$F$56)+('Recurring Items'!$E$6:$E$56="Bi-weekly")*(WEEKDAY(AB222)=IFERROR(WEEKDAY('Recurring Items'!$G$6:$G$56),0))*(MOD(AB222-IFERROR('Recurring Items'!$G$6:$G$56,0),14)=0)*(AB222&gt;=IFERROR('Recurring Items'!$G$6:$G$56,9000000000))+('Recurring Items'!$E$6:$E$56="Weekly")*(WEEKDAY(AB222)=IFERROR(WEEKDAY('Recurring Items'!$G$6:$G$56),0))*(AB222&gt;=IFERROR('Recurring Items'!$G$6:$G$56,9000000000))+('Recurring Items'!$E$6:$E$56="One-time")*(AB222='Recurring Items'!$G$6:$G$56)))</f>
        <v>0</v>
      </c>
      <c r="AF222" s="1" t="n">
        <f aca="false">(IF(AC222=1,'Debt Tracker'!$P$5&gt;0.01,INDEX('Debt Tracker'!$T$5:$AE$29,1,AC222-1)&gt;0.01))*('Recurring Items'!$H$8&lt;&gt;"Skip")*(DAY(AB222)='Recurring Items'!$F$8)*IFERROR(N('Recurring Items'!$D$8),0)+(IF(AC222=1,'Debt Tracker'!$P$6&gt;0.01,INDEX('Debt Tracker'!$T$5:$AE$29,2,AC222-1)&gt;0.01))*('Recurring Items'!$H$9&lt;&gt;"Skip")*(DAY(AB222)='Recurring Items'!$F$9)*IFERROR(N('Recurring Items'!$D$9),0)+(IF(AC222=1,'Debt Tracker'!$P$7&gt;0.01,INDEX('Debt Tracker'!$T$5:$AE$29,3,AC222-1)&gt;0.01))*('Recurring Items'!$H$10&lt;&gt;"Skip")*(DAY(AB222)='Recurring Items'!$F$10)*IFERROR(N('Recurring Items'!$D$10),0)+(IF(AC222=1,'Debt Tracker'!$P$8&gt;0.01,INDEX('Debt Tracker'!$T$5:$AE$29,4,AC222-1)&gt;0.01))*('Recurring Items'!$H$11&lt;&gt;"Skip")*(DAY(AB222)='Recurring Items'!$F$11)*IFERROR(N('Recurring Items'!$D$11),0)+(IF(AC222=1,'Debt Tracker'!$P$9&gt;0.01,INDEX('Debt Tracker'!$T$5:$AE$29,5,AC222-1)&gt;0.01))*('Recurring Items'!$H$12&lt;&gt;"Skip")*(DAY(AB222)='Recurring Items'!$F$12)*IFERROR(N('Recurring Items'!$D$12),0)+(IF(AC222=1,'Debt Tracker'!$P$10&gt;0.01,INDEX('Debt Tracker'!$T$5:$AE$29,6,AC222-1)&gt;0.01))*('Recurring Items'!$H$13&lt;&gt;"Skip")*(DAY(AB222)='Recurring Items'!$F$13)*IFERROR(N('Recurring Items'!$D$13),0)+(IF(AC222=1,'Debt Tracker'!$P$11&gt;0.01,INDEX('Debt Tracker'!$T$5:$AE$29,7,AC222-1)&gt;0.01))*('Recurring Items'!$H$14&lt;&gt;"Skip")*(DAY(AB222)='Recurring Items'!$F$14)*IFERROR(N('Recurring Items'!$D$14),0)+(IF(AC222=1,'Debt Tracker'!$P$12&gt;0.01,INDEX('Debt Tracker'!$T$5:$AE$29,8,AC222-1)&gt;0.01))*('Recurring Items'!$H$15&lt;&gt;"Skip")*(DAY(AB222)='Recurring Items'!$F$15)*IFERROR(N('Recurring Items'!$D$15),0)+(IF(AC222=1,'Debt Tracker'!$P$13&gt;0.01,INDEX('Debt Tracker'!$T$5:$AE$29,9,AC222-1)&gt;0.01))*('Recurring Items'!$H$16&lt;&gt;"Skip")*(DAY(AB222)='Recurring Items'!$F$16)*IFERROR(N('Recurring Items'!$D$16),0)+(IF(AC222=1,'Debt Tracker'!$P$14&gt;0.01,INDEX('Debt Tracker'!$T$5:$AE$29,10,AC222-1)&gt;0.01))*('Recurring Items'!$H$17&lt;&gt;"Skip")*(DAY(AB222)='Recurring Items'!$F$17)*IFERROR(N('Recurring Items'!$D$17),0)+(IF(AC222=1,'Debt Tracker'!$P$15&gt;0.01,INDEX('Debt Tracker'!$T$5:$AE$29,11,AC222-1)&gt;0.01))*('Recurring Items'!$H$18&lt;&gt;"Skip")*(DAY(AB222)='Recurring Items'!$F$18)*IFERROR(N('Recurring Items'!$D$18),0)+(IF(AC222=1,'Debt Tracker'!$P$16&gt;0.01,INDEX('Debt Tracker'!$T$5:$AE$29,12,AC222-1)&gt;0.01))*('Recurring Items'!$H$19&lt;&gt;"Skip")*(DAY(AB222)='Recurring Items'!$F$19)*IFERROR(N('Recurring Items'!$D$19),0)+(IF(AC222=1,'Debt Tracker'!$P$17&gt;0.01,INDEX('Debt Tracker'!$T$5:$AE$29,13,AC222-1)&gt;0.01))*('Recurring Items'!$H$20&lt;&gt;"Skip")*(DAY(AB222)='Recurring Items'!$F$20)*IFERROR(N('Recurring Items'!$D$20),0)+(IF(AC222=1,'Debt Tracker'!$P$18&gt;0.01,INDEX('Debt Tracker'!$T$5:$AE$29,14,AC222-1)&gt;0.01))*('Recurring Items'!$H$21&lt;&gt;"Skip")*(DAY(AB222)='Recurring Items'!$F$21)*IFERROR(N('Recurring Items'!$D$21),0)+(IF(AC222=1,'Debt Tracker'!$P$19&gt;0.01,INDEX('Debt Tracker'!$T$5:$AE$29,15,AC222-1)&gt;0.01))*('Recurring Items'!$H$22&lt;&gt;"Skip")*(DAY(AB222)='Recurring Items'!$F$22)*IFERROR(N('Recurring Items'!$D$22),0)+(IF(AC222=1,'Debt Tracker'!$P$20&gt;0.01,INDEX('Debt Tracker'!$T$5:$AE$29,16,AC222-1)&gt;0.01))*('Recurring Items'!$H$23&lt;&gt;"Skip")*(DAY(AB222)='Recurring Items'!$F$23)*IFERROR(N('Recurring Items'!$D$23),0)+(IF(AC222=1,'Debt Tracker'!$P$21&gt;0.01,INDEX('Debt Tracker'!$T$5:$AE$29,17,AC222-1)&gt;0.01))*('Recurring Items'!$H$24&lt;&gt;"Skip")*(DAY(AB222)='Recurring Items'!$F$24)*IFERROR(N('Recurring Items'!$D$24),0)+(IF(AC222=1,'Debt Tracker'!$P$22&gt;0.01,INDEX('Debt Tracker'!$T$5:$AE$29,18,AC222-1)&gt;0.01))*('Recurring Items'!$H$25&lt;&gt;"Skip")*(DAY(AB222)='Recurring Items'!$F$25)*IFERROR(N('Recurring Items'!$D$25),0)+(IF(AC222=1,'Debt Tracker'!$P$23&gt;0.01,INDEX('Debt Tracker'!$T$5:$AE$29,19,AC222-1)&gt;0.01))*('Recurring Items'!$H$26&lt;&gt;"Skip")*(DAY(AB222)='Recurring Items'!$F$26)*IFERROR(N('Recurring Items'!$D$26),0)+(IF(AC222=1,'Debt Tracker'!$P$24&gt;0.01,INDEX('Debt Tracker'!$T$5:$AE$29,20,AC222-1)&gt;0.01))*('Recurring Items'!$H$27&lt;&gt;"Skip")*(DAY(AB222)='Recurring Items'!$F$27)*IFERROR(N('Recurring Items'!$D$27),0)+(IF(AC222=1,'Debt Tracker'!$P$25&gt;0.01,INDEX('Debt Tracker'!$T$5:$AE$29,21,AC222-1)&gt;0.01))*('Recurring Items'!$H$28&lt;&gt;"Skip")*(DAY(AB222)='Recurring Items'!$F$28)*IFERROR(N('Recurring Items'!$D$28),0)+(IF(AC222=1,'Debt Tracker'!$P$26&gt;0.01,INDEX('Debt Tracker'!$T$5:$AE$29,22,AC222-1)&gt;0.01))*('Recurring Items'!$H$29&lt;&gt;"Skip")*(DAY(AB222)='Recurring Items'!$F$29)*IFERROR(N('Recurring Items'!$D$29),0)+(IF(AC222=1,'Debt Tracker'!$P$27&gt;0.01,INDEX('Debt Tracker'!$T$5:$AE$29,23,AC222-1)&gt;0.01))*('Recurring Items'!$H$30&lt;&gt;"Skip")*(DAY(AB222)='Recurring Items'!$F$30)*IFERROR(N('Recurring Items'!$D$30),0)+(IF(AC222=1,'Debt Tracker'!$P$28&gt;0.01,INDEX('Debt Tracker'!$T$5:$AE$29,24,AC222-1)&gt;0.01))*('Recurring Items'!$H$31&lt;&gt;"Skip")*(DAY(AB222)='Recurring Items'!$F$31)*IFERROR(N('Recurring Items'!$D$31),0)+(IF(AC222=1,'Debt Tracker'!$P$29&gt;0.01,INDEX('Debt Tracker'!$T$5:$AE$29,25,AC222-1)&gt;0.01))*('Recurring Items'!$H$32&lt;&gt;"Skip")*(DAY(AB222)='Recurring Items'!$F$32)*IFERROR(N('Recurring Items'!$D$32),0)</f>
        <v>0</v>
      </c>
      <c r="AG222" s="1" t="n">
        <f aca="false">AD222-AE222-AF222</f>
        <v>0</v>
      </c>
      <c r="AH222" s="1" t="n">
        <f aca="false">AH221+AG222</f>
        <v>4065.33</v>
      </c>
    </row>
    <row r="223" customFormat="false" ht="15" hidden="false" customHeight="true" outlineLevel="0" collapsed="false">
      <c r="AA223" s="1" t="n">
        <v>23</v>
      </c>
      <c r="AB223" s="145" t="n">
        <f aca="false">$D$3+23</f>
        <v>46166</v>
      </c>
      <c r="AC223" s="1" t="n">
        <f aca="false">MIN(12,1+DATEDIF($D$3,AB223,"M"))</f>
        <v>1</v>
      </c>
      <c r="AD223" s="1" t="n">
        <f aca="false">SUMPRODUCT(('Recurring Items'!$C$6:$C$56="Income")*('Recurring Items'!$H$6:$H$56&lt;&gt;"Skip")*IFERROR(N('Recurring Items'!$D$6:$D$56),0)*(('Recurring Items'!$E$6:$E$56="Monthly")*(DAY(AB223)='Recurring Items'!$F$6:$F$56)+('Recurring Items'!$E$6:$E$56="Bi-weekly")*(WEEKDAY(AB223)=IFERROR(WEEKDAY('Recurring Items'!$G$6:$G$56),0))*(MOD(AB223-IFERROR('Recurring Items'!$G$6:$G$56,0),14)=0)*(AB223&gt;=IFERROR('Recurring Items'!$G$6:$G$56,9000000000))+('Recurring Items'!$E$6:$E$56="Weekly")*(WEEKDAY(AB223)=IFERROR(WEEKDAY('Recurring Items'!$G$6:$G$56),0))*(AB223&gt;=IFERROR('Recurring Items'!$G$6:$G$56,9000000000))+('Recurring Items'!$E$6:$E$56="One-time")*(AB223='Recurring Items'!$G$6:$G$56)))</f>
        <v>0</v>
      </c>
      <c r="AE223" s="1" t="n">
        <f aca="false">SUMPRODUCT(('Recurring Items'!$C$6:$C$56="Expense")*('Recurring Items'!$H$6:$H$56&lt;&gt;"Skip")*IFERROR(N('Recurring Items'!$D$6:$D$56),0)*(('Recurring Items'!$E$6:$E$56="Monthly")*(DAY(AB223)='Recurring Items'!$F$6:$F$56)+('Recurring Items'!$E$6:$E$56="Bi-weekly")*(WEEKDAY(AB223)=IFERROR(WEEKDAY('Recurring Items'!$G$6:$G$56),0))*(MOD(AB223-IFERROR('Recurring Items'!$G$6:$G$56,0),14)=0)*(AB223&gt;=IFERROR('Recurring Items'!$G$6:$G$56,9000000000))+('Recurring Items'!$E$6:$E$56="Weekly")*(WEEKDAY(AB223)=IFERROR(WEEKDAY('Recurring Items'!$G$6:$G$56),0))*(AB223&gt;=IFERROR('Recurring Items'!$G$6:$G$56,9000000000))+('Recurring Items'!$E$6:$E$56="One-time")*(AB223='Recurring Items'!$G$6:$G$56)))</f>
        <v>101.02</v>
      </c>
      <c r="AF223" s="1" t="n">
        <f aca="false">(IF(AC223=1,'Debt Tracker'!$P$5&gt;0.01,INDEX('Debt Tracker'!$T$5:$AE$29,1,AC223-1)&gt;0.01))*('Recurring Items'!$H$8&lt;&gt;"Skip")*(DAY(AB223)='Recurring Items'!$F$8)*IFERROR(N('Recurring Items'!$D$8),0)+(IF(AC223=1,'Debt Tracker'!$P$6&gt;0.01,INDEX('Debt Tracker'!$T$5:$AE$29,2,AC223-1)&gt;0.01))*('Recurring Items'!$H$9&lt;&gt;"Skip")*(DAY(AB223)='Recurring Items'!$F$9)*IFERROR(N('Recurring Items'!$D$9),0)+(IF(AC223=1,'Debt Tracker'!$P$7&gt;0.01,INDEX('Debt Tracker'!$T$5:$AE$29,3,AC223-1)&gt;0.01))*('Recurring Items'!$H$10&lt;&gt;"Skip")*(DAY(AB223)='Recurring Items'!$F$10)*IFERROR(N('Recurring Items'!$D$10),0)+(IF(AC223=1,'Debt Tracker'!$P$8&gt;0.01,INDEX('Debt Tracker'!$T$5:$AE$29,4,AC223-1)&gt;0.01))*('Recurring Items'!$H$11&lt;&gt;"Skip")*(DAY(AB223)='Recurring Items'!$F$11)*IFERROR(N('Recurring Items'!$D$11),0)+(IF(AC223=1,'Debt Tracker'!$P$9&gt;0.01,INDEX('Debt Tracker'!$T$5:$AE$29,5,AC223-1)&gt;0.01))*('Recurring Items'!$H$12&lt;&gt;"Skip")*(DAY(AB223)='Recurring Items'!$F$12)*IFERROR(N('Recurring Items'!$D$12),0)+(IF(AC223=1,'Debt Tracker'!$P$10&gt;0.01,INDEX('Debt Tracker'!$T$5:$AE$29,6,AC223-1)&gt;0.01))*('Recurring Items'!$H$13&lt;&gt;"Skip")*(DAY(AB223)='Recurring Items'!$F$13)*IFERROR(N('Recurring Items'!$D$13),0)+(IF(AC223=1,'Debt Tracker'!$P$11&gt;0.01,INDEX('Debt Tracker'!$T$5:$AE$29,7,AC223-1)&gt;0.01))*('Recurring Items'!$H$14&lt;&gt;"Skip")*(DAY(AB223)='Recurring Items'!$F$14)*IFERROR(N('Recurring Items'!$D$14),0)+(IF(AC223=1,'Debt Tracker'!$P$12&gt;0.01,INDEX('Debt Tracker'!$T$5:$AE$29,8,AC223-1)&gt;0.01))*('Recurring Items'!$H$15&lt;&gt;"Skip")*(DAY(AB223)='Recurring Items'!$F$15)*IFERROR(N('Recurring Items'!$D$15),0)+(IF(AC223=1,'Debt Tracker'!$P$13&gt;0.01,INDEX('Debt Tracker'!$T$5:$AE$29,9,AC223-1)&gt;0.01))*('Recurring Items'!$H$16&lt;&gt;"Skip")*(DAY(AB223)='Recurring Items'!$F$16)*IFERROR(N('Recurring Items'!$D$16),0)+(IF(AC223=1,'Debt Tracker'!$P$14&gt;0.01,INDEX('Debt Tracker'!$T$5:$AE$29,10,AC223-1)&gt;0.01))*('Recurring Items'!$H$17&lt;&gt;"Skip")*(DAY(AB223)='Recurring Items'!$F$17)*IFERROR(N('Recurring Items'!$D$17),0)+(IF(AC223=1,'Debt Tracker'!$P$15&gt;0.01,INDEX('Debt Tracker'!$T$5:$AE$29,11,AC223-1)&gt;0.01))*('Recurring Items'!$H$18&lt;&gt;"Skip")*(DAY(AB223)='Recurring Items'!$F$18)*IFERROR(N('Recurring Items'!$D$18),0)+(IF(AC223=1,'Debt Tracker'!$P$16&gt;0.01,INDEX('Debt Tracker'!$T$5:$AE$29,12,AC223-1)&gt;0.01))*('Recurring Items'!$H$19&lt;&gt;"Skip")*(DAY(AB223)='Recurring Items'!$F$19)*IFERROR(N('Recurring Items'!$D$19),0)+(IF(AC223=1,'Debt Tracker'!$P$17&gt;0.01,INDEX('Debt Tracker'!$T$5:$AE$29,13,AC223-1)&gt;0.01))*('Recurring Items'!$H$20&lt;&gt;"Skip")*(DAY(AB223)='Recurring Items'!$F$20)*IFERROR(N('Recurring Items'!$D$20),0)+(IF(AC223=1,'Debt Tracker'!$P$18&gt;0.01,INDEX('Debt Tracker'!$T$5:$AE$29,14,AC223-1)&gt;0.01))*('Recurring Items'!$H$21&lt;&gt;"Skip")*(DAY(AB223)='Recurring Items'!$F$21)*IFERROR(N('Recurring Items'!$D$21),0)+(IF(AC223=1,'Debt Tracker'!$P$19&gt;0.01,INDEX('Debt Tracker'!$T$5:$AE$29,15,AC223-1)&gt;0.01))*('Recurring Items'!$H$22&lt;&gt;"Skip")*(DAY(AB223)='Recurring Items'!$F$22)*IFERROR(N('Recurring Items'!$D$22),0)+(IF(AC223=1,'Debt Tracker'!$P$20&gt;0.01,INDEX('Debt Tracker'!$T$5:$AE$29,16,AC223-1)&gt;0.01))*('Recurring Items'!$H$23&lt;&gt;"Skip")*(DAY(AB223)='Recurring Items'!$F$23)*IFERROR(N('Recurring Items'!$D$23),0)+(IF(AC223=1,'Debt Tracker'!$P$21&gt;0.01,INDEX('Debt Tracker'!$T$5:$AE$29,17,AC223-1)&gt;0.01))*('Recurring Items'!$H$24&lt;&gt;"Skip")*(DAY(AB223)='Recurring Items'!$F$24)*IFERROR(N('Recurring Items'!$D$24),0)+(IF(AC223=1,'Debt Tracker'!$P$22&gt;0.01,INDEX('Debt Tracker'!$T$5:$AE$29,18,AC223-1)&gt;0.01))*('Recurring Items'!$H$25&lt;&gt;"Skip")*(DAY(AB223)='Recurring Items'!$F$25)*IFERROR(N('Recurring Items'!$D$25),0)+(IF(AC223=1,'Debt Tracker'!$P$23&gt;0.01,INDEX('Debt Tracker'!$T$5:$AE$29,19,AC223-1)&gt;0.01))*('Recurring Items'!$H$26&lt;&gt;"Skip")*(DAY(AB223)='Recurring Items'!$F$26)*IFERROR(N('Recurring Items'!$D$26),0)+(IF(AC223=1,'Debt Tracker'!$P$24&gt;0.01,INDEX('Debt Tracker'!$T$5:$AE$29,20,AC223-1)&gt;0.01))*('Recurring Items'!$H$27&lt;&gt;"Skip")*(DAY(AB223)='Recurring Items'!$F$27)*IFERROR(N('Recurring Items'!$D$27),0)+(IF(AC223=1,'Debt Tracker'!$P$25&gt;0.01,INDEX('Debt Tracker'!$T$5:$AE$29,21,AC223-1)&gt;0.01))*('Recurring Items'!$H$28&lt;&gt;"Skip")*(DAY(AB223)='Recurring Items'!$F$28)*IFERROR(N('Recurring Items'!$D$28),0)+(IF(AC223=1,'Debt Tracker'!$P$26&gt;0.01,INDEX('Debt Tracker'!$T$5:$AE$29,22,AC223-1)&gt;0.01))*('Recurring Items'!$H$29&lt;&gt;"Skip")*(DAY(AB223)='Recurring Items'!$F$29)*IFERROR(N('Recurring Items'!$D$29),0)+(IF(AC223=1,'Debt Tracker'!$P$27&gt;0.01,INDEX('Debt Tracker'!$T$5:$AE$29,23,AC223-1)&gt;0.01))*('Recurring Items'!$H$30&lt;&gt;"Skip")*(DAY(AB223)='Recurring Items'!$F$30)*IFERROR(N('Recurring Items'!$D$30),0)+(IF(AC223=1,'Debt Tracker'!$P$28&gt;0.01,INDEX('Debt Tracker'!$T$5:$AE$29,24,AC223-1)&gt;0.01))*('Recurring Items'!$H$31&lt;&gt;"Skip")*(DAY(AB223)='Recurring Items'!$F$31)*IFERROR(N('Recurring Items'!$D$31),0)+(IF(AC223=1,'Debt Tracker'!$P$29&gt;0.01,INDEX('Debt Tracker'!$T$5:$AE$29,25,AC223-1)&gt;0.01))*('Recurring Items'!$H$32&lt;&gt;"Skip")*(DAY(AB223)='Recurring Items'!$F$32)*IFERROR(N('Recurring Items'!$D$32),0)</f>
        <v>0</v>
      </c>
      <c r="AG223" s="1" t="n">
        <f aca="false">AD223-AE223-AF223</f>
        <v>-101.02</v>
      </c>
      <c r="AH223" s="1" t="n">
        <f aca="false">AH222+AG223</f>
        <v>3964.31</v>
      </c>
    </row>
    <row r="224" customFormat="false" ht="15" hidden="false" customHeight="true" outlineLevel="0" collapsed="false">
      <c r="AA224" s="1" t="n">
        <v>24</v>
      </c>
      <c r="AB224" s="145" t="n">
        <f aca="false">$D$3+24</f>
        <v>46167</v>
      </c>
      <c r="AC224" s="1" t="n">
        <f aca="false">MIN(12,1+DATEDIF($D$3,AB224,"M"))</f>
        <v>1</v>
      </c>
      <c r="AD224" s="1" t="n">
        <f aca="false">SUMPRODUCT(('Recurring Items'!$C$6:$C$56="Income")*('Recurring Items'!$H$6:$H$56&lt;&gt;"Skip")*IFERROR(N('Recurring Items'!$D$6:$D$56),0)*(('Recurring Items'!$E$6:$E$56="Monthly")*(DAY(AB224)='Recurring Items'!$F$6:$F$56)+('Recurring Items'!$E$6:$E$56="Bi-weekly")*(WEEKDAY(AB224)=IFERROR(WEEKDAY('Recurring Items'!$G$6:$G$56),0))*(MOD(AB224-IFERROR('Recurring Items'!$G$6:$G$56,0),14)=0)*(AB224&gt;=IFERROR('Recurring Items'!$G$6:$G$56,9000000000))+('Recurring Items'!$E$6:$E$56="Weekly")*(WEEKDAY(AB224)=IFERROR(WEEKDAY('Recurring Items'!$G$6:$G$56),0))*(AB224&gt;=IFERROR('Recurring Items'!$G$6:$G$56,9000000000))+('Recurring Items'!$E$6:$E$56="One-time")*(AB224='Recurring Items'!$G$6:$G$56)))</f>
        <v>0</v>
      </c>
      <c r="AE224" s="1" t="n">
        <f aca="false">SUMPRODUCT(('Recurring Items'!$C$6:$C$56="Expense")*('Recurring Items'!$H$6:$H$56&lt;&gt;"Skip")*IFERROR(N('Recurring Items'!$D$6:$D$56),0)*(('Recurring Items'!$E$6:$E$56="Monthly")*(DAY(AB224)='Recurring Items'!$F$6:$F$56)+('Recurring Items'!$E$6:$E$56="Bi-weekly")*(WEEKDAY(AB224)=IFERROR(WEEKDAY('Recurring Items'!$G$6:$G$56),0))*(MOD(AB224-IFERROR('Recurring Items'!$G$6:$G$56,0),14)=0)*(AB224&gt;=IFERROR('Recurring Items'!$G$6:$G$56,9000000000))+('Recurring Items'!$E$6:$E$56="Weekly")*(WEEKDAY(AB224)=IFERROR(WEEKDAY('Recurring Items'!$G$6:$G$56),0))*(AB224&gt;=IFERROR('Recurring Items'!$G$6:$G$56,9000000000))+('Recurring Items'!$E$6:$E$56="One-time")*(AB224='Recurring Items'!$G$6:$G$56)))</f>
        <v>0</v>
      </c>
      <c r="AF224" s="1" t="n">
        <f aca="false">(IF(AC224=1,'Debt Tracker'!$P$5&gt;0.01,INDEX('Debt Tracker'!$T$5:$AE$29,1,AC224-1)&gt;0.01))*('Recurring Items'!$H$8&lt;&gt;"Skip")*(DAY(AB224)='Recurring Items'!$F$8)*IFERROR(N('Recurring Items'!$D$8),0)+(IF(AC224=1,'Debt Tracker'!$P$6&gt;0.01,INDEX('Debt Tracker'!$T$5:$AE$29,2,AC224-1)&gt;0.01))*('Recurring Items'!$H$9&lt;&gt;"Skip")*(DAY(AB224)='Recurring Items'!$F$9)*IFERROR(N('Recurring Items'!$D$9),0)+(IF(AC224=1,'Debt Tracker'!$P$7&gt;0.01,INDEX('Debt Tracker'!$T$5:$AE$29,3,AC224-1)&gt;0.01))*('Recurring Items'!$H$10&lt;&gt;"Skip")*(DAY(AB224)='Recurring Items'!$F$10)*IFERROR(N('Recurring Items'!$D$10),0)+(IF(AC224=1,'Debt Tracker'!$P$8&gt;0.01,INDEX('Debt Tracker'!$T$5:$AE$29,4,AC224-1)&gt;0.01))*('Recurring Items'!$H$11&lt;&gt;"Skip")*(DAY(AB224)='Recurring Items'!$F$11)*IFERROR(N('Recurring Items'!$D$11),0)+(IF(AC224=1,'Debt Tracker'!$P$9&gt;0.01,INDEX('Debt Tracker'!$T$5:$AE$29,5,AC224-1)&gt;0.01))*('Recurring Items'!$H$12&lt;&gt;"Skip")*(DAY(AB224)='Recurring Items'!$F$12)*IFERROR(N('Recurring Items'!$D$12),0)+(IF(AC224=1,'Debt Tracker'!$P$10&gt;0.01,INDEX('Debt Tracker'!$T$5:$AE$29,6,AC224-1)&gt;0.01))*('Recurring Items'!$H$13&lt;&gt;"Skip")*(DAY(AB224)='Recurring Items'!$F$13)*IFERROR(N('Recurring Items'!$D$13),0)+(IF(AC224=1,'Debt Tracker'!$P$11&gt;0.01,INDEX('Debt Tracker'!$T$5:$AE$29,7,AC224-1)&gt;0.01))*('Recurring Items'!$H$14&lt;&gt;"Skip")*(DAY(AB224)='Recurring Items'!$F$14)*IFERROR(N('Recurring Items'!$D$14),0)+(IF(AC224=1,'Debt Tracker'!$P$12&gt;0.01,INDEX('Debt Tracker'!$T$5:$AE$29,8,AC224-1)&gt;0.01))*('Recurring Items'!$H$15&lt;&gt;"Skip")*(DAY(AB224)='Recurring Items'!$F$15)*IFERROR(N('Recurring Items'!$D$15),0)+(IF(AC224=1,'Debt Tracker'!$P$13&gt;0.01,INDEX('Debt Tracker'!$T$5:$AE$29,9,AC224-1)&gt;0.01))*('Recurring Items'!$H$16&lt;&gt;"Skip")*(DAY(AB224)='Recurring Items'!$F$16)*IFERROR(N('Recurring Items'!$D$16),0)+(IF(AC224=1,'Debt Tracker'!$P$14&gt;0.01,INDEX('Debt Tracker'!$T$5:$AE$29,10,AC224-1)&gt;0.01))*('Recurring Items'!$H$17&lt;&gt;"Skip")*(DAY(AB224)='Recurring Items'!$F$17)*IFERROR(N('Recurring Items'!$D$17),0)+(IF(AC224=1,'Debt Tracker'!$P$15&gt;0.01,INDEX('Debt Tracker'!$T$5:$AE$29,11,AC224-1)&gt;0.01))*('Recurring Items'!$H$18&lt;&gt;"Skip")*(DAY(AB224)='Recurring Items'!$F$18)*IFERROR(N('Recurring Items'!$D$18),0)+(IF(AC224=1,'Debt Tracker'!$P$16&gt;0.01,INDEX('Debt Tracker'!$T$5:$AE$29,12,AC224-1)&gt;0.01))*('Recurring Items'!$H$19&lt;&gt;"Skip")*(DAY(AB224)='Recurring Items'!$F$19)*IFERROR(N('Recurring Items'!$D$19),0)+(IF(AC224=1,'Debt Tracker'!$P$17&gt;0.01,INDEX('Debt Tracker'!$T$5:$AE$29,13,AC224-1)&gt;0.01))*('Recurring Items'!$H$20&lt;&gt;"Skip")*(DAY(AB224)='Recurring Items'!$F$20)*IFERROR(N('Recurring Items'!$D$20),0)+(IF(AC224=1,'Debt Tracker'!$P$18&gt;0.01,INDEX('Debt Tracker'!$T$5:$AE$29,14,AC224-1)&gt;0.01))*('Recurring Items'!$H$21&lt;&gt;"Skip")*(DAY(AB224)='Recurring Items'!$F$21)*IFERROR(N('Recurring Items'!$D$21),0)+(IF(AC224=1,'Debt Tracker'!$P$19&gt;0.01,INDEX('Debt Tracker'!$T$5:$AE$29,15,AC224-1)&gt;0.01))*('Recurring Items'!$H$22&lt;&gt;"Skip")*(DAY(AB224)='Recurring Items'!$F$22)*IFERROR(N('Recurring Items'!$D$22),0)+(IF(AC224=1,'Debt Tracker'!$P$20&gt;0.01,INDEX('Debt Tracker'!$T$5:$AE$29,16,AC224-1)&gt;0.01))*('Recurring Items'!$H$23&lt;&gt;"Skip")*(DAY(AB224)='Recurring Items'!$F$23)*IFERROR(N('Recurring Items'!$D$23),0)+(IF(AC224=1,'Debt Tracker'!$P$21&gt;0.01,INDEX('Debt Tracker'!$T$5:$AE$29,17,AC224-1)&gt;0.01))*('Recurring Items'!$H$24&lt;&gt;"Skip")*(DAY(AB224)='Recurring Items'!$F$24)*IFERROR(N('Recurring Items'!$D$24),0)+(IF(AC224=1,'Debt Tracker'!$P$22&gt;0.01,INDEX('Debt Tracker'!$T$5:$AE$29,18,AC224-1)&gt;0.01))*('Recurring Items'!$H$25&lt;&gt;"Skip")*(DAY(AB224)='Recurring Items'!$F$25)*IFERROR(N('Recurring Items'!$D$25),0)+(IF(AC224=1,'Debt Tracker'!$P$23&gt;0.01,INDEX('Debt Tracker'!$T$5:$AE$29,19,AC224-1)&gt;0.01))*('Recurring Items'!$H$26&lt;&gt;"Skip")*(DAY(AB224)='Recurring Items'!$F$26)*IFERROR(N('Recurring Items'!$D$26),0)+(IF(AC224=1,'Debt Tracker'!$P$24&gt;0.01,INDEX('Debt Tracker'!$T$5:$AE$29,20,AC224-1)&gt;0.01))*('Recurring Items'!$H$27&lt;&gt;"Skip")*(DAY(AB224)='Recurring Items'!$F$27)*IFERROR(N('Recurring Items'!$D$27),0)+(IF(AC224=1,'Debt Tracker'!$P$25&gt;0.01,INDEX('Debt Tracker'!$T$5:$AE$29,21,AC224-1)&gt;0.01))*('Recurring Items'!$H$28&lt;&gt;"Skip")*(DAY(AB224)='Recurring Items'!$F$28)*IFERROR(N('Recurring Items'!$D$28),0)+(IF(AC224=1,'Debt Tracker'!$P$26&gt;0.01,INDEX('Debt Tracker'!$T$5:$AE$29,22,AC224-1)&gt;0.01))*('Recurring Items'!$H$29&lt;&gt;"Skip")*(DAY(AB224)='Recurring Items'!$F$29)*IFERROR(N('Recurring Items'!$D$29),0)+(IF(AC224=1,'Debt Tracker'!$P$27&gt;0.01,INDEX('Debt Tracker'!$T$5:$AE$29,23,AC224-1)&gt;0.01))*('Recurring Items'!$H$30&lt;&gt;"Skip")*(DAY(AB224)='Recurring Items'!$F$30)*IFERROR(N('Recurring Items'!$D$30),0)+(IF(AC224=1,'Debt Tracker'!$P$28&gt;0.01,INDEX('Debt Tracker'!$T$5:$AE$29,24,AC224-1)&gt;0.01))*('Recurring Items'!$H$31&lt;&gt;"Skip")*(DAY(AB224)='Recurring Items'!$F$31)*IFERROR(N('Recurring Items'!$D$31),0)+(IF(AC224=1,'Debt Tracker'!$P$29&gt;0.01,INDEX('Debt Tracker'!$T$5:$AE$29,25,AC224-1)&gt;0.01))*('Recurring Items'!$H$32&lt;&gt;"Skip")*(DAY(AB224)='Recurring Items'!$F$32)*IFERROR(N('Recurring Items'!$D$32),0)</f>
        <v>0</v>
      </c>
      <c r="AG224" s="1" t="n">
        <f aca="false">AD224-AE224-AF224</f>
        <v>0</v>
      </c>
      <c r="AH224" s="1" t="n">
        <f aca="false">AH223+AG224</f>
        <v>3964.31</v>
      </c>
    </row>
    <row r="225" customFormat="false" ht="15" hidden="false" customHeight="true" outlineLevel="0" collapsed="false">
      <c r="AA225" s="1" t="n">
        <v>25</v>
      </c>
      <c r="AB225" s="145" t="n">
        <f aca="false">$D$3+25</f>
        <v>46168</v>
      </c>
      <c r="AC225" s="1" t="n">
        <f aca="false">MIN(12,1+DATEDIF($D$3,AB225,"M"))</f>
        <v>1</v>
      </c>
      <c r="AD225" s="1" t="n">
        <f aca="false">SUMPRODUCT(('Recurring Items'!$C$6:$C$56="Income")*('Recurring Items'!$H$6:$H$56&lt;&gt;"Skip")*IFERROR(N('Recurring Items'!$D$6:$D$56),0)*(('Recurring Items'!$E$6:$E$56="Monthly")*(DAY(AB225)='Recurring Items'!$F$6:$F$56)+('Recurring Items'!$E$6:$E$56="Bi-weekly")*(WEEKDAY(AB225)=IFERROR(WEEKDAY('Recurring Items'!$G$6:$G$56),0))*(MOD(AB225-IFERROR('Recurring Items'!$G$6:$G$56,0),14)=0)*(AB225&gt;=IFERROR('Recurring Items'!$G$6:$G$56,9000000000))+('Recurring Items'!$E$6:$E$56="Weekly")*(WEEKDAY(AB225)=IFERROR(WEEKDAY('Recurring Items'!$G$6:$G$56),0))*(AB225&gt;=IFERROR('Recurring Items'!$G$6:$G$56,9000000000))+('Recurring Items'!$E$6:$E$56="One-time")*(AB225='Recurring Items'!$G$6:$G$56)))</f>
        <v>0</v>
      </c>
      <c r="AE225" s="1" t="n">
        <f aca="false">SUMPRODUCT(('Recurring Items'!$C$6:$C$56="Expense")*('Recurring Items'!$H$6:$H$56&lt;&gt;"Skip")*IFERROR(N('Recurring Items'!$D$6:$D$56),0)*(('Recurring Items'!$E$6:$E$56="Monthly")*(DAY(AB225)='Recurring Items'!$F$6:$F$56)+('Recurring Items'!$E$6:$E$56="Bi-weekly")*(WEEKDAY(AB225)=IFERROR(WEEKDAY('Recurring Items'!$G$6:$G$56),0))*(MOD(AB225-IFERROR('Recurring Items'!$G$6:$G$56,0),14)=0)*(AB225&gt;=IFERROR('Recurring Items'!$G$6:$G$56,9000000000))+('Recurring Items'!$E$6:$E$56="Weekly")*(WEEKDAY(AB225)=IFERROR(WEEKDAY('Recurring Items'!$G$6:$G$56),0))*(AB225&gt;=IFERROR('Recurring Items'!$G$6:$G$56,9000000000))+('Recurring Items'!$E$6:$E$56="One-time")*(AB225='Recurring Items'!$G$6:$G$56)))</f>
        <v>0</v>
      </c>
      <c r="AF225" s="1" t="n">
        <f aca="false">(IF(AC225=1,'Debt Tracker'!$P$5&gt;0.01,INDEX('Debt Tracker'!$T$5:$AE$29,1,AC225-1)&gt;0.01))*('Recurring Items'!$H$8&lt;&gt;"Skip")*(DAY(AB225)='Recurring Items'!$F$8)*IFERROR(N('Recurring Items'!$D$8),0)+(IF(AC225=1,'Debt Tracker'!$P$6&gt;0.01,INDEX('Debt Tracker'!$T$5:$AE$29,2,AC225-1)&gt;0.01))*('Recurring Items'!$H$9&lt;&gt;"Skip")*(DAY(AB225)='Recurring Items'!$F$9)*IFERROR(N('Recurring Items'!$D$9),0)+(IF(AC225=1,'Debt Tracker'!$P$7&gt;0.01,INDEX('Debt Tracker'!$T$5:$AE$29,3,AC225-1)&gt;0.01))*('Recurring Items'!$H$10&lt;&gt;"Skip")*(DAY(AB225)='Recurring Items'!$F$10)*IFERROR(N('Recurring Items'!$D$10),0)+(IF(AC225=1,'Debt Tracker'!$P$8&gt;0.01,INDEX('Debt Tracker'!$T$5:$AE$29,4,AC225-1)&gt;0.01))*('Recurring Items'!$H$11&lt;&gt;"Skip")*(DAY(AB225)='Recurring Items'!$F$11)*IFERROR(N('Recurring Items'!$D$11),0)+(IF(AC225=1,'Debt Tracker'!$P$9&gt;0.01,INDEX('Debt Tracker'!$T$5:$AE$29,5,AC225-1)&gt;0.01))*('Recurring Items'!$H$12&lt;&gt;"Skip")*(DAY(AB225)='Recurring Items'!$F$12)*IFERROR(N('Recurring Items'!$D$12),0)+(IF(AC225=1,'Debt Tracker'!$P$10&gt;0.01,INDEX('Debt Tracker'!$T$5:$AE$29,6,AC225-1)&gt;0.01))*('Recurring Items'!$H$13&lt;&gt;"Skip")*(DAY(AB225)='Recurring Items'!$F$13)*IFERROR(N('Recurring Items'!$D$13),0)+(IF(AC225=1,'Debt Tracker'!$P$11&gt;0.01,INDEX('Debt Tracker'!$T$5:$AE$29,7,AC225-1)&gt;0.01))*('Recurring Items'!$H$14&lt;&gt;"Skip")*(DAY(AB225)='Recurring Items'!$F$14)*IFERROR(N('Recurring Items'!$D$14),0)+(IF(AC225=1,'Debt Tracker'!$P$12&gt;0.01,INDEX('Debt Tracker'!$T$5:$AE$29,8,AC225-1)&gt;0.01))*('Recurring Items'!$H$15&lt;&gt;"Skip")*(DAY(AB225)='Recurring Items'!$F$15)*IFERROR(N('Recurring Items'!$D$15),0)+(IF(AC225=1,'Debt Tracker'!$P$13&gt;0.01,INDEX('Debt Tracker'!$T$5:$AE$29,9,AC225-1)&gt;0.01))*('Recurring Items'!$H$16&lt;&gt;"Skip")*(DAY(AB225)='Recurring Items'!$F$16)*IFERROR(N('Recurring Items'!$D$16),0)+(IF(AC225=1,'Debt Tracker'!$P$14&gt;0.01,INDEX('Debt Tracker'!$T$5:$AE$29,10,AC225-1)&gt;0.01))*('Recurring Items'!$H$17&lt;&gt;"Skip")*(DAY(AB225)='Recurring Items'!$F$17)*IFERROR(N('Recurring Items'!$D$17),0)+(IF(AC225=1,'Debt Tracker'!$P$15&gt;0.01,INDEX('Debt Tracker'!$T$5:$AE$29,11,AC225-1)&gt;0.01))*('Recurring Items'!$H$18&lt;&gt;"Skip")*(DAY(AB225)='Recurring Items'!$F$18)*IFERROR(N('Recurring Items'!$D$18),0)+(IF(AC225=1,'Debt Tracker'!$P$16&gt;0.01,INDEX('Debt Tracker'!$T$5:$AE$29,12,AC225-1)&gt;0.01))*('Recurring Items'!$H$19&lt;&gt;"Skip")*(DAY(AB225)='Recurring Items'!$F$19)*IFERROR(N('Recurring Items'!$D$19),0)+(IF(AC225=1,'Debt Tracker'!$P$17&gt;0.01,INDEX('Debt Tracker'!$T$5:$AE$29,13,AC225-1)&gt;0.01))*('Recurring Items'!$H$20&lt;&gt;"Skip")*(DAY(AB225)='Recurring Items'!$F$20)*IFERROR(N('Recurring Items'!$D$20),0)+(IF(AC225=1,'Debt Tracker'!$P$18&gt;0.01,INDEX('Debt Tracker'!$T$5:$AE$29,14,AC225-1)&gt;0.01))*('Recurring Items'!$H$21&lt;&gt;"Skip")*(DAY(AB225)='Recurring Items'!$F$21)*IFERROR(N('Recurring Items'!$D$21),0)+(IF(AC225=1,'Debt Tracker'!$P$19&gt;0.01,INDEX('Debt Tracker'!$T$5:$AE$29,15,AC225-1)&gt;0.01))*('Recurring Items'!$H$22&lt;&gt;"Skip")*(DAY(AB225)='Recurring Items'!$F$22)*IFERROR(N('Recurring Items'!$D$22),0)+(IF(AC225=1,'Debt Tracker'!$P$20&gt;0.01,INDEX('Debt Tracker'!$T$5:$AE$29,16,AC225-1)&gt;0.01))*('Recurring Items'!$H$23&lt;&gt;"Skip")*(DAY(AB225)='Recurring Items'!$F$23)*IFERROR(N('Recurring Items'!$D$23),0)+(IF(AC225=1,'Debt Tracker'!$P$21&gt;0.01,INDEX('Debt Tracker'!$T$5:$AE$29,17,AC225-1)&gt;0.01))*('Recurring Items'!$H$24&lt;&gt;"Skip")*(DAY(AB225)='Recurring Items'!$F$24)*IFERROR(N('Recurring Items'!$D$24),0)+(IF(AC225=1,'Debt Tracker'!$P$22&gt;0.01,INDEX('Debt Tracker'!$T$5:$AE$29,18,AC225-1)&gt;0.01))*('Recurring Items'!$H$25&lt;&gt;"Skip")*(DAY(AB225)='Recurring Items'!$F$25)*IFERROR(N('Recurring Items'!$D$25),0)+(IF(AC225=1,'Debt Tracker'!$P$23&gt;0.01,INDEX('Debt Tracker'!$T$5:$AE$29,19,AC225-1)&gt;0.01))*('Recurring Items'!$H$26&lt;&gt;"Skip")*(DAY(AB225)='Recurring Items'!$F$26)*IFERROR(N('Recurring Items'!$D$26),0)+(IF(AC225=1,'Debt Tracker'!$P$24&gt;0.01,INDEX('Debt Tracker'!$T$5:$AE$29,20,AC225-1)&gt;0.01))*('Recurring Items'!$H$27&lt;&gt;"Skip")*(DAY(AB225)='Recurring Items'!$F$27)*IFERROR(N('Recurring Items'!$D$27),0)+(IF(AC225=1,'Debt Tracker'!$P$25&gt;0.01,INDEX('Debt Tracker'!$T$5:$AE$29,21,AC225-1)&gt;0.01))*('Recurring Items'!$H$28&lt;&gt;"Skip")*(DAY(AB225)='Recurring Items'!$F$28)*IFERROR(N('Recurring Items'!$D$28),0)+(IF(AC225=1,'Debt Tracker'!$P$26&gt;0.01,INDEX('Debt Tracker'!$T$5:$AE$29,22,AC225-1)&gt;0.01))*('Recurring Items'!$H$29&lt;&gt;"Skip")*(DAY(AB225)='Recurring Items'!$F$29)*IFERROR(N('Recurring Items'!$D$29),0)+(IF(AC225=1,'Debt Tracker'!$P$27&gt;0.01,INDEX('Debt Tracker'!$T$5:$AE$29,23,AC225-1)&gt;0.01))*('Recurring Items'!$H$30&lt;&gt;"Skip")*(DAY(AB225)='Recurring Items'!$F$30)*IFERROR(N('Recurring Items'!$D$30),0)+(IF(AC225=1,'Debt Tracker'!$P$28&gt;0.01,INDEX('Debt Tracker'!$T$5:$AE$29,24,AC225-1)&gt;0.01))*('Recurring Items'!$H$31&lt;&gt;"Skip")*(DAY(AB225)='Recurring Items'!$F$31)*IFERROR(N('Recurring Items'!$D$31),0)+(IF(AC225=1,'Debt Tracker'!$P$29&gt;0.01,INDEX('Debt Tracker'!$T$5:$AE$29,25,AC225-1)&gt;0.01))*('Recurring Items'!$H$32&lt;&gt;"Skip")*(DAY(AB225)='Recurring Items'!$F$32)*IFERROR(N('Recurring Items'!$D$32),0)</f>
        <v>0</v>
      </c>
      <c r="AG225" s="1" t="n">
        <f aca="false">AD225-AE225-AF225</f>
        <v>0</v>
      </c>
      <c r="AH225" s="1" t="n">
        <f aca="false">AH224+AG225</f>
        <v>3964.31</v>
      </c>
    </row>
    <row r="226" customFormat="false" ht="15" hidden="false" customHeight="true" outlineLevel="0" collapsed="false">
      <c r="AA226" s="1" t="n">
        <v>26</v>
      </c>
      <c r="AB226" s="145" t="n">
        <f aca="false">$D$3+26</f>
        <v>46169</v>
      </c>
      <c r="AC226" s="1" t="n">
        <f aca="false">MIN(12,1+DATEDIF($D$3,AB226,"M"))</f>
        <v>1</v>
      </c>
      <c r="AD226" s="1" t="n">
        <f aca="false">SUMPRODUCT(('Recurring Items'!$C$6:$C$56="Income")*('Recurring Items'!$H$6:$H$56&lt;&gt;"Skip")*IFERROR(N('Recurring Items'!$D$6:$D$56),0)*(('Recurring Items'!$E$6:$E$56="Monthly")*(DAY(AB226)='Recurring Items'!$F$6:$F$56)+('Recurring Items'!$E$6:$E$56="Bi-weekly")*(WEEKDAY(AB226)=IFERROR(WEEKDAY('Recurring Items'!$G$6:$G$56),0))*(MOD(AB226-IFERROR('Recurring Items'!$G$6:$G$56,0),14)=0)*(AB226&gt;=IFERROR('Recurring Items'!$G$6:$G$56,9000000000))+('Recurring Items'!$E$6:$E$56="Weekly")*(WEEKDAY(AB226)=IFERROR(WEEKDAY('Recurring Items'!$G$6:$G$56),0))*(AB226&gt;=IFERROR('Recurring Items'!$G$6:$G$56,9000000000))+('Recurring Items'!$E$6:$E$56="One-time")*(AB226='Recurring Items'!$G$6:$G$56)))</f>
        <v>0</v>
      </c>
      <c r="AE226" s="1" t="n">
        <f aca="false">SUMPRODUCT(('Recurring Items'!$C$6:$C$56="Expense")*('Recurring Items'!$H$6:$H$56&lt;&gt;"Skip")*IFERROR(N('Recurring Items'!$D$6:$D$56),0)*(('Recurring Items'!$E$6:$E$56="Monthly")*(DAY(AB226)='Recurring Items'!$F$6:$F$56)+('Recurring Items'!$E$6:$E$56="Bi-weekly")*(WEEKDAY(AB226)=IFERROR(WEEKDAY('Recurring Items'!$G$6:$G$56),0))*(MOD(AB226-IFERROR('Recurring Items'!$G$6:$G$56,0),14)=0)*(AB226&gt;=IFERROR('Recurring Items'!$G$6:$G$56,9000000000))+('Recurring Items'!$E$6:$E$56="Weekly")*(WEEKDAY(AB226)=IFERROR(WEEKDAY('Recurring Items'!$G$6:$G$56),0))*(AB226&gt;=IFERROR('Recurring Items'!$G$6:$G$56,9000000000))+('Recurring Items'!$E$6:$E$56="One-time")*(AB226='Recurring Items'!$G$6:$G$56)))</f>
        <v>0</v>
      </c>
      <c r="AF226" s="1" t="n">
        <f aca="false">(IF(AC226=1,'Debt Tracker'!$P$5&gt;0.01,INDEX('Debt Tracker'!$T$5:$AE$29,1,AC226-1)&gt;0.01))*('Recurring Items'!$H$8&lt;&gt;"Skip")*(DAY(AB226)='Recurring Items'!$F$8)*IFERROR(N('Recurring Items'!$D$8),0)+(IF(AC226=1,'Debt Tracker'!$P$6&gt;0.01,INDEX('Debt Tracker'!$T$5:$AE$29,2,AC226-1)&gt;0.01))*('Recurring Items'!$H$9&lt;&gt;"Skip")*(DAY(AB226)='Recurring Items'!$F$9)*IFERROR(N('Recurring Items'!$D$9),0)+(IF(AC226=1,'Debt Tracker'!$P$7&gt;0.01,INDEX('Debt Tracker'!$T$5:$AE$29,3,AC226-1)&gt;0.01))*('Recurring Items'!$H$10&lt;&gt;"Skip")*(DAY(AB226)='Recurring Items'!$F$10)*IFERROR(N('Recurring Items'!$D$10),0)+(IF(AC226=1,'Debt Tracker'!$P$8&gt;0.01,INDEX('Debt Tracker'!$T$5:$AE$29,4,AC226-1)&gt;0.01))*('Recurring Items'!$H$11&lt;&gt;"Skip")*(DAY(AB226)='Recurring Items'!$F$11)*IFERROR(N('Recurring Items'!$D$11),0)+(IF(AC226=1,'Debt Tracker'!$P$9&gt;0.01,INDEX('Debt Tracker'!$T$5:$AE$29,5,AC226-1)&gt;0.01))*('Recurring Items'!$H$12&lt;&gt;"Skip")*(DAY(AB226)='Recurring Items'!$F$12)*IFERROR(N('Recurring Items'!$D$12),0)+(IF(AC226=1,'Debt Tracker'!$P$10&gt;0.01,INDEX('Debt Tracker'!$T$5:$AE$29,6,AC226-1)&gt;0.01))*('Recurring Items'!$H$13&lt;&gt;"Skip")*(DAY(AB226)='Recurring Items'!$F$13)*IFERROR(N('Recurring Items'!$D$13),0)+(IF(AC226=1,'Debt Tracker'!$P$11&gt;0.01,INDEX('Debt Tracker'!$T$5:$AE$29,7,AC226-1)&gt;0.01))*('Recurring Items'!$H$14&lt;&gt;"Skip")*(DAY(AB226)='Recurring Items'!$F$14)*IFERROR(N('Recurring Items'!$D$14),0)+(IF(AC226=1,'Debt Tracker'!$P$12&gt;0.01,INDEX('Debt Tracker'!$T$5:$AE$29,8,AC226-1)&gt;0.01))*('Recurring Items'!$H$15&lt;&gt;"Skip")*(DAY(AB226)='Recurring Items'!$F$15)*IFERROR(N('Recurring Items'!$D$15),0)+(IF(AC226=1,'Debt Tracker'!$P$13&gt;0.01,INDEX('Debt Tracker'!$T$5:$AE$29,9,AC226-1)&gt;0.01))*('Recurring Items'!$H$16&lt;&gt;"Skip")*(DAY(AB226)='Recurring Items'!$F$16)*IFERROR(N('Recurring Items'!$D$16),0)+(IF(AC226=1,'Debt Tracker'!$P$14&gt;0.01,INDEX('Debt Tracker'!$T$5:$AE$29,10,AC226-1)&gt;0.01))*('Recurring Items'!$H$17&lt;&gt;"Skip")*(DAY(AB226)='Recurring Items'!$F$17)*IFERROR(N('Recurring Items'!$D$17),0)+(IF(AC226=1,'Debt Tracker'!$P$15&gt;0.01,INDEX('Debt Tracker'!$T$5:$AE$29,11,AC226-1)&gt;0.01))*('Recurring Items'!$H$18&lt;&gt;"Skip")*(DAY(AB226)='Recurring Items'!$F$18)*IFERROR(N('Recurring Items'!$D$18),0)+(IF(AC226=1,'Debt Tracker'!$P$16&gt;0.01,INDEX('Debt Tracker'!$T$5:$AE$29,12,AC226-1)&gt;0.01))*('Recurring Items'!$H$19&lt;&gt;"Skip")*(DAY(AB226)='Recurring Items'!$F$19)*IFERROR(N('Recurring Items'!$D$19),0)+(IF(AC226=1,'Debt Tracker'!$P$17&gt;0.01,INDEX('Debt Tracker'!$T$5:$AE$29,13,AC226-1)&gt;0.01))*('Recurring Items'!$H$20&lt;&gt;"Skip")*(DAY(AB226)='Recurring Items'!$F$20)*IFERROR(N('Recurring Items'!$D$20),0)+(IF(AC226=1,'Debt Tracker'!$P$18&gt;0.01,INDEX('Debt Tracker'!$T$5:$AE$29,14,AC226-1)&gt;0.01))*('Recurring Items'!$H$21&lt;&gt;"Skip")*(DAY(AB226)='Recurring Items'!$F$21)*IFERROR(N('Recurring Items'!$D$21),0)+(IF(AC226=1,'Debt Tracker'!$P$19&gt;0.01,INDEX('Debt Tracker'!$T$5:$AE$29,15,AC226-1)&gt;0.01))*('Recurring Items'!$H$22&lt;&gt;"Skip")*(DAY(AB226)='Recurring Items'!$F$22)*IFERROR(N('Recurring Items'!$D$22),0)+(IF(AC226=1,'Debt Tracker'!$P$20&gt;0.01,INDEX('Debt Tracker'!$T$5:$AE$29,16,AC226-1)&gt;0.01))*('Recurring Items'!$H$23&lt;&gt;"Skip")*(DAY(AB226)='Recurring Items'!$F$23)*IFERROR(N('Recurring Items'!$D$23),0)+(IF(AC226=1,'Debt Tracker'!$P$21&gt;0.01,INDEX('Debt Tracker'!$T$5:$AE$29,17,AC226-1)&gt;0.01))*('Recurring Items'!$H$24&lt;&gt;"Skip")*(DAY(AB226)='Recurring Items'!$F$24)*IFERROR(N('Recurring Items'!$D$24),0)+(IF(AC226=1,'Debt Tracker'!$P$22&gt;0.01,INDEX('Debt Tracker'!$T$5:$AE$29,18,AC226-1)&gt;0.01))*('Recurring Items'!$H$25&lt;&gt;"Skip")*(DAY(AB226)='Recurring Items'!$F$25)*IFERROR(N('Recurring Items'!$D$25),0)+(IF(AC226=1,'Debt Tracker'!$P$23&gt;0.01,INDEX('Debt Tracker'!$T$5:$AE$29,19,AC226-1)&gt;0.01))*('Recurring Items'!$H$26&lt;&gt;"Skip")*(DAY(AB226)='Recurring Items'!$F$26)*IFERROR(N('Recurring Items'!$D$26),0)+(IF(AC226=1,'Debt Tracker'!$P$24&gt;0.01,INDEX('Debt Tracker'!$T$5:$AE$29,20,AC226-1)&gt;0.01))*('Recurring Items'!$H$27&lt;&gt;"Skip")*(DAY(AB226)='Recurring Items'!$F$27)*IFERROR(N('Recurring Items'!$D$27),0)+(IF(AC226=1,'Debt Tracker'!$P$25&gt;0.01,INDEX('Debt Tracker'!$T$5:$AE$29,21,AC226-1)&gt;0.01))*('Recurring Items'!$H$28&lt;&gt;"Skip")*(DAY(AB226)='Recurring Items'!$F$28)*IFERROR(N('Recurring Items'!$D$28),0)+(IF(AC226=1,'Debt Tracker'!$P$26&gt;0.01,INDEX('Debt Tracker'!$T$5:$AE$29,22,AC226-1)&gt;0.01))*('Recurring Items'!$H$29&lt;&gt;"Skip")*(DAY(AB226)='Recurring Items'!$F$29)*IFERROR(N('Recurring Items'!$D$29),0)+(IF(AC226=1,'Debt Tracker'!$P$27&gt;0.01,INDEX('Debt Tracker'!$T$5:$AE$29,23,AC226-1)&gt;0.01))*('Recurring Items'!$H$30&lt;&gt;"Skip")*(DAY(AB226)='Recurring Items'!$F$30)*IFERROR(N('Recurring Items'!$D$30),0)+(IF(AC226=1,'Debt Tracker'!$P$28&gt;0.01,INDEX('Debt Tracker'!$T$5:$AE$29,24,AC226-1)&gt;0.01))*('Recurring Items'!$H$31&lt;&gt;"Skip")*(DAY(AB226)='Recurring Items'!$F$31)*IFERROR(N('Recurring Items'!$D$31),0)+(IF(AC226=1,'Debt Tracker'!$P$29&gt;0.01,INDEX('Debt Tracker'!$T$5:$AE$29,25,AC226-1)&gt;0.01))*('Recurring Items'!$H$32&lt;&gt;"Skip")*(DAY(AB226)='Recurring Items'!$F$32)*IFERROR(N('Recurring Items'!$D$32),0)</f>
        <v>0</v>
      </c>
      <c r="AG226" s="1" t="n">
        <f aca="false">AD226-AE226-AF226</f>
        <v>0</v>
      </c>
      <c r="AH226" s="1" t="n">
        <f aca="false">AH225+AG226</f>
        <v>3964.31</v>
      </c>
    </row>
    <row r="227" customFormat="false" ht="15" hidden="false" customHeight="true" outlineLevel="0" collapsed="false">
      <c r="AA227" s="1" t="n">
        <v>27</v>
      </c>
      <c r="AB227" s="145" t="n">
        <f aca="false">$D$3+27</f>
        <v>46170</v>
      </c>
      <c r="AC227" s="1" t="n">
        <f aca="false">MIN(12,1+DATEDIF($D$3,AB227,"M"))</f>
        <v>1</v>
      </c>
      <c r="AD227" s="1" t="n">
        <f aca="false">SUMPRODUCT(('Recurring Items'!$C$6:$C$56="Income")*('Recurring Items'!$H$6:$H$56&lt;&gt;"Skip")*IFERROR(N('Recurring Items'!$D$6:$D$56),0)*(('Recurring Items'!$E$6:$E$56="Monthly")*(DAY(AB227)='Recurring Items'!$F$6:$F$56)+('Recurring Items'!$E$6:$E$56="Bi-weekly")*(WEEKDAY(AB227)=IFERROR(WEEKDAY('Recurring Items'!$G$6:$G$56),0))*(MOD(AB227-IFERROR('Recurring Items'!$G$6:$G$56,0),14)=0)*(AB227&gt;=IFERROR('Recurring Items'!$G$6:$G$56,9000000000))+('Recurring Items'!$E$6:$E$56="Weekly")*(WEEKDAY(AB227)=IFERROR(WEEKDAY('Recurring Items'!$G$6:$G$56),0))*(AB227&gt;=IFERROR('Recurring Items'!$G$6:$G$56,9000000000))+('Recurring Items'!$E$6:$E$56="One-time")*(AB227='Recurring Items'!$G$6:$G$56)))</f>
        <v>0</v>
      </c>
      <c r="AE227" s="1" t="n">
        <f aca="false">SUMPRODUCT(('Recurring Items'!$C$6:$C$56="Expense")*('Recurring Items'!$H$6:$H$56&lt;&gt;"Skip")*IFERROR(N('Recurring Items'!$D$6:$D$56),0)*(('Recurring Items'!$E$6:$E$56="Monthly")*(DAY(AB227)='Recurring Items'!$F$6:$F$56)+('Recurring Items'!$E$6:$E$56="Bi-weekly")*(WEEKDAY(AB227)=IFERROR(WEEKDAY('Recurring Items'!$G$6:$G$56),0))*(MOD(AB227-IFERROR('Recurring Items'!$G$6:$G$56,0),14)=0)*(AB227&gt;=IFERROR('Recurring Items'!$G$6:$G$56,9000000000))+('Recurring Items'!$E$6:$E$56="Weekly")*(WEEKDAY(AB227)=IFERROR(WEEKDAY('Recurring Items'!$G$6:$G$56),0))*(AB227&gt;=IFERROR('Recurring Items'!$G$6:$G$56,9000000000))+('Recurring Items'!$E$6:$E$56="One-time")*(AB227='Recurring Items'!$G$6:$G$56)))</f>
        <v>0</v>
      </c>
      <c r="AF227" s="1" t="n">
        <f aca="false">(IF(AC227=1,'Debt Tracker'!$P$5&gt;0.01,INDEX('Debt Tracker'!$T$5:$AE$29,1,AC227-1)&gt;0.01))*('Recurring Items'!$H$8&lt;&gt;"Skip")*(DAY(AB227)='Recurring Items'!$F$8)*IFERROR(N('Recurring Items'!$D$8),0)+(IF(AC227=1,'Debt Tracker'!$P$6&gt;0.01,INDEX('Debt Tracker'!$T$5:$AE$29,2,AC227-1)&gt;0.01))*('Recurring Items'!$H$9&lt;&gt;"Skip")*(DAY(AB227)='Recurring Items'!$F$9)*IFERROR(N('Recurring Items'!$D$9),0)+(IF(AC227=1,'Debt Tracker'!$P$7&gt;0.01,INDEX('Debt Tracker'!$T$5:$AE$29,3,AC227-1)&gt;0.01))*('Recurring Items'!$H$10&lt;&gt;"Skip")*(DAY(AB227)='Recurring Items'!$F$10)*IFERROR(N('Recurring Items'!$D$10),0)+(IF(AC227=1,'Debt Tracker'!$P$8&gt;0.01,INDEX('Debt Tracker'!$T$5:$AE$29,4,AC227-1)&gt;0.01))*('Recurring Items'!$H$11&lt;&gt;"Skip")*(DAY(AB227)='Recurring Items'!$F$11)*IFERROR(N('Recurring Items'!$D$11),0)+(IF(AC227=1,'Debt Tracker'!$P$9&gt;0.01,INDEX('Debt Tracker'!$T$5:$AE$29,5,AC227-1)&gt;0.01))*('Recurring Items'!$H$12&lt;&gt;"Skip")*(DAY(AB227)='Recurring Items'!$F$12)*IFERROR(N('Recurring Items'!$D$12),0)+(IF(AC227=1,'Debt Tracker'!$P$10&gt;0.01,INDEX('Debt Tracker'!$T$5:$AE$29,6,AC227-1)&gt;0.01))*('Recurring Items'!$H$13&lt;&gt;"Skip")*(DAY(AB227)='Recurring Items'!$F$13)*IFERROR(N('Recurring Items'!$D$13),0)+(IF(AC227=1,'Debt Tracker'!$P$11&gt;0.01,INDEX('Debt Tracker'!$T$5:$AE$29,7,AC227-1)&gt;0.01))*('Recurring Items'!$H$14&lt;&gt;"Skip")*(DAY(AB227)='Recurring Items'!$F$14)*IFERROR(N('Recurring Items'!$D$14),0)+(IF(AC227=1,'Debt Tracker'!$P$12&gt;0.01,INDEX('Debt Tracker'!$T$5:$AE$29,8,AC227-1)&gt;0.01))*('Recurring Items'!$H$15&lt;&gt;"Skip")*(DAY(AB227)='Recurring Items'!$F$15)*IFERROR(N('Recurring Items'!$D$15),0)+(IF(AC227=1,'Debt Tracker'!$P$13&gt;0.01,INDEX('Debt Tracker'!$T$5:$AE$29,9,AC227-1)&gt;0.01))*('Recurring Items'!$H$16&lt;&gt;"Skip")*(DAY(AB227)='Recurring Items'!$F$16)*IFERROR(N('Recurring Items'!$D$16),0)+(IF(AC227=1,'Debt Tracker'!$P$14&gt;0.01,INDEX('Debt Tracker'!$T$5:$AE$29,10,AC227-1)&gt;0.01))*('Recurring Items'!$H$17&lt;&gt;"Skip")*(DAY(AB227)='Recurring Items'!$F$17)*IFERROR(N('Recurring Items'!$D$17),0)+(IF(AC227=1,'Debt Tracker'!$P$15&gt;0.01,INDEX('Debt Tracker'!$T$5:$AE$29,11,AC227-1)&gt;0.01))*('Recurring Items'!$H$18&lt;&gt;"Skip")*(DAY(AB227)='Recurring Items'!$F$18)*IFERROR(N('Recurring Items'!$D$18),0)+(IF(AC227=1,'Debt Tracker'!$P$16&gt;0.01,INDEX('Debt Tracker'!$T$5:$AE$29,12,AC227-1)&gt;0.01))*('Recurring Items'!$H$19&lt;&gt;"Skip")*(DAY(AB227)='Recurring Items'!$F$19)*IFERROR(N('Recurring Items'!$D$19),0)+(IF(AC227=1,'Debt Tracker'!$P$17&gt;0.01,INDEX('Debt Tracker'!$T$5:$AE$29,13,AC227-1)&gt;0.01))*('Recurring Items'!$H$20&lt;&gt;"Skip")*(DAY(AB227)='Recurring Items'!$F$20)*IFERROR(N('Recurring Items'!$D$20),0)+(IF(AC227=1,'Debt Tracker'!$P$18&gt;0.01,INDEX('Debt Tracker'!$T$5:$AE$29,14,AC227-1)&gt;0.01))*('Recurring Items'!$H$21&lt;&gt;"Skip")*(DAY(AB227)='Recurring Items'!$F$21)*IFERROR(N('Recurring Items'!$D$21),0)+(IF(AC227=1,'Debt Tracker'!$P$19&gt;0.01,INDEX('Debt Tracker'!$T$5:$AE$29,15,AC227-1)&gt;0.01))*('Recurring Items'!$H$22&lt;&gt;"Skip")*(DAY(AB227)='Recurring Items'!$F$22)*IFERROR(N('Recurring Items'!$D$22),0)+(IF(AC227=1,'Debt Tracker'!$P$20&gt;0.01,INDEX('Debt Tracker'!$T$5:$AE$29,16,AC227-1)&gt;0.01))*('Recurring Items'!$H$23&lt;&gt;"Skip")*(DAY(AB227)='Recurring Items'!$F$23)*IFERROR(N('Recurring Items'!$D$23),0)+(IF(AC227=1,'Debt Tracker'!$P$21&gt;0.01,INDEX('Debt Tracker'!$T$5:$AE$29,17,AC227-1)&gt;0.01))*('Recurring Items'!$H$24&lt;&gt;"Skip")*(DAY(AB227)='Recurring Items'!$F$24)*IFERROR(N('Recurring Items'!$D$24),0)+(IF(AC227=1,'Debt Tracker'!$P$22&gt;0.01,INDEX('Debt Tracker'!$T$5:$AE$29,18,AC227-1)&gt;0.01))*('Recurring Items'!$H$25&lt;&gt;"Skip")*(DAY(AB227)='Recurring Items'!$F$25)*IFERROR(N('Recurring Items'!$D$25),0)+(IF(AC227=1,'Debt Tracker'!$P$23&gt;0.01,INDEX('Debt Tracker'!$T$5:$AE$29,19,AC227-1)&gt;0.01))*('Recurring Items'!$H$26&lt;&gt;"Skip")*(DAY(AB227)='Recurring Items'!$F$26)*IFERROR(N('Recurring Items'!$D$26),0)+(IF(AC227=1,'Debt Tracker'!$P$24&gt;0.01,INDEX('Debt Tracker'!$T$5:$AE$29,20,AC227-1)&gt;0.01))*('Recurring Items'!$H$27&lt;&gt;"Skip")*(DAY(AB227)='Recurring Items'!$F$27)*IFERROR(N('Recurring Items'!$D$27),0)+(IF(AC227=1,'Debt Tracker'!$P$25&gt;0.01,INDEX('Debt Tracker'!$T$5:$AE$29,21,AC227-1)&gt;0.01))*('Recurring Items'!$H$28&lt;&gt;"Skip")*(DAY(AB227)='Recurring Items'!$F$28)*IFERROR(N('Recurring Items'!$D$28),0)+(IF(AC227=1,'Debt Tracker'!$P$26&gt;0.01,INDEX('Debt Tracker'!$T$5:$AE$29,22,AC227-1)&gt;0.01))*('Recurring Items'!$H$29&lt;&gt;"Skip")*(DAY(AB227)='Recurring Items'!$F$29)*IFERROR(N('Recurring Items'!$D$29),0)+(IF(AC227=1,'Debt Tracker'!$P$27&gt;0.01,INDEX('Debt Tracker'!$T$5:$AE$29,23,AC227-1)&gt;0.01))*('Recurring Items'!$H$30&lt;&gt;"Skip")*(DAY(AB227)='Recurring Items'!$F$30)*IFERROR(N('Recurring Items'!$D$30),0)+(IF(AC227=1,'Debt Tracker'!$P$28&gt;0.01,INDEX('Debt Tracker'!$T$5:$AE$29,24,AC227-1)&gt;0.01))*('Recurring Items'!$H$31&lt;&gt;"Skip")*(DAY(AB227)='Recurring Items'!$F$31)*IFERROR(N('Recurring Items'!$D$31),0)+(IF(AC227=1,'Debt Tracker'!$P$29&gt;0.01,INDEX('Debt Tracker'!$T$5:$AE$29,25,AC227-1)&gt;0.01))*('Recurring Items'!$H$32&lt;&gt;"Skip")*(DAY(AB227)='Recurring Items'!$F$32)*IFERROR(N('Recurring Items'!$D$32),0)</f>
        <v>0</v>
      </c>
      <c r="AG227" s="1" t="n">
        <f aca="false">AD227-AE227-AF227</f>
        <v>0</v>
      </c>
      <c r="AH227" s="1" t="n">
        <f aca="false">AH226+AG227</f>
        <v>3964.31</v>
      </c>
    </row>
    <row r="228" customFormat="false" ht="15" hidden="false" customHeight="true" outlineLevel="0" collapsed="false">
      <c r="AA228" s="1" t="n">
        <v>28</v>
      </c>
      <c r="AB228" s="145" t="n">
        <f aca="false">$D$3+28</f>
        <v>46171</v>
      </c>
      <c r="AC228" s="1" t="n">
        <f aca="false">MIN(12,1+DATEDIF($D$3,AB228,"M"))</f>
        <v>1</v>
      </c>
      <c r="AD228" s="1" t="n">
        <f aca="false">SUMPRODUCT(('Recurring Items'!$C$6:$C$56="Income")*('Recurring Items'!$H$6:$H$56&lt;&gt;"Skip")*IFERROR(N('Recurring Items'!$D$6:$D$56),0)*(('Recurring Items'!$E$6:$E$56="Monthly")*(DAY(AB228)='Recurring Items'!$F$6:$F$56)+('Recurring Items'!$E$6:$E$56="Bi-weekly")*(WEEKDAY(AB228)=IFERROR(WEEKDAY('Recurring Items'!$G$6:$G$56),0))*(MOD(AB228-IFERROR('Recurring Items'!$G$6:$G$56,0),14)=0)*(AB228&gt;=IFERROR('Recurring Items'!$G$6:$G$56,9000000000))+('Recurring Items'!$E$6:$E$56="Weekly")*(WEEKDAY(AB228)=IFERROR(WEEKDAY('Recurring Items'!$G$6:$G$56),0))*(AB228&gt;=IFERROR('Recurring Items'!$G$6:$G$56,9000000000))+('Recurring Items'!$E$6:$E$56="One-time")*(AB228='Recurring Items'!$G$6:$G$56)))</f>
        <v>3819.79</v>
      </c>
      <c r="AE228" s="1" t="n">
        <f aca="false">SUMPRODUCT(('Recurring Items'!$C$6:$C$56="Expense")*('Recurring Items'!$H$6:$H$56&lt;&gt;"Skip")*IFERROR(N('Recurring Items'!$D$6:$D$56),0)*(('Recurring Items'!$E$6:$E$56="Monthly")*(DAY(AB228)='Recurring Items'!$F$6:$F$56)+('Recurring Items'!$E$6:$E$56="Bi-weekly")*(WEEKDAY(AB228)=IFERROR(WEEKDAY('Recurring Items'!$G$6:$G$56),0))*(MOD(AB228-IFERROR('Recurring Items'!$G$6:$G$56,0),14)=0)*(AB228&gt;=IFERROR('Recurring Items'!$G$6:$G$56,9000000000))+('Recurring Items'!$E$6:$E$56="Weekly")*(WEEKDAY(AB228)=IFERROR(WEEKDAY('Recurring Items'!$G$6:$G$56),0))*(AB228&gt;=IFERROR('Recurring Items'!$G$6:$G$56,9000000000))+('Recurring Items'!$E$6:$E$56="One-time")*(AB228='Recurring Items'!$G$6:$G$56)))</f>
        <v>697.58</v>
      </c>
      <c r="AF228" s="1" t="n">
        <f aca="false">(IF(AC228=1,'Debt Tracker'!$P$5&gt;0.01,INDEX('Debt Tracker'!$T$5:$AE$29,1,AC228-1)&gt;0.01))*('Recurring Items'!$H$8&lt;&gt;"Skip")*(DAY(AB228)='Recurring Items'!$F$8)*IFERROR(N('Recurring Items'!$D$8),0)+(IF(AC228=1,'Debt Tracker'!$P$6&gt;0.01,INDEX('Debt Tracker'!$T$5:$AE$29,2,AC228-1)&gt;0.01))*('Recurring Items'!$H$9&lt;&gt;"Skip")*(DAY(AB228)='Recurring Items'!$F$9)*IFERROR(N('Recurring Items'!$D$9),0)+(IF(AC228=1,'Debt Tracker'!$P$7&gt;0.01,INDEX('Debt Tracker'!$T$5:$AE$29,3,AC228-1)&gt;0.01))*('Recurring Items'!$H$10&lt;&gt;"Skip")*(DAY(AB228)='Recurring Items'!$F$10)*IFERROR(N('Recurring Items'!$D$10),0)+(IF(AC228=1,'Debt Tracker'!$P$8&gt;0.01,INDEX('Debt Tracker'!$T$5:$AE$29,4,AC228-1)&gt;0.01))*('Recurring Items'!$H$11&lt;&gt;"Skip")*(DAY(AB228)='Recurring Items'!$F$11)*IFERROR(N('Recurring Items'!$D$11),0)+(IF(AC228=1,'Debt Tracker'!$P$9&gt;0.01,INDEX('Debt Tracker'!$T$5:$AE$29,5,AC228-1)&gt;0.01))*('Recurring Items'!$H$12&lt;&gt;"Skip")*(DAY(AB228)='Recurring Items'!$F$12)*IFERROR(N('Recurring Items'!$D$12),0)+(IF(AC228=1,'Debt Tracker'!$P$10&gt;0.01,INDEX('Debt Tracker'!$T$5:$AE$29,6,AC228-1)&gt;0.01))*('Recurring Items'!$H$13&lt;&gt;"Skip")*(DAY(AB228)='Recurring Items'!$F$13)*IFERROR(N('Recurring Items'!$D$13),0)+(IF(AC228=1,'Debt Tracker'!$P$11&gt;0.01,INDEX('Debt Tracker'!$T$5:$AE$29,7,AC228-1)&gt;0.01))*('Recurring Items'!$H$14&lt;&gt;"Skip")*(DAY(AB228)='Recurring Items'!$F$14)*IFERROR(N('Recurring Items'!$D$14),0)+(IF(AC228=1,'Debt Tracker'!$P$12&gt;0.01,INDEX('Debt Tracker'!$T$5:$AE$29,8,AC228-1)&gt;0.01))*('Recurring Items'!$H$15&lt;&gt;"Skip")*(DAY(AB228)='Recurring Items'!$F$15)*IFERROR(N('Recurring Items'!$D$15),0)+(IF(AC228=1,'Debt Tracker'!$P$13&gt;0.01,INDEX('Debt Tracker'!$T$5:$AE$29,9,AC228-1)&gt;0.01))*('Recurring Items'!$H$16&lt;&gt;"Skip")*(DAY(AB228)='Recurring Items'!$F$16)*IFERROR(N('Recurring Items'!$D$16),0)+(IF(AC228=1,'Debt Tracker'!$P$14&gt;0.01,INDEX('Debt Tracker'!$T$5:$AE$29,10,AC228-1)&gt;0.01))*('Recurring Items'!$H$17&lt;&gt;"Skip")*(DAY(AB228)='Recurring Items'!$F$17)*IFERROR(N('Recurring Items'!$D$17),0)+(IF(AC228=1,'Debt Tracker'!$P$15&gt;0.01,INDEX('Debt Tracker'!$T$5:$AE$29,11,AC228-1)&gt;0.01))*('Recurring Items'!$H$18&lt;&gt;"Skip")*(DAY(AB228)='Recurring Items'!$F$18)*IFERROR(N('Recurring Items'!$D$18),0)+(IF(AC228=1,'Debt Tracker'!$P$16&gt;0.01,INDEX('Debt Tracker'!$T$5:$AE$29,12,AC228-1)&gt;0.01))*('Recurring Items'!$H$19&lt;&gt;"Skip")*(DAY(AB228)='Recurring Items'!$F$19)*IFERROR(N('Recurring Items'!$D$19),0)+(IF(AC228=1,'Debt Tracker'!$P$17&gt;0.01,INDEX('Debt Tracker'!$T$5:$AE$29,13,AC228-1)&gt;0.01))*('Recurring Items'!$H$20&lt;&gt;"Skip")*(DAY(AB228)='Recurring Items'!$F$20)*IFERROR(N('Recurring Items'!$D$20),0)+(IF(AC228=1,'Debt Tracker'!$P$18&gt;0.01,INDEX('Debt Tracker'!$T$5:$AE$29,14,AC228-1)&gt;0.01))*('Recurring Items'!$H$21&lt;&gt;"Skip")*(DAY(AB228)='Recurring Items'!$F$21)*IFERROR(N('Recurring Items'!$D$21),0)+(IF(AC228=1,'Debt Tracker'!$P$19&gt;0.01,INDEX('Debt Tracker'!$T$5:$AE$29,15,AC228-1)&gt;0.01))*('Recurring Items'!$H$22&lt;&gt;"Skip")*(DAY(AB228)='Recurring Items'!$F$22)*IFERROR(N('Recurring Items'!$D$22),0)+(IF(AC228=1,'Debt Tracker'!$P$20&gt;0.01,INDEX('Debt Tracker'!$T$5:$AE$29,16,AC228-1)&gt;0.01))*('Recurring Items'!$H$23&lt;&gt;"Skip")*(DAY(AB228)='Recurring Items'!$F$23)*IFERROR(N('Recurring Items'!$D$23),0)+(IF(AC228=1,'Debt Tracker'!$P$21&gt;0.01,INDEX('Debt Tracker'!$T$5:$AE$29,17,AC228-1)&gt;0.01))*('Recurring Items'!$H$24&lt;&gt;"Skip")*(DAY(AB228)='Recurring Items'!$F$24)*IFERROR(N('Recurring Items'!$D$24),0)+(IF(AC228=1,'Debt Tracker'!$P$22&gt;0.01,INDEX('Debt Tracker'!$T$5:$AE$29,18,AC228-1)&gt;0.01))*('Recurring Items'!$H$25&lt;&gt;"Skip")*(DAY(AB228)='Recurring Items'!$F$25)*IFERROR(N('Recurring Items'!$D$25),0)+(IF(AC228=1,'Debt Tracker'!$P$23&gt;0.01,INDEX('Debt Tracker'!$T$5:$AE$29,19,AC228-1)&gt;0.01))*('Recurring Items'!$H$26&lt;&gt;"Skip")*(DAY(AB228)='Recurring Items'!$F$26)*IFERROR(N('Recurring Items'!$D$26),0)+(IF(AC228=1,'Debt Tracker'!$P$24&gt;0.01,INDEX('Debt Tracker'!$T$5:$AE$29,20,AC228-1)&gt;0.01))*('Recurring Items'!$H$27&lt;&gt;"Skip")*(DAY(AB228)='Recurring Items'!$F$27)*IFERROR(N('Recurring Items'!$D$27),0)+(IF(AC228=1,'Debt Tracker'!$P$25&gt;0.01,INDEX('Debt Tracker'!$T$5:$AE$29,21,AC228-1)&gt;0.01))*('Recurring Items'!$H$28&lt;&gt;"Skip")*(DAY(AB228)='Recurring Items'!$F$28)*IFERROR(N('Recurring Items'!$D$28),0)+(IF(AC228=1,'Debt Tracker'!$P$26&gt;0.01,INDEX('Debt Tracker'!$T$5:$AE$29,22,AC228-1)&gt;0.01))*('Recurring Items'!$H$29&lt;&gt;"Skip")*(DAY(AB228)='Recurring Items'!$F$29)*IFERROR(N('Recurring Items'!$D$29),0)+(IF(AC228=1,'Debt Tracker'!$P$27&gt;0.01,INDEX('Debt Tracker'!$T$5:$AE$29,23,AC228-1)&gt;0.01))*('Recurring Items'!$H$30&lt;&gt;"Skip")*(DAY(AB228)='Recurring Items'!$F$30)*IFERROR(N('Recurring Items'!$D$30),0)+(IF(AC228=1,'Debt Tracker'!$P$28&gt;0.01,INDEX('Debt Tracker'!$T$5:$AE$29,24,AC228-1)&gt;0.01))*('Recurring Items'!$H$31&lt;&gt;"Skip")*(DAY(AB228)='Recurring Items'!$F$31)*IFERROR(N('Recurring Items'!$D$31),0)+(IF(AC228=1,'Debt Tracker'!$P$29&gt;0.01,INDEX('Debt Tracker'!$T$5:$AE$29,25,AC228-1)&gt;0.01))*('Recurring Items'!$H$32&lt;&gt;"Skip")*(DAY(AB228)='Recurring Items'!$F$32)*IFERROR(N('Recurring Items'!$D$32),0)</f>
        <v>206.43</v>
      </c>
      <c r="AG228" s="1" t="n">
        <f aca="false">AD228-AE228-AF228</f>
        <v>2915.78</v>
      </c>
      <c r="AH228" s="1" t="n">
        <f aca="false">AH227+AG228</f>
        <v>6880.09</v>
      </c>
    </row>
    <row r="229" customFormat="false" ht="15" hidden="false" customHeight="true" outlineLevel="0" collapsed="false">
      <c r="AA229" s="1" t="n">
        <v>29</v>
      </c>
      <c r="AB229" s="145" t="n">
        <f aca="false">$D$3+29</f>
        <v>46172</v>
      </c>
      <c r="AC229" s="1" t="n">
        <f aca="false">MIN(12,1+DATEDIF($D$3,AB229,"M"))</f>
        <v>1</v>
      </c>
      <c r="AD229" s="1" t="n">
        <f aca="false">SUMPRODUCT(('Recurring Items'!$C$6:$C$56="Income")*('Recurring Items'!$H$6:$H$56&lt;&gt;"Skip")*IFERROR(N('Recurring Items'!$D$6:$D$56),0)*(('Recurring Items'!$E$6:$E$56="Monthly")*(DAY(AB229)='Recurring Items'!$F$6:$F$56)+('Recurring Items'!$E$6:$E$56="Bi-weekly")*(WEEKDAY(AB229)=IFERROR(WEEKDAY('Recurring Items'!$G$6:$G$56),0))*(MOD(AB229-IFERROR('Recurring Items'!$G$6:$G$56,0),14)=0)*(AB229&gt;=IFERROR('Recurring Items'!$G$6:$G$56,9000000000))+('Recurring Items'!$E$6:$E$56="Weekly")*(WEEKDAY(AB229)=IFERROR(WEEKDAY('Recurring Items'!$G$6:$G$56),0))*(AB229&gt;=IFERROR('Recurring Items'!$G$6:$G$56,9000000000))+('Recurring Items'!$E$6:$E$56="One-time")*(AB229='Recurring Items'!$G$6:$G$56)))</f>
        <v>0</v>
      </c>
      <c r="AE229" s="1" t="n">
        <f aca="false">SUMPRODUCT(('Recurring Items'!$C$6:$C$56="Expense")*('Recurring Items'!$H$6:$H$56&lt;&gt;"Skip")*IFERROR(N('Recurring Items'!$D$6:$D$56),0)*(('Recurring Items'!$E$6:$E$56="Monthly")*(DAY(AB229)='Recurring Items'!$F$6:$F$56)+('Recurring Items'!$E$6:$E$56="Bi-weekly")*(WEEKDAY(AB229)=IFERROR(WEEKDAY('Recurring Items'!$G$6:$G$56),0))*(MOD(AB229-IFERROR('Recurring Items'!$G$6:$G$56,0),14)=0)*(AB229&gt;=IFERROR('Recurring Items'!$G$6:$G$56,9000000000))+('Recurring Items'!$E$6:$E$56="Weekly")*(WEEKDAY(AB229)=IFERROR(WEEKDAY('Recurring Items'!$G$6:$G$56),0))*(AB229&gt;=IFERROR('Recurring Items'!$G$6:$G$56,9000000000))+('Recurring Items'!$E$6:$E$56="One-time")*(AB229='Recurring Items'!$G$6:$G$56)))</f>
        <v>0</v>
      </c>
      <c r="AF229" s="1" t="n">
        <f aca="false">(IF(AC229=1,'Debt Tracker'!$P$5&gt;0.01,INDEX('Debt Tracker'!$T$5:$AE$29,1,AC229-1)&gt;0.01))*('Recurring Items'!$H$8&lt;&gt;"Skip")*(DAY(AB229)='Recurring Items'!$F$8)*IFERROR(N('Recurring Items'!$D$8),0)+(IF(AC229=1,'Debt Tracker'!$P$6&gt;0.01,INDEX('Debt Tracker'!$T$5:$AE$29,2,AC229-1)&gt;0.01))*('Recurring Items'!$H$9&lt;&gt;"Skip")*(DAY(AB229)='Recurring Items'!$F$9)*IFERROR(N('Recurring Items'!$D$9),0)+(IF(AC229=1,'Debt Tracker'!$P$7&gt;0.01,INDEX('Debt Tracker'!$T$5:$AE$29,3,AC229-1)&gt;0.01))*('Recurring Items'!$H$10&lt;&gt;"Skip")*(DAY(AB229)='Recurring Items'!$F$10)*IFERROR(N('Recurring Items'!$D$10),0)+(IF(AC229=1,'Debt Tracker'!$P$8&gt;0.01,INDEX('Debt Tracker'!$T$5:$AE$29,4,AC229-1)&gt;0.01))*('Recurring Items'!$H$11&lt;&gt;"Skip")*(DAY(AB229)='Recurring Items'!$F$11)*IFERROR(N('Recurring Items'!$D$11),0)+(IF(AC229=1,'Debt Tracker'!$P$9&gt;0.01,INDEX('Debt Tracker'!$T$5:$AE$29,5,AC229-1)&gt;0.01))*('Recurring Items'!$H$12&lt;&gt;"Skip")*(DAY(AB229)='Recurring Items'!$F$12)*IFERROR(N('Recurring Items'!$D$12),0)+(IF(AC229=1,'Debt Tracker'!$P$10&gt;0.01,INDEX('Debt Tracker'!$T$5:$AE$29,6,AC229-1)&gt;0.01))*('Recurring Items'!$H$13&lt;&gt;"Skip")*(DAY(AB229)='Recurring Items'!$F$13)*IFERROR(N('Recurring Items'!$D$13),0)+(IF(AC229=1,'Debt Tracker'!$P$11&gt;0.01,INDEX('Debt Tracker'!$T$5:$AE$29,7,AC229-1)&gt;0.01))*('Recurring Items'!$H$14&lt;&gt;"Skip")*(DAY(AB229)='Recurring Items'!$F$14)*IFERROR(N('Recurring Items'!$D$14),0)+(IF(AC229=1,'Debt Tracker'!$P$12&gt;0.01,INDEX('Debt Tracker'!$T$5:$AE$29,8,AC229-1)&gt;0.01))*('Recurring Items'!$H$15&lt;&gt;"Skip")*(DAY(AB229)='Recurring Items'!$F$15)*IFERROR(N('Recurring Items'!$D$15),0)+(IF(AC229=1,'Debt Tracker'!$P$13&gt;0.01,INDEX('Debt Tracker'!$T$5:$AE$29,9,AC229-1)&gt;0.01))*('Recurring Items'!$H$16&lt;&gt;"Skip")*(DAY(AB229)='Recurring Items'!$F$16)*IFERROR(N('Recurring Items'!$D$16),0)+(IF(AC229=1,'Debt Tracker'!$P$14&gt;0.01,INDEX('Debt Tracker'!$T$5:$AE$29,10,AC229-1)&gt;0.01))*('Recurring Items'!$H$17&lt;&gt;"Skip")*(DAY(AB229)='Recurring Items'!$F$17)*IFERROR(N('Recurring Items'!$D$17),0)+(IF(AC229=1,'Debt Tracker'!$P$15&gt;0.01,INDEX('Debt Tracker'!$T$5:$AE$29,11,AC229-1)&gt;0.01))*('Recurring Items'!$H$18&lt;&gt;"Skip")*(DAY(AB229)='Recurring Items'!$F$18)*IFERROR(N('Recurring Items'!$D$18),0)+(IF(AC229=1,'Debt Tracker'!$P$16&gt;0.01,INDEX('Debt Tracker'!$T$5:$AE$29,12,AC229-1)&gt;0.01))*('Recurring Items'!$H$19&lt;&gt;"Skip")*(DAY(AB229)='Recurring Items'!$F$19)*IFERROR(N('Recurring Items'!$D$19),0)+(IF(AC229=1,'Debt Tracker'!$P$17&gt;0.01,INDEX('Debt Tracker'!$T$5:$AE$29,13,AC229-1)&gt;0.01))*('Recurring Items'!$H$20&lt;&gt;"Skip")*(DAY(AB229)='Recurring Items'!$F$20)*IFERROR(N('Recurring Items'!$D$20),0)+(IF(AC229=1,'Debt Tracker'!$P$18&gt;0.01,INDEX('Debt Tracker'!$T$5:$AE$29,14,AC229-1)&gt;0.01))*('Recurring Items'!$H$21&lt;&gt;"Skip")*(DAY(AB229)='Recurring Items'!$F$21)*IFERROR(N('Recurring Items'!$D$21),0)+(IF(AC229=1,'Debt Tracker'!$P$19&gt;0.01,INDEX('Debt Tracker'!$T$5:$AE$29,15,AC229-1)&gt;0.01))*('Recurring Items'!$H$22&lt;&gt;"Skip")*(DAY(AB229)='Recurring Items'!$F$22)*IFERROR(N('Recurring Items'!$D$22),0)+(IF(AC229=1,'Debt Tracker'!$P$20&gt;0.01,INDEX('Debt Tracker'!$T$5:$AE$29,16,AC229-1)&gt;0.01))*('Recurring Items'!$H$23&lt;&gt;"Skip")*(DAY(AB229)='Recurring Items'!$F$23)*IFERROR(N('Recurring Items'!$D$23),0)+(IF(AC229=1,'Debt Tracker'!$P$21&gt;0.01,INDEX('Debt Tracker'!$T$5:$AE$29,17,AC229-1)&gt;0.01))*('Recurring Items'!$H$24&lt;&gt;"Skip")*(DAY(AB229)='Recurring Items'!$F$24)*IFERROR(N('Recurring Items'!$D$24),0)+(IF(AC229=1,'Debt Tracker'!$P$22&gt;0.01,INDEX('Debt Tracker'!$T$5:$AE$29,18,AC229-1)&gt;0.01))*('Recurring Items'!$H$25&lt;&gt;"Skip")*(DAY(AB229)='Recurring Items'!$F$25)*IFERROR(N('Recurring Items'!$D$25),0)+(IF(AC229=1,'Debt Tracker'!$P$23&gt;0.01,INDEX('Debt Tracker'!$T$5:$AE$29,19,AC229-1)&gt;0.01))*('Recurring Items'!$H$26&lt;&gt;"Skip")*(DAY(AB229)='Recurring Items'!$F$26)*IFERROR(N('Recurring Items'!$D$26),0)+(IF(AC229=1,'Debt Tracker'!$P$24&gt;0.01,INDEX('Debt Tracker'!$T$5:$AE$29,20,AC229-1)&gt;0.01))*('Recurring Items'!$H$27&lt;&gt;"Skip")*(DAY(AB229)='Recurring Items'!$F$27)*IFERROR(N('Recurring Items'!$D$27),0)+(IF(AC229=1,'Debt Tracker'!$P$25&gt;0.01,INDEX('Debt Tracker'!$T$5:$AE$29,21,AC229-1)&gt;0.01))*('Recurring Items'!$H$28&lt;&gt;"Skip")*(DAY(AB229)='Recurring Items'!$F$28)*IFERROR(N('Recurring Items'!$D$28),0)+(IF(AC229=1,'Debt Tracker'!$P$26&gt;0.01,INDEX('Debt Tracker'!$T$5:$AE$29,22,AC229-1)&gt;0.01))*('Recurring Items'!$H$29&lt;&gt;"Skip")*(DAY(AB229)='Recurring Items'!$F$29)*IFERROR(N('Recurring Items'!$D$29),0)+(IF(AC229=1,'Debt Tracker'!$P$27&gt;0.01,INDEX('Debt Tracker'!$T$5:$AE$29,23,AC229-1)&gt;0.01))*('Recurring Items'!$H$30&lt;&gt;"Skip")*(DAY(AB229)='Recurring Items'!$F$30)*IFERROR(N('Recurring Items'!$D$30),0)+(IF(AC229=1,'Debt Tracker'!$P$28&gt;0.01,INDEX('Debt Tracker'!$T$5:$AE$29,24,AC229-1)&gt;0.01))*('Recurring Items'!$H$31&lt;&gt;"Skip")*(DAY(AB229)='Recurring Items'!$F$31)*IFERROR(N('Recurring Items'!$D$31),0)+(IF(AC229=1,'Debt Tracker'!$P$29&gt;0.01,INDEX('Debt Tracker'!$T$5:$AE$29,25,AC229-1)&gt;0.01))*('Recurring Items'!$H$32&lt;&gt;"Skip")*(DAY(AB229)='Recurring Items'!$F$32)*IFERROR(N('Recurring Items'!$D$32),0)</f>
        <v>0</v>
      </c>
      <c r="AG229" s="1" t="n">
        <f aca="false">AD229-AE229-AF229</f>
        <v>0</v>
      </c>
      <c r="AH229" s="1" t="n">
        <f aca="false">AH228+AG229</f>
        <v>6880.09</v>
      </c>
    </row>
    <row r="230" customFormat="false" ht="15" hidden="false" customHeight="true" outlineLevel="0" collapsed="false">
      <c r="AA230" s="1" t="n">
        <v>30</v>
      </c>
      <c r="AB230" s="145" t="n">
        <f aca="false">$D$3+30</f>
        <v>46173</v>
      </c>
      <c r="AC230" s="1" t="n">
        <f aca="false">MIN(12,1+DATEDIF($D$3,AB230,"M"))</f>
        <v>1</v>
      </c>
      <c r="AD230" s="1" t="n">
        <f aca="false">SUMPRODUCT(('Recurring Items'!$C$6:$C$56="Income")*('Recurring Items'!$H$6:$H$56&lt;&gt;"Skip")*IFERROR(N('Recurring Items'!$D$6:$D$56),0)*(('Recurring Items'!$E$6:$E$56="Monthly")*(DAY(AB230)='Recurring Items'!$F$6:$F$56)+('Recurring Items'!$E$6:$E$56="Bi-weekly")*(WEEKDAY(AB230)=IFERROR(WEEKDAY('Recurring Items'!$G$6:$G$56),0))*(MOD(AB230-IFERROR('Recurring Items'!$G$6:$G$56,0),14)=0)*(AB230&gt;=IFERROR('Recurring Items'!$G$6:$G$56,9000000000))+('Recurring Items'!$E$6:$E$56="Weekly")*(WEEKDAY(AB230)=IFERROR(WEEKDAY('Recurring Items'!$G$6:$G$56),0))*(AB230&gt;=IFERROR('Recurring Items'!$G$6:$G$56,9000000000))+('Recurring Items'!$E$6:$E$56="One-time")*(AB230='Recurring Items'!$G$6:$G$56)))</f>
        <v>0</v>
      </c>
      <c r="AE230" s="1" t="n">
        <f aca="false">SUMPRODUCT(('Recurring Items'!$C$6:$C$56="Expense")*('Recurring Items'!$H$6:$H$56&lt;&gt;"Skip")*IFERROR(N('Recurring Items'!$D$6:$D$56),0)*(('Recurring Items'!$E$6:$E$56="Monthly")*(DAY(AB230)='Recurring Items'!$F$6:$F$56)+('Recurring Items'!$E$6:$E$56="Bi-weekly")*(WEEKDAY(AB230)=IFERROR(WEEKDAY('Recurring Items'!$G$6:$G$56),0))*(MOD(AB230-IFERROR('Recurring Items'!$G$6:$G$56,0),14)=0)*(AB230&gt;=IFERROR('Recurring Items'!$G$6:$G$56,9000000000))+('Recurring Items'!$E$6:$E$56="Weekly")*(WEEKDAY(AB230)=IFERROR(WEEKDAY('Recurring Items'!$G$6:$G$56),0))*(AB230&gt;=IFERROR('Recurring Items'!$G$6:$G$56,9000000000))+('Recurring Items'!$E$6:$E$56="One-time")*(AB230='Recurring Items'!$G$6:$G$56)))</f>
        <v>0</v>
      </c>
      <c r="AF230" s="1" t="n">
        <f aca="false">(IF(AC230=1,'Debt Tracker'!$P$5&gt;0.01,INDEX('Debt Tracker'!$T$5:$AE$29,1,AC230-1)&gt;0.01))*('Recurring Items'!$H$8&lt;&gt;"Skip")*(DAY(AB230)='Recurring Items'!$F$8)*IFERROR(N('Recurring Items'!$D$8),0)+(IF(AC230=1,'Debt Tracker'!$P$6&gt;0.01,INDEX('Debt Tracker'!$T$5:$AE$29,2,AC230-1)&gt;0.01))*('Recurring Items'!$H$9&lt;&gt;"Skip")*(DAY(AB230)='Recurring Items'!$F$9)*IFERROR(N('Recurring Items'!$D$9),0)+(IF(AC230=1,'Debt Tracker'!$P$7&gt;0.01,INDEX('Debt Tracker'!$T$5:$AE$29,3,AC230-1)&gt;0.01))*('Recurring Items'!$H$10&lt;&gt;"Skip")*(DAY(AB230)='Recurring Items'!$F$10)*IFERROR(N('Recurring Items'!$D$10),0)+(IF(AC230=1,'Debt Tracker'!$P$8&gt;0.01,INDEX('Debt Tracker'!$T$5:$AE$29,4,AC230-1)&gt;0.01))*('Recurring Items'!$H$11&lt;&gt;"Skip")*(DAY(AB230)='Recurring Items'!$F$11)*IFERROR(N('Recurring Items'!$D$11),0)+(IF(AC230=1,'Debt Tracker'!$P$9&gt;0.01,INDEX('Debt Tracker'!$T$5:$AE$29,5,AC230-1)&gt;0.01))*('Recurring Items'!$H$12&lt;&gt;"Skip")*(DAY(AB230)='Recurring Items'!$F$12)*IFERROR(N('Recurring Items'!$D$12),0)+(IF(AC230=1,'Debt Tracker'!$P$10&gt;0.01,INDEX('Debt Tracker'!$T$5:$AE$29,6,AC230-1)&gt;0.01))*('Recurring Items'!$H$13&lt;&gt;"Skip")*(DAY(AB230)='Recurring Items'!$F$13)*IFERROR(N('Recurring Items'!$D$13),0)+(IF(AC230=1,'Debt Tracker'!$P$11&gt;0.01,INDEX('Debt Tracker'!$T$5:$AE$29,7,AC230-1)&gt;0.01))*('Recurring Items'!$H$14&lt;&gt;"Skip")*(DAY(AB230)='Recurring Items'!$F$14)*IFERROR(N('Recurring Items'!$D$14),0)+(IF(AC230=1,'Debt Tracker'!$P$12&gt;0.01,INDEX('Debt Tracker'!$T$5:$AE$29,8,AC230-1)&gt;0.01))*('Recurring Items'!$H$15&lt;&gt;"Skip")*(DAY(AB230)='Recurring Items'!$F$15)*IFERROR(N('Recurring Items'!$D$15),0)+(IF(AC230=1,'Debt Tracker'!$P$13&gt;0.01,INDEX('Debt Tracker'!$T$5:$AE$29,9,AC230-1)&gt;0.01))*('Recurring Items'!$H$16&lt;&gt;"Skip")*(DAY(AB230)='Recurring Items'!$F$16)*IFERROR(N('Recurring Items'!$D$16),0)+(IF(AC230=1,'Debt Tracker'!$P$14&gt;0.01,INDEX('Debt Tracker'!$T$5:$AE$29,10,AC230-1)&gt;0.01))*('Recurring Items'!$H$17&lt;&gt;"Skip")*(DAY(AB230)='Recurring Items'!$F$17)*IFERROR(N('Recurring Items'!$D$17),0)+(IF(AC230=1,'Debt Tracker'!$P$15&gt;0.01,INDEX('Debt Tracker'!$T$5:$AE$29,11,AC230-1)&gt;0.01))*('Recurring Items'!$H$18&lt;&gt;"Skip")*(DAY(AB230)='Recurring Items'!$F$18)*IFERROR(N('Recurring Items'!$D$18),0)+(IF(AC230=1,'Debt Tracker'!$P$16&gt;0.01,INDEX('Debt Tracker'!$T$5:$AE$29,12,AC230-1)&gt;0.01))*('Recurring Items'!$H$19&lt;&gt;"Skip")*(DAY(AB230)='Recurring Items'!$F$19)*IFERROR(N('Recurring Items'!$D$19),0)+(IF(AC230=1,'Debt Tracker'!$P$17&gt;0.01,INDEX('Debt Tracker'!$T$5:$AE$29,13,AC230-1)&gt;0.01))*('Recurring Items'!$H$20&lt;&gt;"Skip")*(DAY(AB230)='Recurring Items'!$F$20)*IFERROR(N('Recurring Items'!$D$20),0)+(IF(AC230=1,'Debt Tracker'!$P$18&gt;0.01,INDEX('Debt Tracker'!$T$5:$AE$29,14,AC230-1)&gt;0.01))*('Recurring Items'!$H$21&lt;&gt;"Skip")*(DAY(AB230)='Recurring Items'!$F$21)*IFERROR(N('Recurring Items'!$D$21),0)+(IF(AC230=1,'Debt Tracker'!$P$19&gt;0.01,INDEX('Debt Tracker'!$T$5:$AE$29,15,AC230-1)&gt;0.01))*('Recurring Items'!$H$22&lt;&gt;"Skip")*(DAY(AB230)='Recurring Items'!$F$22)*IFERROR(N('Recurring Items'!$D$22),0)+(IF(AC230=1,'Debt Tracker'!$P$20&gt;0.01,INDEX('Debt Tracker'!$T$5:$AE$29,16,AC230-1)&gt;0.01))*('Recurring Items'!$H$23&lt;&gt;"Skip")*(DAY(AB230)='Recurring Items'!$F$23)*IFERROR(N('Recurring Items'!$D$23),0)+(IF(AC230=1,'Debt Tracker'!$P$21&gt;0.01,INDEX('Debt Tracker'!$T$5:$AE$29,17,AC230-1)&gt;0.01))*('Recurring Items'!$H$24&lt;&gt;"Skip")*(DAY(AB230)='Recurring Items'!$F$24)*IFERROR(N('Recurring Items'!$D$24),0)+(IF(AC230=1,'Debt Tracker'!$P$22&gt;0.01,INDEX('Debt Tracker'!$T$5:$AE$29,18,AC230-1)&gt;0.01))*('Recurring Items'!$H$25&lt;&gt;"Skip")*(DAY(AB230)='Recurring Items'!$F$25)*IFERROR(N('Recurring Items'!$D$25),0)+(IF(AC230=1,'Debt Tracker'!$P$23&gt;0.01,INDEX('Debt Tracker'!$T$5:$AE$29,19,AC230-1)&gt;0.01))*('Recurring Items'!$H$26&lt;&gt;"Skip")*(DAY(AB230)='Recurring Items'!$F$26)*IFERROR(N('Recurring Items'!$D$26),0)+(IF(AC230=1,'Debt Tracker'!$P$24&gt;0.01,INDEX('Debt Tracker'!$T$5:$AE$29,20,AC230-1)&gt;0.01))*('Recurring Items'!$H$27&lt;&gt;"Skip")*(DAY(AB230)='Recurring Items'!$F$27)*IFERROR(N('Recurring Items'!$D$27),0)+(IF(AC230=1,'Debt Tracker'!$P$25&gt;0.01,INDEX('Debt Tracker'!$T$5:$AE$29,21,AC230-1)&gt;0.01))*('Recurring Items'!$H$28&lt;&gt;"Skip")*(DAY(AB230)='Recurring Items'!$F$28)*IFERROR(N('Recurring Items'!$D$28),0)+(IF(AC230=1,'Debt Tracker'!$P$26&gt;0.01,INDEX('Debt Tracker'!$T$5:$AE$29,22,AC230-1)&gt;0.01))*('Recurring Items'!$H$29&lt;&gt;"Skip")*(DAY(AB230)='Recurring Items'!$F$29)*IFERROR(N('Recurring Items'!$D$29),0)+(IF(AC230=1,'Debt Tracker'!$P$27&gt;0.01,INDEX('Debt Tracker'!$T$5:$AE$29,23,AC230-1)&gt;0.01))*('Recurring Items'!$H$30&lt;&gt;"Skip")*(DAY(AB230)='Recurring Items'!$F$30)*IFERROR(N('Recurring Items'!$D$30),0)+(IF(AC230=1,'Debt Tracker'!$P$28&gt;0.01,INDEX('Debt Tracker'!$T$5:$AE$29,24,AC230-1)&gt;0.01))*('Recurring Items'!$H$31&lt;&gt;"Skip")*(DAY(AB230)='Recurring Items'!$F$31)*IFERROR(N('Recurring Items'!$D$31),0)+(IF(AC230=1,'Debt Tracker'!$P$29&gt;0.01,INDEX('Debt Tracker'!$T$5:$AE$29,25,AC230-1)&gt;0.01))*('Recurring Items'!$H$32&lt;&gt;"Skip")*(DAY(AB230)='Recurring Items'!$F$32)*IFERROR(N('Recurring Items'!$D$32),0)</f>
        <v>0</v>
      </c>
      <c r="AG230" s="1" t="n">
        <f aca="false">AD230-AE230-AF230</f>
        <v>0</v>
      </c>
      <c r="AH230" s="1" t="n">
        <f aca="false">AH229+AG230</f>
        <v>6880.09</v>
      </c>
    </row>
    <row r="231" customFormat="false" ht="15" hidden="false" customHeight="true" outlineLevel="0" collapsed="false">
      <c r="AA231" s="1" t="n">
        <v>31</v>
      </c>
      <c r="AB231" s="145" t="n">
        <f aca="false">$D$3+31</f>
        <v>46174</v>
      </c>
      <c r="AC231" s="1" t="n">
        <f aca="false">MIN(12,1+DATEDIF($D$3,AB231,"M"))</f>
        <v>2</v>
      </c>
      <c r="AD231" s="1" t="n">
        <f aca="false">SUMPRODUCT(('Recurring Items'!$C$6:$C$56="Income")*('Recurring Items'!$H$6:$H$56&lt;&gt;"Skip")*IFERROR(N('Recurring Items'!$D$6:$D$56),0)*(('Recurring Items'!$E$6:$E$56="Monthly")*(DAY(AB231)='Recurring Items'!$F$6:$F$56)+('Recurring Items'!$E$6:$E$56="Bi-weekly")*(WEEKDAY(AB231)=IFERROR(WEEKDAY('Recurring Items'!$G$6:$G$56),0))*(MOD(AB231-IFERROR('Recurring Items'!$G$6:$G$56,0),14)=0)*(AB231&gt;=IFERROR('Recurring Items'!$G$6:$G$56,9000000000))+('Recurring Items'!$E$6:$E$56="Weekly")*(WEEKDAY(AB231)=IFERROR(WEEKDAY('Recurring Items'!$G$6:$G$56),0))*(AB231&gt;=IFERROR('Recurring Items'!$G$6:$G$56,9000000000))+('Recurring Items'!$E$6:$E$56="One-time")*(AB231='Recurring Items'!$G$6:$G$56)))</f>
        <v>0</v>
      </c>
      <c r="AE231" s="1" t="n">
        <f aca="false">SUMPRODUCT(('Recurring Items'!$C$6:$C$56="Expense")*('Recurring Items'!$H$6:$H$56&lt;&gt;"Skip")*IFERROR(N('Recurring Items'!$D$6:$D$56),0)*(('Recurring Items'!$E$6:$E$56="Monthly")*(DAY(AB231)='Recurring Items'!$F$6:$F$56)+('Recurring Items'!$E$6:$E$56="Bi-weekly")*(WEEKDAY(AB231)=IFERROR(WEEKDAY('Recurring Items'!$G$6:$G$56),0))*(MOD(AB231-IFERROR('Recurring Items'!$G$6:$G$56,0),14)=0)*(AB231&gt;=IFERROR('Recurring Items'!$G$6:$G$56,9000000000))+('Recurring Items'!$E$6:$E$56="Weekly")*(WEEKDAY(AB231)=IFERROR(WEEKDAY('Recurring Items'!$G$6:$G$56),0))*(AB231&gt;=IFERROR('Recurring Items'!$G$6:$G$56,9000000000))+('Recurring Items'!$E$6:$E$56="One-time")*(AB231='Recurring Items'!$G$6:$G$56)))</f>
        <v>141.16</v>
      </c>
      <c r="AF231" s="1" t="n">
        <f aca="false">(IF(AC231=1,'Debt Tracker'!$P$5&gt;0.01,INDEX('Debt Tracker'!$T$5:$AE$29,1,AC231-1)&gt;0.01))*('Recurring Items'!$H$8&lt;&gt;"Skip")*(DAY(AB231)='Recurring Items'!$F$8)*IFERROR(N('Recurring Items'!$D$8),0)+(IF(AC231=1,'Debt Tracker'!$P$6&gt;0.01,INDEX('Debt Tracker'!$T$5:$AE$29,2,AC231-1)&gt;0.01))*('Recurring Items'!$H$9&lt;&gt;"Skip")*(DAY(AB231)='Recurring Items'!$F$9)*IFERROR(N('Recurring Items'!$D$9),0)+(IF(AC231=1,'Debt Tracker'!$P$7&gt;0.01,INDEX('Debt Tracker'!$T$5:$AE$29,3,AC231-1)&gt;0.01))*('Recurring Items'!$H$10&lt;&gt;"Skip")*(DAY(AB231)='Recurring Items'!$F$10)*IFERROR(N('Recurring Items'!$D$10),0)+(IF(AC231=1,'Debt Tracker'!$P$8&gt;0.01,INDEX('Debt Tracker'!$T$5:$AE$29,4,AC231-1)&gt;0.01))*('Recurring Items'!$H$11&lt;&gt;"Skip")*(DAY(AB231)='Recurring Items'!$F$11)*IFERROR(N('Recurring Items'!$D$11),0)+(IF(AC231=1,'Debt Tracker'!$P$9&gt;0.01,INDEX('Debt Tracker'!$T$5:$AE$29,5,AC231-1)&gt;0.01))*('Recurring Items'!$H$12&lt;&gt;"Skip")*(DAY(AB231)='Recurring Items'!$F$12)*IFERROR(N('Recurring Items'!$D$12),0)+(IF(AC231=1,'Debt Tracker'!$P$10&gt;0.01,INDEX('Debt Tracker'!$T$5:$AE$29,6,AC231-1)&gt;0.01))*('Recurring Items'!$H$13&lt;&gt;"Skip")*(DAY(AB231)='Recurring Items'!$F$13)*IFERROR(N('Recurring Items'!$D$13),0)+(IF(AC231=1,'Debt Tracker'!$P$11&gt;0.01,INDEX('Debt Tracker'!$T$5:$AE$29,7,AC231-1)&gt;0.01))*('Recurring Items'!$H$14&lt;&gt;"Skip")*(DAY(AB231)='Recurring Items'!$F$14)*IFERROR(N('Recurring Items'!$D$14),0)+(IF(AC231=1,'Debt Tracker'!$P$12&gt;0.01,INDEX('Debt Tracker'!$T$5:$AE$29,8,AC231-1)&gt;0.01))*('Recurring Items'!$H$15&lt;&gt;"Skip")*(DAY(AB231)='Recurring Items'!$F$15)*IFERROR(N('Recurring Items'!$D$15),0)+(IF(AC231=1,'Debt Tracker'!$P$13&gt;0.01,INDEX('Debt Tracker'!$T$5:$AE$29,9,AC231-1)&gt;0.01))*('Recurring Items'!$H$16&lt;&gt;"Skip")*(DAY(AB231)='Recurring Items'!$F$16)*IFERROR(N('Recurring Items'!$D$16),0)+(IF(AC231=1,'Debt Tracker'!$P$14&gt;0.01,INDEX('Debt Tracker'!$T$5:$AE$29,10,AC231-1)&gt;0.01))*('Recurring Items'!$H$17&lt;&gt;"Skip")*(DAY(AB231)='Recurring Items'!$F$17)*IFERROR(N('Recurring Items'!$D$17),0)+(IF(AC231=1,'Debt Tracker'!$P$15&gt;0.01,INDEX('Debt Tracker'!$T$5:$AE$29,11,AC231-1)&gt;0.01))*('Recurring Items'!$H$18&lt;&gt;"Skip")*(DAY(AB231)='Recurring Items'!$F$18)*IFERROR(N('Recurring Items'!$D$18),0)+(IF(AC231=1,'Debt Tracker'!$P$16&gt;0.01,INDEX('Debt Tracker'!$T$5:$AE$29,12,AC231-1)&gt;0.01))*('Recurring Items'!$H$19&lt;&gt;"Skip")*(DAY(AB231)='Recurring Items'!$F$19)*IFERROR(N('Recurring Items'!$D$19),0)+(IF(AC231=1,'Debt Tracker'!$P$17&gt;0.01,INDEX('Debt Tracker'!$T$5:$AE$29,13,AC231-1)&gt;0.01))*('Recurring Items'!$H$20&lt;&gt;"Skip")*(DAY(AB231)='Recurring Items'!$F$20)*IFERROR(N('Recurring Items'!$D$20),0)+(IF(AC231=1,'Debt Tracker'!$P$18&gt;0.01,INDEX('Debt Tracker'!$T$5:$AE$29,14,AC231-1)&gt;0.01))*('Recurring Items'!$H$21&lt;&gt;"Skip")*(DAY(AB231)='Recurring Items'!$F$21)*IFERROR(N('Recurring Items'!$D$21),0)+(IF(AC231=1,'Debt Tracker'!$P$19&gt;0.01,INDEX('Debt Tracker'!$T$5:$AE$29,15,AC231-1)&gt;0.01))*('Recurring Items'!$H$22&lt;&gt;"Skip")*(DAY(AB231)='Recurring Items'!$F$22)*IFERROR(N('Recurring Items'!$D$22),0)+(IF(AC231=1,'Debt Tracker'!$P$20&gt;0.01,INDEX('Debt Tracker'!$T$5:$AE$29,16,AC231-1)&gt;0.01))*('Recurring Items'!$H$23&lt;&gt;"Skip")*(DAY(AB231)='Recurring Items'!$F$23)*IFERROR(N('Recurring Items'!$D$23),0)+(IF(AC231=1,'Debt Tracker'!$P$21&gt;0.01,INDEX('Debt Tracker'!$T$5:$AE$29,17,AC231-1)&gt;0.01))*('Recurring Items'!$H$24&lt;&gt;"Skip")*(DAY(AB231)='Recurring Items'!$F$24)*IFERROR(N('Recurring Items'!$D$24),0)+(IF(AC231=1,'Debt Tracker'!$P$22&gt;0.01,INDEX('Debt Tracker'!$T$5:$AE$29,18,AC231-1)&gt;0.01))*('Recurring Items'!$H$25&lt;&gt;"Skip")*(DAY(AB231)='Recurring Items'!$F$25)*IFERROR(N('Recurring Items'!$D$25),0)+(IF(AC231=1,'Debt Tracker'!$P$23&gt;0.01,INDEX('Debt Tracker'!$T$5:$AE$29,19,AC231-1)&gt;0.01))*('Recurring Items'!$H$26&lt;&gt;"Skip")*(DAY(AB231)='Recurring Items'!$F$26)*IFERROR(N('Recurring Items'!$D$26),0)+(IF(AC231=1,'Debt Tracker'!$P$24&gt;0.01,INDEX('Debt Tracker'!$T$5:$AE$29,20,AC231-1)&gt;0.01))*('Recurring Items'!$H$27&lt;&gt;"Skip")*(DAY(AB231)='Recurring Items'!$F$27)*IFERROR(N('Recurring Items'!$D$27),0)+(IF(AC231=1,'Debt Tracker'!$P$25&gt;0.01,INDEX('Debt Tracker'!$T$5:$AE$29,21,AC231-1)&gt;0.01))*('Recurring Items'!$H$28&lt;&gt;"Skip")*(DAY(AB231)='Recurring Items'!$F$28)*IFERROR(N('Recurring Items'!$D$28),0)+(IF(AC231=1,'Debt Tracker'!$P$26&gt;0.01,INDEX('Debt Tracker'!$T$5:$AE$29,22,AC231-1)&gt;0.01))*('Recurring Items'!$H$29&lt;&gt;"Skip")*(DAY(AB231)='Recurring Items'!$F$29)*IFERROR(N('Recurring Items'!$D$29),0)+(IF(AC231=1,'Debt Tracker'!$P$27&gt;0.01,INDEX('Debt Tracker'!$T$5:$AE$29,23,AC231-1)&gt;0.01))*('Recurring Items'!$H$30&lt;&gt;"Skip")*(DAY(AB231)='Recurring Items'!$F$30)*IFERROR(N('Recurring Items'!$D$30),0)+(IF(AC231=1,'Debt Tracker'!$P$28&gt;0.01,INDEX('Debt Tracker'!$T$5:$AE$29,24,AC231-1)&gt;0.01))*('Recurring Items'!$H$31&lt;&gt;"Skip")*(DAY(AB231)='Recurring Items'!$F$31)*IFERROR(N('Recurring Items'!$D$31),0)+(IF(AC231=1,'Debt Tracker'!$P$29&gt;0.01,INDEX('Debt Tracker'!$T$5:$AE$29,25,AC231-1)&gt;0.01))*('Recurring Items'!$H$32&lt;&gt;"Skip")*(DAY(AB231)='Recurring Items'!$F$32)*IFERROR(N('Recurring Items'!$D$32),0)</f>
        <v>557.5</v>
      </c>
      <c r="AG231" s="1" t="n">
        <f aca="false">AD231-AE231-AF231</f>
        <v>-698.66</v>
      </c>
      <c r="AH231" s="1" t="n">
        <f aca="false">AH230+AG231</f>
        <v>6181.43</v>
      </c>
    </row>
    <row r="232" customFormat="false" ht="15" hidden="false" customHeight="true" outlineLevel="0" collapsed="false">
      <c r="AA232" s="1" t="n">
        <v>32</v>
      </c>
      <c r="AB232" s="145" t="n">
        <f aca="false">$D$3+32</f>
        <v>46175</v>
      </c>
      <c r="AC232" s="1" t="n">
        <f aca="false">MIN(12,1+DATEDIF($D$3,AB232,"M"))</f>
        <v>2</v>
      </c>
      <c r="AD232" s="1" t="n">
        <f aca="false">SUMPRODUCT(('Recurring Items'!$C$6:$C$56="Income")*('Recurring Items'!$H$6:$H$56&lt;&gt;"Skip")*IFERROR(N('Recurring Items'!$D$6:$D$56),0)*(('Recurring Items'!$E$6:$E$56="Monthly")*(DAY(AB232)='Recurring Items'!$F$6:$F$56)+('Recurring Items'!$E$6:$E$56="Bi-weekly")*(WEEKDAY(AB232)=IFERROR(WEEKDAY('Recurring Items'!$G$6:$G$56),0))*(MOD(AB232-IFERROR('Recurring Items'!$G$6:$G$56,0),14)=0)*(AB232&gt;=IFERROR('Recurring Items'!$G$6:$G$56,9000000000))+('Recurring Items'!$E$6:$E$56="Weekly")*(WEEKDAY(AB232)=IFERROR(WEEKDAY('Recurring Items'!$G$6:$G$56),0))*(AB232&gt;=IFERROR('Recurring Items'!$G$6:$G$56,9000000000))+('Recurring Items'!$E$6:$E$56="One-time")*(AB232='Recurring Items'!$G$6:$G$56)))</f>
        <v>0</v>
      </c>
      <c r="AE232" s="1" t="n">
        <f aca="false">SUMPRODUCT(('Recurring Items'!$C$6:$C$56="Expense")*('Recurring Items'!$H$6:$H$56&lt;&gt;"Skip")*IFERROR(N('Recurring Items'!$D$6:$D$56),0)*(('Recurring Items'!$E$6:$E$56="Monthly")*(DAY(AB232)='Recurring Items'!$F$6:$F$56)+('Recurring Items'!$E$6:$E$56="Bi-weekly")*(WEEKDAY(AB232)=IFERROR(WEEKDAY('Recurring Items'!$G$6:$G$56),0))*(MOD(AB232-IFERROR('Recurring Items'!$G$6:$G$56,0),14)=0)*(AB232&gt;=IFERROR('Recurring Items'!$G$6:$G$56,9000000000))+('Recurring Items'!$E$6:$E$56="Weekly")*(WEEKDAY(AB232)=IFERROR(WEEKDAY('Recurring Items'!$G$6:$G$56),0))*(AB232&gt;=IFERROR('Recurring Items'!$G$6:$G$56,9000000000))+('Recurring Items'!$E$6:$E$56="One-time")*(AB232='Recurring Items'!$G$6:$G$56)))</f>
        <v>0</v>
      </c>
      <c r="AF232" s="1" t="n">
        <f aca="false">(IF(AC232=1,'Debt Tracker'!$P$5&gt;0.01,INDEX('Debt Tracker'!$T$5:$AE$29,1,AC232-1)&gt;0.01))*('Recurring Items'!$H$8&lt;&gt;"Skip")*(DAY(AB232)='Recurring Items'!$F$8)*IFERROR(N('Recurring Items'!$D$8),0)+(IF(AC232=1,'Debt Tracker'!$P$6&gt;0.01,INDEX('Debt Tracker'!$T$5:$AE$29,2,AC232-1)&gt;0.01))*('Recurring Items'!$H$9&lt;&gt;"Skip")*(DAY(AB232)='Recurring Items'!$F$9)*IFERROR(N('Recurring Items'!$D$9),0)+(IF(AC232=1,'Debt Tracker'!$P$7&gt;0.01,INDEX('Debt Tracker'!$T$5:$AE$29,3,AC232-1)&gt;0.01))*('Recurring Items'!$H$10&lt;&gt;"Skip")*(DAY(AB232)='Recurring Items'!$F$10)*IFERROR(N('Recurring Items'!$D$10),0)+(IF(AC232=1,'Debt Tracker'!$P$8&gt;0.01,INDEX('Debt Tracker'!$T$5:$AE$29,4,AC232-1)&gt;0.01))*('Recurring Items'!$H$11&lt;&gt;"Skip")*(DAY(AB232)='Recurring Items'!$F$11)*IFERROR(N('Recurring Items'!$D$11),0)+(IF(AC232=1,'Debt Tracker'!$P$9&gt;0.01,INDEX('Debt Tracker'!$T$5:$AE$29,5,AC232-1)&gt;0.01))*('Recurring Items'!$H$12&lt;&gt;"Skip")*(DAY(AB232)='Recurring Items'!$F$12)*IFERROR(N('Recurring Items'!$D$12),0)+(IF(AC232=1,'Debt Tracker'!$P$10&gt;0.01,INDEX('Debt Tracker'!$T$5:$AE$29,6,AC232-1)&gt;0.01))*('Recurring Items'!$H$13&lt;&gt;"Skip")*(DAY(AB232)='Recurring Items'!$F$13)*IFERROR(N('Recurring Items'!$D$13),0)+(IF(AC232=1,'Debt Tracker'!$P$11&gt;0.01,INDEX('Debt Tracker'!$T$5:$AE$29,7,AC232-1)&gt;0.01))*('Recurring Items'!$H$14&lt;&gt;"Skip")*(DAY(AB232)='Recurring Items'!$F$14)*IFERROR(N('Recurring Items'!$D$14),0)+(IF(AC232=1,'Debt Tracker'!$P$12&gt;0.01,INDEX('Debt Tracker'!$T$5:$AE$29,8,AC232-1)&gt;0.01))*('Recurring Items'!$H$15&lt;&gt;"Skip")*(DAY(AB232)='Recurring Items'!$F$15)*IFERROR(N('Recurring Items'!$D$15),0)+(IF(AC232=1,'Debt Tracker'!$P$13&gt;0.01,INDEX('Debt Tracker'!$T$5:$AE$29,9,AC232-1)&gt;0.01))*('Recurring Items'!$H$16&lt;&gt;"Skip")*(DAY(AB232)='Recurring Items'!$F$16)*IFERROR(N('Recurring Items'!$D$16),0)+(IF(AC232=1,'Debt Tracker'!$P$14&gt;0.01,INDEX('Debt Tracker'!$T$5:$AE$29,10,AC232-1)&gt;0.01))*('Recurring Items'!$H$17&lt;&gt;"Skip")*(DAY(AB232)='Recurring Items'!$F$17)*IFERROR(N('Recurring Items'!$D$17),0)+(IF(AC232=1,'Debt Tracker'!$P$15&gt;0.01,INDEX('Debt Tracker'!$T$5:$AE$29,11,AC232-1)&gt;0.01))*('Recurring Items'!$H$18&lt;&gt;"Skip")*(DAY(AB232)='Recurring Items'!$F$18)*IFERROR(N('Recurring Items'!$D$18),0)+(IF(AC232=1,'Debt Tracker'!$P$16&gt;0.01,INDEX('Debt Tracker'!$T$5:$AE$29,12,AC232-1)&gt;0.01))*('Recurring Items'!$H$19&lt;&gt;"Skip")*(DAY(AB232)='Recurring Items'!$F$19)*IFERROR(N('Recurring Items'!$D$19),0)+(IF(AC232=1,'Debt Tracker'!$P$17&gt;0.01,INDEX('Debt Tracker'!$T$5:$AE$29,13,AC232-1)&gt;0.01))*('Recurring Items'!$H$20&lt;&gt;"Skip")*(DAY(AB232)='Recurring Items'!$F$20)*IFERROR(N('Recurring Items'!$D$20),0)+(IF(AC232=1,'Debt Tracker'!$P$18&gt;0.01,INDEX('Debt Tracker'!$T$5:$AE$29,14,AC232-1)&gt;0.01))*('Recurring Items'!$H$21&lt;&gt;"Skip")*(DAY(AB232)='Recurring Items'!$F$21)*IFERROR(N('Recurring Items'!$D$21),0)+(IF(AC232=1,'Debt Tracker'!$P$19&gt;0.01,INDEX('Debt Tracker'!$T$5:$AE$29,15,AC232-1)&gt;0.01))*('Recurring Items'!$H$22&lt;&gt;"Skip")*(DAY(AB232)='Recurring Items'!$F$22)*IFERROR(N('Recurring Items'!$D$22),0)+(IF(AC232=1,'Debt Tracker'!$P$20&gt;0.01,INDEX('Debt Tracker'!$T$5:$AE$29,16,AC232-1)&gt;0.01))*('Recurring Items'!$H$23&lt;&gt;"Skip")*(DAY(AB232)='Recurring Items'!$F$23)*IFERROR(N('Recurring Items'!$D$23),0)+(IF(AC232=1,'Debt Tracker'!$P$21&gt;0.01,INDEX('Debt Tracker'!$T$5:$AE$29,17,AC232-1)&gt;0.01))*('Recurring Items'!$H$24&lt;&gt;"Skip")*(DAY(AB232)='Recurring Items'!$F$24)*IFERROR(N('Recurring Items'!$D$24),0)+(IF(AC232=1,'Debt Tracker'!$P$22&gt;0.01,INDEX('Debt Tracker'!$T$5:$AE$29,18,AC232-1)&gt;0.01))*('Recurring Items'!$H$25&lt;&gt;"Skip")*(DAY(AB232)='Recurring Items'!$F$25)*IFERROR(N('Recurring Items'!$D$25),0)+(IF(AC232=1,'Debt Tracker'!$P$23&gt;0.01,INDEX('Debt Tracker'!$T$5:$AE$29,19,AC232-1)&gt;0.01))*('Recurring Items'!$H$26&lt;&gt;"Skip")*(DAY(AB232)='Recurring Items'!$F$26)*IFERROR(N('Recurring Items'!$D$26),0)+(IF(AC232=1,'Debt Tracker'!$P$24&gt;0.01,INDEX('Debt Tracker'!$T$5:$AE$29,20,AC232-1)&gt;0.01))*('Recurring Items'!$H$27&lt;&gt;"Skip")*(DAY(AB232)='Recurring Items'!$F$27)*IFERROR(N('Recurring Items'!$D$27),0)+(IF(AC232=1,'Debt Tracker'!$P$25&gt;0.01,INDEX('Debt Tracker'!$T$5:$AE$29,21,AC232-1)&gt;0.01))*('Recurring Items'!$H$28&lt;&gt;"Skip")*(DAY(AB232)='Recurring Items'!$F$28)*IFERROR(N('Recurring Items'!$D$28),0)+(IF(AC232=1,'Debt Tracker'!$P$26&gt;0.01,INDEX('Debt Tracker'!$T$5:$AE$29,22,AC232-1)&gt;0.01))*('Recurring Items'!$H$29&lt;&gt;"Skip")*(DAY(AB232)='Recurring Items'!$F$29)*IFERROR(N('Recurring Items'!$D$29),0)+(IF(AC232=1,'Debt Tracker'!$P$27&gt;0.01,INDEX('Debt Tracker'!$T$5:$AE$29,23,AC232-1)&gt;0.01))*('Recurring Items'!$H$30&lt;&gt;"Skip")*(DAY(AB232)='Recurring Items'!$F$30)*IFERROR(N('Recurring Items'!$D$30),0)+(IF(AC232=1,'Debt Tracker'!$P$28&gt;0.01,INDEX('Debt Tracker'!$T$5:$AE$29,24,AC232-1)&gt;0.01))*('Recurring Items'!$H$31&lt;&gt;"Skip")*(DAY(AB232)='Recurring Items'!$F$31)*IFERROR(N('Recurring Items'!$D$31),0)+(IF(AC232=1,'Debt Tracker'!$P$29&gt;0.01,INDEX('Debt Tracker'!$T$5:$AE$29,25,AC232-1)&gt;0.01))*('Recurring Items'!$H$32&lt;&gt;"Skip")*(DAY(AB232)='Recurring Items'!$F$32)*IFERROR(N('Recurring Items'!$D$32),0)</f>
        <v>1309.17</v>
      </c>
      <c r="AG232" s="1" t="n">
        <f aca="false">AD232-AE232-AF232</f>
        <v>-1309.17</v>
      </c>
      <c r="AH232" s="1" t="n">
        <f aca="false">AH231+AG232</f>
        <v>4872.26</v>
      </c>
    </row>
    <row r="233" customFormat="false" ht="15" hidden="false" customHeight="true" outlineLevel="0" collapsed="false">
      <c r="AA233" s="1" t="n">
        <v>33</v>
      </c>
      <c r="AB233" s="145" t="n">
        <f aca="false">$D$3+33</f>
        <v>46176</v>
      </c>
      <c r="AC233" s="1" t="n">
        <f aca="false">MIN(12,1+DATEDIF($D$3,AB233,"M"))</f>
        <v>2</v>
      </c>
      <c r="AD233" s="1" t="n">
        <f aca="false">SUMPRODUCT(('Recurring Items'!$C$6:$C$56="Income")*('Recurring Items'!$H$6:$H$56&lt;&gt;"Skip")*IFERROR(N('Recurring Items'!$D$6:$D$56),0)*(('Recurring Items'!$E$6:$E$56="Monthly")*(DAY(AB233)='Recurring Items'!$F$6:$F$56)+('Recurring Items'!$E$6:$E$56="Bi-weekly")*(WEEKDAY(AB233)=IFERROR(WEEKDAY('Recurring Items'!$G$6:$G$56),0))*(MOD(AB233-IFERROR('Recurring Items'!$G$6:$G$56,0),14)=0)*(AB233&gt;=IFERROR('Recurring Items'!$G$6:$G$56,9000000000))+('Recurring Items'!$E$6:$E$56="Weekly")*(WEEKDAY(AB233)=IFERROR(WEEKDAY('Recurring Items'!$G$6:$G$56),0))*(AB233&gt;=IFERROR('Recurring Items'!$G$6:$G$56,9000000000))+('Recurring Items'!$E$6:$E$56="One-time")*(AB233='Recurring Items'!$G$6:$G$56)))</f>
        <v>0</v>
      </c>
      <c r="AE233" s="1" t="n">
        <f aca="false">SUMPRODUCT(('Recurring Items'!$C$6:$C$56="Expense")*('Recurring Items'!$H$6:$H$56&lt;&gt;"Skip")*IFERROR(N('Recurring Items'!$D$6:$D$56),0)*(('Recurring Items'!$E$6:$E$56="Monthly")*(DAY(AB233)='Recurring Items'!$F$6:$F$56)+('Recurring Items'!$E$6:$E$56="Bi-weekly")*(WEEKDAY(AB233)=IFERROR(WEEKDAY('Recurring Items'!$G$6:$G$56),0))*(MOD(AB233-IFERROR('Recurring Items'!$G$6:$G$56,0),14)=0)*(AB233&gt;=IFERROR('Recurring Items'!$G$6:$G$56,9000000000))+('Recurring Items'!$E$6:$E$56="Weekly")*(WEEKDAY(AB233)=IFERROR(WEEKDAY('Recurring Items'!$G$6:$G$56),0))*(AB233&gt;=IFERROR('Recurring Items'!$G$6:$G$56,9000000000))+('Recurring Items'!$E$6:$E$56="One-time")*(AB233='Recurring Items'!$G$6:$G$56)))</f>
        <v>927.53</v>
      </c>
      <c r="AF233" s="1" t="n">
        <f aca="false">(IF(AC233=1,'Debt Tracker'!$P$5&gt;0.01,INDEX('Debt Tracker'!$T$5:$AE$29,1,AC233-1)&gt;0.01))*('Recurring Items'!$H$8&lt;&gt;"Skip")*(DAY(AB233)='Recurring Items'!$F$8)*IFERROR(N('Recurring Items'!$D$8),0)+(IF(AC233=1,'Debt Tracker'!$P$6&gt;0.01,INDEX('Debt Tracker'!$T$5:$AE$29,2,AC233-1)&gt;0.01))*('Recurring Items'!$H$9&lt;&gt;"Skip")*(DAY(AB233)='Recurring Items'!$F$9)*IFERROR(N('Recurring Items'!$D$9),0)+(IF(AC233=1,'Debt Tracker'!$P$7&gt;0.01,INDEX('Debt Tracker'!$T$5:$AE$29,3,AC233-1)&gt;0.01))*('Recurring Items'!$H$10&lt;&gt;"Skip")*(DAY(AB233)='Recurring Items'!$F$10)*IFERROR(N('Recurring Items'!$D$10),0)+(IF(AC233=1,'Debt Tracker'!$P$8&gt;0.01,INDEX('Debt Tracker'!$T$5:$AE$29,4,AC233-1)&gt;0.01))*('Recurring Items'!$H$11&lt;&gt;"Skip")*(DAY(AB233)='Recurring Items'!$F$11)*IFERROR(N('Recurring Items'!$D$11),0)+(IF(AC233=1,'Debt Tracker'!$P$9&gt;0.01,INDEX('Debt Tracker'!$T$5:$AE$29,5,AC233-1)&gt;0.01))*('Recurring Items'!$H$12&lt;&gt;"Skip")*(DAY(AB233)='Recurring Items'!$F$12)*IFERROR(N('Recurring Items'!$D$12),0)+(IF(AC233=1,'Debt Tracker'!$P$10&gt;0.01,INDEX('Debt Tracker'!$T$5:$AE$29,6,AC233-1)&gt;0.01))*('Recurring Items'!$H$13&lt;&gt;"Skip")*(DAY(AB233)='Recurring Items'!$F$13)*IFERROR(N('Recurring Items'!$D$13),0)+(IF(AC233=1,'Debt Tracker'!$P$11&gt;0.01,INDEX('Debt Tracker'!$T$5:$AE$29,7,AC233-1)&gt;0.01))*('Recurring Items'!$H$14&lt;&gt;"Skip")*(DAY(AB233)='Recurring Items'!$F$14)*IFERROR(N('Recurring Items'!$D$14),0)+(IF(AC233=1,'Debt Tracker'!$P$12&gt;0.01,INDEX('Debt Tracker'!$T$5:$AE$29,8,AC233-1)&gt;0.01))*('Recurring Items'!$H$15&lt;&gt;"Skip")*(DAY(AB233)='Recurring Items'!$F$15)*IFERROR(N('Recurring Items'!$D$15),0)+(IF(AC233=1,'Debt Tracker'!$P$13&gt;0.01,INDEX('Debt Tracker'!$T$5:$AE$29,9,AC233-1)&gt;0.01))*('Recurring Items'!$H$16&lt;&gt;"Skip")*(DAY(AB233)='Recurring Items'!$F$16)*IFERROR(N('Recurring Items'!$D$16),0)+(IF(AC233=1,'Debt Tracker'!$P$14&gt;0.01,INDEX('Debt Tracker'!$T$5:$AE$29,10,AC233-1)&gt;0.01))*('Recurring Items'!$H$17&lt;&gt;"Skip")*(DAY(AB233)='Recurring Items'!$F$17)*IFERROR(N('Recurring Items'!$D$17),0)+(IF(AC233=1,'Debt Tracker'!$P$15&gt;0.01,INDEX('Debt Tracker'!$T$5:$AE$29,11,AC233-1)&gt;0.01))*('Recurring Items'!$H$18&lt;&gt;"Skip")*(DAY(AB233)='Recurring Items'!$F$18)*IFERROR(N('Recurring Items'!$D$18),0)+(IF(AC233=1,'Debt Tracker'!$P$16&gt;0.01,INDEX('Debt Tracker'!$T$5:$AE$29,12,AC233-1)&gt;0.01))*('Recurring Items'!$H$19&lt;&gt;"Skip")*(DAY(AB233)='Recurring Items'!$F$19)*IFERROR(N('Recurring Items'!$D$19),0)+(IF(AC233=1,'Debt Tracker'!$P$17&gt;0.01,INDEX('Debt Tracker'!$T$5:$AE$29,13,AC233-1)&gt;0.01))*('Recurring Items'!$H$20&lt;&gt;"Skip")*(DAY(AB233)='Recurring Items'!$F$20)*IFERROR(N('Recurring Items'!$D$20),0)+(IF(AC233=1,'Debt Tracker'!$P$18&gt;0.01,INDEX('Debt Tracker'!$T$5:$AE$29,14,AC233-1)&gt;0.01))*('Recurring Items'!$H$21&lt;&gt;"Skip")*(DAY(AB233)='Recurring Items'!$F$21)*IFERROR(N('Recurring Items'!$D$21),0)+(IF(AC233=1,'Debt Tracker'!$P$19&gt;0.01,INDEX('Debt Tracker'!$T$5:$AE$29,15,AC233-1)&gt;0.01))*('Recurring Items'!$H$22&lt;&gt;"Skip")*(DAY(AB233)='Recurring Items'!$F$22)*IFERROR(N('Recurring Items'!$D$22),0)+(IF(AC233=1,'Debt Tracker'!$P$20&gt;0.01,INDEX('Debt Tracker'!$T$5:$AE$29,16,AC233-1)&gt;0.01))*('Recurring Items'!$H$23&lt;&gt;"Skip")*(DAY(AB233)='Recurring Items'!$F$23)*IFERROR(N('Recurring Items'!$D$23),0)+(IF(AC233=1,'Debt Tracker'!$P$21&gt;0.01,INDEX('Debt Tracker'!$T$5:$AE$29,17,AC233-1)&gt;0.01))*('Recurring Items'!$H$24&lt;&gt;"Skip")*(DAY(AB233)='Recurring Items'!$F$24)*IFERROR(N('Recurring Items'!$D$24),0)+(IF(AC233=1,'Debt Tracker'!$P$22&gt;0.01,INDEX('Debt Tracker'!$T$5:$AE$29,18,AC233-1)&gt;0.01))*('Recurring Items'!$H$25&lt;&gt;"Skip")*(DAY(AB233)='Recurring Items'!$F$25)*IFERROR(N('Recurring Items'!$D$25),0)+(IF(AC233=1,'Debt Tracker'!$P$23&gt;0.01,INDEX('Debt Tracker'!$T$5:$AE$29,19,AC233-1)&gt;0.01))*('Recurring Items'!$H$26&lt;&gt;"Skip")*(DAY(AB233)='Recurring Items'!$F$26)*IFERROR(N('Recurring Items'!$D$26),0)+(IF(AC233=1,'Debt Tracker'!$P$24&gt;0.01,INDEX('Debt Tracker'!$T$5:$AE$29,20,AC233-1)&gt;0.01))*('Recurring Items'!$H$27&lt;&gt;"Skip")*(DAY(AB233)='Recurring Items'!$F$27)*IFERROR(N('Recurring Items'!$D$27),0)+(IF(AC233=1,'Debt Tracker'!$P$25&gt;0.01,INDEX('Debt Tracker'!$T$5:$AE$29,21,AC233-1)&gt;0.01))*('Recurring Items'!$H$28&lt;&gt;"Skip")*(DAY(AB233)='Recurring Items'!$F$28)*IFERROR(N('Recurring Items'!$D$28),0)+(IF(AC233=1,'Debt Tracker'!$P$26&gt;0.01,INDEX('Debt Tracker'!$T$5:$AE$29,22,AC233-1)&gt;0.01))*('Recurring Items'!$H$29&lt;&gt;"Skip")*(DAY(AB233)='Recurring Items'!$F$29)*IFERROR(N('Recurring Items'!$D$29),0)+(IF(AC233=1,'Debt Tracker'!$P$27&gt;0.01,INDEX('Debt Tracker'!$T$5:$AE$29,23,AC233-1)&gt;0.01))*('Recurring Items'!$H$30&lt;&gt;"Skip")*(DAY(AB233)='Recurring Items'!$F$30)*IFERROR(N('Recurring Items'!$D$30),0)+(IF(AC233=1,'Debt Tracker'!$P$28&gt;0.01,INDEX('Debt Tracker'!$T$5:$AE$29,24,AC233-1)&gt;0.01))*('Recurring Items'!$H$31&lt;&gt;"Skip")*(DAY(AB233)='Recurring Items'!$F$31)*IFERROR(N('Recurring Items'!$D$31),0)+(IF(AC233=1,'Debt Tracker'!$P$29&gt;0.01,INDEX('Debt Tracker'!$T$5:$AE$29,25,AC233-1)&gt;0.01))*('Recurring Items'!$H$32&lt;&gt;"Skip")*(DAY(AB233)='Recurring Items'!$F$32)*IFERROR(N('Recurring Items'!$D$32),0)</f>
        <v>0</v>
      </c>
      <c r="AG233" s="1" t="n">
        <f aca="false">AD233-AE233-AF233</f>
        <v>-927.53</v>
      </c>
      <c r="AH233" s="1" t="n">
        <f aca="false">AH232+AG233</f>
        <v>3944.73</v>
      </c>
    </row>
    <row r="234" customFormat="false" ht="15" hidden="false" customHeight="true" outlineLevel="0" collapsed="false">
      <c r="AA234" s="1" t="n">
        <v>34</v>
      </c>
      <c r="AB234" s="145" t="n">
        <f aca="false">$D$3+34</f>
        <v>46177</v>
      </c>
      <c r="AC234" s="1" t="n">
        <f aca="false">MIN(12,1+DATEDIF($D$3,AB234,"M"))</f>
        <v>2</v>
      </c>
      <c r="AD234" s="1" t="n">
        <f aca="false">SUMPRODUCT(('Recurring Items'!$C$6:$C$56="Income")*('Recurring Items'!$H$6:$H$56&lt;&gt;"Skip")*IFERROR(N('Recurring Items'!$D$6:$D$56),0)*(('Recurring Items'!$E$6:$E$56="Monthly")*(DAY(AB234)='Recurring Items'!$F$6:$F$56)+('Recurring Items'!$E$6:$E$56="Bi-weekly")*(WEEKDAY(AB234)=IFERROR(WEEKDAY('Recurring Items'!$G$6:$G$56),0))*(MOD(AB234-IFERROR('Recurring Items'!$G$6:$G$56,0),14)=0)*(AB234&gt;=IFERROR('Recurring Items'!$G$6:$G$56,9000000000))+('Recurring Items'!$E$6:$E$56="Weekly")*(WEEKDAY(AB234)=IFERROR(WEEKDAY('Recurring Items'!$G$6:$G$56),0))*(AB234&gt;=IFERROR('Recurring Items'!$G$6:$G$56,9000000000))+('Recurring Items'!$E$6:$E$56="One-time")*(AB234='Recurring Items'!$G$6:$G$56)))</f>
        <v>2274.42</v>
      </c>
      <c r="AE234" s="1" t="n">
        <f aca="false">SUMPRODUCT(('Recurring Items'!$C$6:$C$56="Expense")*('Recurring Items'!$H$6:$H$56&lt;&gt;"Skip")*IFERROR(N('Recurring Items'!$D$6:$D$56),0)*(('Recurring Items'!$E$6:$E$56="Monthly")*(DAY(AB234)='Recurring Items'!$F$6:$F$56)+('Recurring Items'!$E$6:$E$56="Bi-weekly")*(WEEKDAY(AB234)=IFERROR(WEEKDAY('Recurring Items'!$G$6:$G$56),0))*(MOD(AB234-IFERROR('Recurring Items'!$G$6:$G$56,0),14)=0)*(AB234&gt;=IFERROR('Recurring Items'!$G$6:$G$56,9000000000))+('Recurring Items'!$E$6:$E$56="Weekly")*(WEEKDAY(AB234)=IFERROR(WEEKDAY('Recurring Items'!$G$6:$G$56),0))*(AB234&gt;=IFERROR('Recurring Items'!$G$6:$G$56,9000000000))+('Recurring Items'!$E$6:$E$56="One-time")*(AB234='Recurring Items'!$G$6:$G$56)))</f>
        <v>0</v>
      </c>
      <c r="AF234" s="1" t="n">
        <f aca="false">(IF(AC234=1,'Debt Tracker'!$P$5&gt;0.01,INDEX('Debt Tracker'!$T$5:$AE$29,1,AC234-1)&gt;0.01))*('Recurring Items'!$H$8&lt;&gt;"Skip")*(DAY(AB234)='Recurring Items'!$F$8)*IFERROR(N('Recurring Items'!$D$8),0)+(IF(AC234=1,'Debt Tracker'!$P$6&gt;0.01,INDEX('Debt Tracker'!$T$5:$AE$29,2,AC234-1)&gt;0.01))*('Recurring Items'!$H$9&lt;&gt;"Skip")*(DAY(AB234)='Recurring Items'!$F$9)*IFERROR(N('Recurring Items'!$D$9),0)+(IF(AC234=1,'Debt Tracker'!$P$7&gt;0.01,INDEX('Debt Tracker'!$T$5:$AE$29,3,AC234-1)&gt;0.01))*('Recurring Items'!$H$10&lt;&gt;"Skip")*(DAY(AB234)='Recurring Items'!$F$10)*IFERROR(N('Recurring Items'!$D$10),0)+(IF(AC234=1,'Debt Tracker'!$P$8&gt;0.01,INDEX('Debt Tracker'!$T$5:$AE$29,4,AC234-1)&gt;0.01))*('Recurring Items'!$H$11&lt;&gt;"Skip")*(DAY(AB234)='Recurring Items'!$F$11)*IFERROR(N('Recurring Items'!$D$11),0)+(IF(AC234=1,'Debt Tracker'!$P$9&gt;0.01,INDEX('Debt Tracker'!$T$5:$AE$29,5,AC234-1)&gt;0.01))*('Recurring Items'!$H$12&lt;&gt;"Skip")*(DAY(AB234)='Recurring Items'!$F$12)*IFERROR(N('Recurring Items'!$D$12),0)+(IF(AC234=1,'Debt Tracker'!$P$10&gt;0.01,INDEX('Debt Tracker'!$T$5:$AE$29,6,AC234-1)&gt;0.01))*('Recurring Items'!$H$13&lt;&gt;"Skip")*(DAY(AB234)='Recurring Items'!$F$13)*IFERROR(N('Recurring Items'!$D$13),0)+(IF(AC234=1,'Debt Tracker'!$P$11&gt;0.01,INDEX('Debt Tracker'!$T$5:$AE$29,7,AC234-1)&gt;0.01))*('Recurring Items'!$H$14&lt;&gt;"Skip")*(DAY(AB234)='Recurring Items'!$F$14)*IFERROR(N('Recurring Items'!$D$14),0)+(IF(AC234=1,'Debt Tracker'!$P$12&gt;0.01,INDEX('Debt Tracker'!$T$5:$AE$29,8,AC234-1)&gt;0.01))*('Recurring Items'!$H$15&lt;&gt;"Skip")*(DAY(AB234)='Recurring Items'!$F$15)*IFERROR(N('Recurring Items'!$D$15),0)+(IF(AC234=1,'Debt Tracker'!$P$13&gt;0.01,INDEX('Debt Tracker'!$T$5:$AE$29,9,AC234-1)&gt;0.01))*('Recurring Items'!$H$16&lt;&gt;"Skip")*(DAY(AB234)='Recurring Items'!$F$16)*IFERROR(N('Recurring Items'!$D$16),0)+(IF(AC234=1,'Debt Tracker'!$P$14&gt;0.01,INDEX('Debt Tracker'!$T$5:$AE$29,10,AC234-1)&gt;0.01))*('Recurring Items'!$H$17&lt;&gt;"Skip")*(DAY(AB234)='Recurring Items'!$F$17)*IFERROR(N('Recurring Items'!$D$17),0)+(IF(AC234=1,'Debt Tracker'!$P$15&gt;0.01,INDEX('Debt Tracker'!$T$5:$AE$29,11,AC234-1)&gt;0.01))*('Recurring Items'!$H$18&lt;&gt;"Skip")*(DAY(AB234)='Recurring Items'!$F$18)*IFERROR(N('Recurring Items'!$D$18),0)+(IF(AC234=1,'Debt Tracker'!$P$16&gt;0.01,INDEX('Debt Tracker'!$T$5:$AE$29,12,AC234-1)&gt;0.01))*('Recurring Items'!$H$19&lt;&gt;"Skip")*(DAY(AB234)='Recurring Items'!$F$19)*IFERROR(N('Recurring Items'!$D$19),0)+(IF(AC234=1,'Debt Tracker'!$P$17&gt;0.01,INDEX('Debt Tracker'!$T$5:$AE$29,13,AC234-1)&gt;0.01))*('Recurring Items'!$H$20&lt;&gt;"Skip")*(DAY(AB234)='Recurring Items'!$F$20)*IFERROR(N('Recurring Items'!$D$20),0)+(IF(AC234=1,'Debt Tracker'!$P$18&gt;0.01,INDEX('Debt Tracker'!$T$5:$AE$29,14,AC234-1)&gt;0.01))*('Recurring Items'!$H$21&lt;&gt;"Skip")*(DAY(AB234)='Recurring Items'!$F$21)*IFERROR(N('Recurring Items'!$D$21),0)+(IF(AC234=1,'Debt Tracker'!$P$19&gt;0.01,INDEX('Debt Tracker'!$T$5:$AE$29,15,AC234-1)&gt;0.01))*('Recurring Items'!$H$22&lt;&gt;"Skip")*(DAY(AB234)='Recurring Items'!$F$22)*IFERROR(N('Recurring Items'!$D$22),0)+(IF(AC234=1,'Debt Tracker'!$P$20&gt;0.01,INDEX('Debt Tracker'!$T$5:$AE$29,16,AC234-1)&gt;0.01))*('Recurring Items'!$H$23&lt;&gt;"Skip")*(DAY(AB234)='Recurring Items'!$F$23)*IFERROR(N('Recurring Items'!$D$23),0)+(IF(AC234=1,'Debt Tracker'!$P$21&gt;0.01,INDEX('Debt Tracker'!$T$5:$AE$29,17,AC234-1)&gt;0.01))*('Recurring Items'!$H$24&lt;&gt;"Skip")*(DAY(AB234)='Recurring Items'!$F$24)*IFERROR(N('Recurring Items'!$D$24),0)+(IF(AC234=1,'Debt Tracker'!$P$22&gt;0.01,INDEX('Debt Tracker'!$T$5:$AE$29,18,AC234-1)&gt;0.01))*('Recurring Items'!$H$25&lt;&gt;"Skip")*(DAY(AB234)='Recurring Items'!$F$25)*IFERROR(N('Recurring Items'!$D$25),0)+(IF(AC234=1,'Debt Tracker'!$P$23&gt;0.01,INDEX('Debt Tracker'!$T$5:$AE$29,19,AC234-1)&gt;0.01))*('Recurring Items'!$H$26&lt;&gt;"Skip")*(DAY(AB234)='Recurring Items'!$F$26)*IFERROR(N('Recurring Items'!$D$26),0)+(IF(AC234=1,'Debt Tracker'!$P$24&gt;0.01,INDEX('Debt Tracker'!$T$5:$AE$29,20,AC234-1)&gt;0.01))*('Recurring Items'!$H$27&lt;&gt;"Skip")*(DAY(AB234)='Recurring Items'!$F$27)*IFERROR(N('Recurring Items'!$D$27),0)+(IF(AC234=1,'Debt Tracker'!$P$25&gt;0.01,INDEX('Debt Tracker'!$T$5:$AE$29,21,AC234-1)&gt;0.01))*('Recurring Items'!$H$28&lt;&gt;"Skip")*(DAY(AB234)='Recurring Items'!$F$28)*IFERROR(N('Recurring Items'!$D$28),0)+(IF(AC234=1,'Debt Tracker'!$P$26&gt;0.01,INDEX('Debt Tracker'!$T$5:$AE$29,22,AC234-1)&gt;0.01))*('Recurring Items'!$H$29&lt;&gt;"Skip")*(DAY(AB234)='Recurring Items'!$F$29)*IFERROR(N('Recurring Items'!$D$29),0)+(IF(AC234=1,'Debt Tracker'!$P$27&gt;0.01,INDEX('Debt Tracker'!$T$5:$AE$29,23,AC234-1)&gt;0.01))*('Recurring Items'!$H$30&lt;&gt;"Skip")*(DAY(AB234)='Recurring Items'!$F$30)*IFERROR(N('Recurring Items'!$D$30),0)+(IF(AC234=1,'Debt Tracker'!$P$28&gt;0.01,INDEX('Debt Tracker'!$T$5:$AE$29,24,AC234-1)&gt;0.01))*('Recurring Items'!$H$31&lt;&gt;"Skip")*(DAY(AB234)='Recurring Items'!$F$31)*IFERROR(N('Recurring Items'!$D$31),0)+(IF(AC234=1,'Debt Tracker'!$P$29&gt;0.01,INDEX('Debt Tracker'!$T$5:$AE$29,25,AC234-1)&gt;0.01))*('Recurring Items'!$H$32&lt;&gt;"Skip")*(DAY(AB234)='Recurring Items'!$F$32)*IFERROR(N('Recurring Items'!$D$32),0)</f>
        <v>0</v>
      </c>
      <c r="AG234" s="1" t="n">
        <f aca="false">AD234-AE234-AF234</f>
        <v>2274.42</v>
      </c>
      <c r="AH234" s="1" t="n">
        <f aca="false">AH233+AG234</f>
        <v>6219.15</v>
      </c>
    </row>
    <row r="235" customFormat="false" ht="15" hidden="false" customHeight="true" outlineLevel="0" collapsed="false">
      <c r="AA235" s="1" t="n">
        <v>35</v>
      </c>
      <c r="AB235" s="145" t="n">
        <f aca="false">$D$3+35</f>
        <v>46178</v>
      </c>
      <c r="AC235" s="1" t="n">
        <f aca="false">MIN(12,1+DATEDIF($D$3,AB235,"M"))</f>
        <v>2</v>
      </c>
      <c r="AD235" s="1" t="n">
        <f aca="false">SUMPRODUCT(('Recurring Items'!$C$6:$C$56="Income")*('Recurring Items'!$H$6:$H$56&lt;&gt;"Skip")*IFERROR(N('Recurring Items'!$D$6:$D$56),0)*(('Recurring Items'!$E$6:$E$56="Monthly")*(DAY(AB235)='Recurring Items'!$F$6:$F$56)+('Recurring Items'!$E$6:$E$56="Bi-weekly")*(WEEKDAY(AB235)=IFERROR(WEEKDAY('Recurring Items'!$G$6:$G$56),0))*(MOD(AB235-IFERROR('Recurring Items'!$G$6:$G$56,0),14)=0)*(AB235&gt;=IFERROR('Recurring Items'!$G$6:$G$56,9000000000))+('Recurring Items'!$E$6:$E$56="Weekly")*(WEEKDAY(AB235)=IFERROR(WEEKDAY('Recurring Items'!$G$6:$G$56),0))*(AB235&gt;=IFERROR('Recurring Items'!$G$6:$G$56,9000000000))+('Recurring Items'!$E$6:$E$56="One-time")*(AB235='Recurring Items'!$G$6:$G$56)))</f>
        <v>0</v>
      </c>
      <c r="AE235" s="1" t="n">
        <f aca="false">SUMPRODUCT(('Recurring Items'!$C$6:$C$56="Expense")*('Recurring Items'!$H$6:$H$56&lt;&gt;"Skip")*IFERROR(N('Recurring Items'!$D$6:$D$56),0)*(('Recurring Items'!$E$6:$E$56="Monthly")*(DAY(AB235)='Recurring Items'!$F$6:$F$56)+('Recurring Items'!$E$6:$E$56="Bi-weekly")*(WEEKDAY(AB235)=IFERROR(WEEKDAY('Recurring Items'!$G$6:$G$56),0))*(MOD(AB235-IFERROR('Recurring Items'!$G$6:$G$56,0),14)=0)*(AB235&gt;=IFERROR('Recurring Items'!$G$6:$G$56,9000000000))+('Recurring Items'!$E$6:$E$56="Weekly")*(WEEKDAY(AB235)=IFERROR(WEEKDAY('Recurring Items'!$G$6:$G$56),0))*(AB235&gt;=IFERROR('Recurring Items'!$G$6:$G$56,9000000000))+('Recurring Items'!$E$6:$E$56="One-time")*(AB235='Recurring Items'!$G$6:$G$56)))</f>
        <v>511.01</v>
      </c>
      <c r="AF235" s="1" t="n">
        <f aca="false">(IF(AC235=1,'Debt Tracker'!$P$5&gt;0.01,INDEX('Debt Tracker'!$T$5:$AE$29,1,AC235-1)&gt;0.01))*('Recurring Items'!$H$8&lt;&gt;"Skip")*(DAY(AB235)='Recurring Items'!$F$8)*IFERROR(N('Recurring Items'!$D$8),0)+(IF(AC235=1,'Debt Tracker'!$P$6&gt;0.01,INDEX('Debt Tracker'!$T$5:$AE$29,2,AC235-1)&gt;0.01))*('Recurring Items'!$H$9&lt;&gt;"Skip")*(DAY(AB235)='Recurring Items'!$F$9)*IFERROR(N('Recurring Items'!$D$9),0)+(IF(AC235=1,'Debt Tracker'!$P$7&gt;0.01,INDEX('Debt Tracker'!$T$5:$AE$29,3,AC235-1)&gt;0.01))*('Recurring Items'!$H$10&lt;&gt;"Skip")*(DAY(AB235)='Recurring Items'!$F$10)*IFERROR(N('Recurring Items'!$D$10),0)+(IF(AC235=1,'Debt Tracker'!$P$8&gt;0.01,INDEX('Debt Tracker'!$T$5:$AE$29,4,AC235-1)&gt;0.01))*('Recurring Items'!$H$11&lt;&gt;"Skip")*(DAY(AB235)='Recurring Items'!$F$11)*IFERROR(N('Recurring Items'!$D$11),0)+(IF(AC235=1,'Debt Tracker'!$P$9&gt;0.01,INDEX('Debt Tracker'!$T$5:$AE$29,5,AC235-1)&gt;0.01))*('Recurring Items'!$H$12&lt;&gt;"Skip")*(DAY(AB235)='Recurring Items'!$F$12)*IFERROR(N('Recurring Items'!$D$12),0)+(IF(AC235=1,'Debt Tracker'!$P$10&gt;0.01,INDEX('Debt Tracker'!$T$5:$AE$29,6,AC235-1)&gt;0.01))*('Recurring Items'!$H$13&lt;&gt;"Skip")*(DAY(AB235)='Recurring Items'!$F$13)*IFERROR(N('Recurring Items'!$D$13),0)+(IF(AC235=1,'Debt Tracker'!$P$11&gt;0.01,INDEX('Debt Tracker'!$T$5:$AE$29,7,AC235-1)&gt;0.01))*('Recurring Items'!$H$14&lt;&gt;"Skip")*(DAY(AB235)='Recurring Items'!$F$14)*IFERROR(N('Recurring Items'!$D$14),0)+(IF(AC235=1,'Debt Tracker'!$P$12&gt;0.01,INDEX('Debt Tracker'!$T$5:$AE$29,8,AC235-1)&gt;0.01))*('Recurring Items'!$H$15&lt;&gt;"Skip")*(DAY(AB235)='Recurring Items'!$F$15)*IFERROR(N('Recurring Items'!$D$15),0)+(IF(AC235=1,'Debt Tracker'!$P$13&gt;0.01,INDEX('Debt Tracker'!$T$5:$AE$29,9,AC235-1)&gt;0.01))*('Recurring Items'!$H$16&lt;&gt;"Skip")*(DAY(AB235)='Recurring Items'!$F$16)*IFERROR(N('Recurring Items'!$D$16),0)+(IF(AC235=1,'Debt Tracker'!$P$14&gt;0.01,INDEX('Debt Tracker'!$T$5:$AE$29,10,AC235-1)&gt;0.01))*('Recurring Items'!$H$17&lt;&gt;"Skip")*(DAY(AB235)='Recurring Items'!$F$17)*IFERROR(N('Recurring Items'!$D$17),0)+(IF(AC235=1,'Debt Tracker'!$P$15&gt;0.01,INDEX('Debt Tracker'!$T$5:$AE$29,11,AC235-1)&gt;0.01))*('Recurring Items'!$H$18&lt;&gt;"Skip")*(DAY(AB235)='Recurring Items'!$F$18)*IFERROR(N('Recurring Items'!$D$18),0)+(IF(AC235=1,'Debt Tracker'!$P$16&gt;0.01,INDEX('Debt Tracker'!$T$5:$AE$29,12,AC235-1)&gt;0.01))*('Recurring Items'!$H$19&lt;&gt;"Skip")*(DAY(AB235)='Recurring Items'!$F$19)*IFERROR(N('Recurring Items'!$D$19),0)+(IF(AC235=1,'Debt Tracker'!$P$17&gt;0.01,INDEX('Debt Tracker'!$T$5:$AE$29,13,AC235-1)&gt;0.01))*('Recurring Items'!$H$20&lt;&gt;"Skip")*(DAY(AB235)='Recurring Items'!$F$20)*IFERROR(N('Recurring Items'!$D$20),0)+(IF(AC235=1,'Debt Tracker'!$P$18&gt;0.01,INDEX('Debt Tracker'!$T$5:$AE$29,14,AC235-1)&gt;0.01))*('Recurring Items'!$H$21&lt;&gt;"Skip")*(DAY(AB235)='Recurring Items'!$F$21)*IFERROR(N('Recurring Items'!$D$21),0)+(IF(AC235=1,'Debt Tracker'!$P$19&gt;0.01,INDEX('Debt Tracker'!$T$5:$AE$29,15,AC235-1)&gt;0.01))*('Recurring Items'!$H$22&lt;&gt;"Skip")*(DAY(AB235)='Recurring Items'!$F$22)*IFERROR(N('Recurring Items'!$D$22),0)+(IF(AC235=1,'Debt Tracker'!$P$20&gt;0.01,INDEX('Debt Tracker'!$T$5:$AE$29,16,AC235-1)&gt;0.01))*('Recurring Items'!$H$23&lt;&gt;"Skip")*(DAY(AB235)='Recurring Items'!$F$23)*IFERROR(N('Recurring Items'!$D$23),0)+(IF(AC235=1,'Debt Tracker'!$P$21&gt;0.01,INDEX('Debt Tracker'!$T$5:$AE$29,17,AC235-1)&gt;0.01))*('Recurring Items'!$H$24&lt;&gt;"Skip")*(DAY(AB235)='Recurring Items'!$F$24)*IFERROR(N('Recurring Items'!$D$24),0)+(IF(AC235=1,'Debt Tracker'!$P$22&gt;0.01,INDEX('Debt Tracker'!$T$5:$AE$29,18,AC235-1)&gt;0.01))*('Recurring Items'!$H$25&lt;&gt;"Skip")*(DAY(AB235)='Recurring Items'!$F$25)*IFERROR(N('Recurring Items'!$D$25),0)+(IF(AC235=1,'Debt Tracker'!$P$23&gt;0.01,INDEX('Debt Tracker'!$T$5:$AE$29,19,AC235-1)&gt;0.01))*('Recurring Items'!$H$26&lt;&gt;"Skip")*(DAY(AB235)='Recurring Items'!$F$26)*IFERROR(N('Recurring Items'!$D$26),0)+(IF(AC235=1,'Debt Tracker'!$P$24&gt;0.01,INDEX('Debt Tracker'!$T$5:$AE$29,20,AC235-1)&gt;0.01))*('Recurring Items'!$H$27&lt;&gt;"Skip")*(DAY(AB235)='Recurring Items'!$F$27)*IFERROR(N('Recurring Items'!$D$27),0)+(IF(AC235=1,'Debt Tracker'!$P$25&gt;0.01,INDEX('Debt Tracker'!$T$5:$AE$29,21,AC235-1)&gt;0.01))*('Recurring Items'!$H$28&lt;&gt;"Skip")*(DAY(AB235)='Recurring Items'!$F$28)*IFERROR(N('Recurring Items'!$D$28),0)+(IF(AC235=1,'Debt Tracker'!$P$26&gt;0.01,INDEX('Debt Tracker'!$T$5:$AE$29,22,AC235-1)&gt;0.01))*('Recurring Items'!$H$29&lt;&gt;"Skip")*(DAY(AB235)='Recurring Items'!$F$29)*IFERROR(N('Recurring Items'!$D$29),0)+(IF(AC235=1,'Debt Tracker'!$P$27&gt;0.01,INDEX('Debt Tracker'!$T$5:$AE$29,23,AC235-1)&gt;0.01))*('Recurring Items'!$H$30&lt;&gt;"Skip")*(DAY(AB235)='Recurring Items'!$F$30)*IFERROR(N('Recurring Items'!$D$30),0)+(IF(AC235=1,'Debt Tracker'!$P$28&gt;0.01,INDEX('Debt Tracker'!$T$5:$AE$29,24,AC235-1)&gt;0.01))*('Recurring Items'!$H$31&lt;&gt;"Skip")*(DAY(AB235)='Recurring Items'!$F$31)*IFERROR(N('Recurring Items'!$D$31),0)+(IF(AC235=1,'Debt Tracker'!$P$29&gt;0.01,INDEX('Debt Tracker'!$T$5:$AE$29,25,AC235-1)&gt;0.01))*('Recurring Items'!$H$32&lt;&gt;"Skip")*(DAY(AB235)='Recurring Items'!$F$32)*IFERROR(N('Recurring Items'!$D$32),0)</f>
        <v>0</v>
      </c>
      <c r="AG235" s="1" t="n">
        <f aca="false">AD235-AE235-AF235</f>
        <v>-511.01</v>
      </c>
      <c r="AH235" s="1" t="n">
        <f aca="false">AH234+AG235</f>
        <v>5708.14</v>
      </c>
    </row>
    <row r="236" customFormat="false" ht="15" hidden="false" customHeight="true" outlineLevel="0" collapsed="false">
      <c r="AA236" s="1" t="n">
        <v>36</v>
      </c>
      <c r="AB236" s="145" t="n">
        <f aca="false">$D$3+36</f>
        <v>46179</v>
      </c>
      <c r="AC236" s="1" t="n">
        <f aca="false">MIN(12,1+DATEDIF($D$3,AB236,"M"))</f>
        <v>2</v>
      </c>
      <c r="AD236" s="1" t="n">
        <f aca="false">SUMPRODUCT(('Recurring Items'!$C$6:$C$56="Income")*('Recurring Items'!$H$6:$H$56&lt;&gt;"Skip")*IFERROR(N('Recurring Items'!$D$6:$D$56),0)*(('Recurring Items'!$E$6:$E$56="Monthly")*(DAY(AB236)='Recurring Items'!$F$6:$F$56)+('Recurring Items'!$E$6:$E$56="Bi-weekly")*(WEEKDAY(AB236)=IFERROR(WEEKDAY('Recurring Items'!$G$6:$G$56),0))*(MOD(AB236-IFERROR('Recurring Items'!$G$6:$G$56,0),14)=0)*(AB236&gt;=IFERROR('Recurring Items'!$G$6:$G$56,9000000000))+('Recurring Items'!$E$6:$E$56="Weekly")*(WEEKDAY(AB236)=IFERROR(WEEKDAY('Recurring Items'!$G$6:$G$56),0))*(AB236&gt;=IFERROR('Recurring Items'!$G$6:$G$56,9000000000))+('Recurring Items'!$E$6:$E$56="One-time")*(AB236='Recurring Items'!$G$6:$G$56)))</f>
        <v>0</v>
      </c>
      <c r="AE236" s="1" t="n">
        <f aca="false">SUMPRODUCT(('Recurring Items'!$C$6:$C$56="Expense")*('Recurring Items'!$H$6:$H$56&lt;&gt;"Skip")*IFERROR(N('Recurring Items'!$D$6:$D$56),0)*(('Recurring Items'!$E$6:$E$56="Monthly")*(DAY(AB236)='Recurring Items'!$F$6:$F$56)+('Recurring Items'!$E$6:$E$56="Bi-weekly")*(WEEKDAY(AB236)=IFERROR(WEEKDAY('Recurring Items'!$G$6:$G$56),0))*(MOD(AB236-IFERROR('Recurring Items'!$G$6:$G$56,0),14)=0)*(AB236&gt;=IFERROR('Recurring Items'!$G$6:$G$56,9000000000))+('Recurring Items'!$E$6:$E$56="Weekly")*(WEEKDAY(AB236)=IFERROR(WEEKDAY('Recurring Items'!$G$6:$G$56),0))*(AB236&gt;=IFERROR('Recurring Items'!$G$6:$G$56,9000000000))+('Recurring Items'!$E$6:$E$56="One-time")*(AB236='Recurring Items'!$G$6:$G$56)))</f>
        <v>651.55</v>
      </c>
      <c r="AF236" s="1" t="n">
        <f aca="false">(IF(AC236=1,'Debt Tracker'!$P$5&gt;0.01,INDEX('Debt Tracker'!$T$5:$AE$29,1,AC236-1)&gt;0.01))*('Recurring Items'!$H$8&lt;&gt;"Skip")*(DAY(AB236)='Recurring Items'!$F$8)*IFERROR(N('Recurring Items'!$D$8),0)+(IF(AC236=1,'Debt Tracker'!$P$6&gt;0.01,INDEX('Debt Tracker'!$T$5:$AE$29,2,AC236-1)&gt;0.01))*('Recurring Items'!$H$9&lt;&gt;"Skip")*(DAY(AB236)='Recurring Items'!$F$9)*IFERROR(N('Recurring Items'!$D$9),0)+(IF(AC236=1,'Debt Tracker'!$P$7&gt;0.01,INDEX('Debt Tracker'!$T$5:$AE$29,3,AC236-1)&gt;0.01))*('Recurring Items'!$H$10&lt;&gt;"Skip")*(DAY(AB236)='Recurring Items'!$F$10)*IFERROR(N('Recurring Items'!$D$10),0)+(IF(AC236=1,'Debt Tracker'!$P$8&gt;0.01,INDEX('Debt Tracker'!$T$5:$AE$29,4,AC236-1)&gt;0.01))*('Recurring Items'!$H$11&lt;&gt;"Skip")*(DAY(AB236)='Recurring Items'!$F$11)*IFERROR(N('Recurring Items'!$D$11),0)+(IF(AC236=1,'Debt Tracker'!$P$9&gt;0.01,INDEX('Debt Tracker'!$T$5:$AE$29,5,AC236-1)&gt;0.01))*('Recurring Items'!$H$12&lt;&gt;"Skip")*(DAY(AB236)='Recurring Items'!$F$12)*IFERROR(N('Recurring Items'!$D$12),0)+(IF(AC236=1,'Debt Tracker'!$P$10&gt;0.01,INDEX('Debt Tracker'!$T$5:$AE$29,6,AC236-1)&gt;0.01))*('Recurring Items'!$H$13&lt;&gt;"Skip")*(DAY(AB236)='Recurring Items'!$F$13)*IFERROR(N('Recurring Items'!$D$13),0)+(IF(AC236=1,'Debt Tracker'!$P$11&gt;0.01,INDEX('Debt Tracker'!$T$5:$AE$29,7,AC236-1)&gt;0.01))*('Recurring Items'!$H$14&lt;&gt;"Skip")*(DAY(AB236)='Recurring Items'!$F$14)*IFERROR(N('Recurring Items'!$D$14),0)+(IF(AC236=1,'Debt Tracker'!$P$12&gt;0.01,INDEX('Debt Tracker'!$T$5:$AE$29,8,AC236-1)&gt;0.01))*('Recurring Items'!$H$15&lt;&gt;"Skip")*(DAY(AB236)='Recurring Items'!$F$15)*IFERROR(N('Recurring Items'!$D$15),0)+(IF(AC236=1,'Debt Tracker'!$P$13&gt;0.01,INDEX('Debt Tracker'!$T$5:$AE$29,9,AC236-1)&gt;0.01))*('Recurring Items'!$H$16&lt;&gt;"Skip")*(DAY(AB236)='Recurring Items'!$F$16)*IFERROR(N('Recurring Items'!$D$16),0)+(IF(AC236=1,'Debt Tracker'!$P$14&gt;0.01,INDEX('Debt Tracker'!$T$5:$AE$29,10,AC236-1)&gt;0.01))*('Recurring Items'!$H$17&lt;&gt;"Skip")*(DAY(AB236)='Recurring Items'!$F$17)*IFERROR(N('Recurring Items'!$D$17),0)+(IF(AC236=1,'Debt Tracker'!$P$15&gt;0.01,INDEX('Debt Tracker'!$T$5:$AE$29,11,AC236-1)&gt;0.01))*('Recurring Items'!$H$18&lt;&gt;"Skip")*(DAY(AB236)='Recurring Items'!$F$18)*IFERROR(N('Recurring Items'!$D$18),0)+(IF(AC236=1,'Debt Tracker'!$P$16&gt;0.01,INDEX('Debt Tracker'!$T$5:$AE$29,12,AC236-1)&gt;0.01))*('Recurring Items'!$H$19&lt;&gt;"Skip")*(DAY(AB236)='Recurring Items'!$F$19)*IFERROR(N('Recurring Items'!$D$19),0)+(IF(AC236=1,'Debt Tracker'!$P$17&gt;0.01,INDEX('Debt Tracker'!$T$5:$AE$29,13,AC236-1)&gt;0.01))*('Recurring Items'!$H$20&lt;&gt;"Skip")*(DAY(AB236)='Recurring Items'!$F$20)*IFERROR(N('Recurring Items'!$D$20),0)+(IF(AC236=1,'Debt Tracker'!$P$18&gt;0.01,INDEX('Debt Tracker'!$T$5:$AE$29,14,AC236-1)&gt;0.01))*('Recurring Items'!$H$21&lt;&gt;"Skip")*(DAY(AB236)='Recurring Items'!$F$21)*IFERROR(N('Recurring Items'!$D$21),0)+(IF(AC236=1,'Debt Tracker'!$P$19&gt;0.01,INDEX('Debt Tracker'!$T$5:$AE$29,15,AC236-1)&gt;0.01))*('Recurring Items'!$H$22&lt;&gt;"Skip")*(DAY(AB236)='Recurring Items'!$F$22)*IFERROR(N('Recurring Items'!$D$22),0)+(IF(AC236=1,'Debt Tracker'!$P$20&gt;0.01,INDEX('Debt Tracker'!$T$5:$AE$29,16,AC236-1)&gt;0.01))*('Recurring Items'!$H$23&lt;&gt;"Skip")*(DAY(AB236)='Recurring Items'!$F$23)*IFERROR(N('Recurring Items'!$D$23),0)+(IF(AC236=1,'Debt Tracker'!$P$21&gt;0.01,INDEX('Debt Tracker'!$T$5:$AE$29,17,AC236-1)&gt;0.01))*('Recurring Items'!$H$24&lt;&gt;"Skip")*(DAY(AB236)='Recurring Items'!$F$24)*IFERROR(N('Recurring Items'!$D$24),0)+(IF(AC236=1,'Debt Tracker'!$P$22&gt;0.01,INDEX('Debt Tracker'!$T$5:$AE$29,18,AC236-1)&gt;0.01))*('Recurring Items'!$H$25&lt;&gt;"Skip")*(DAY(AB236)='Recurring Items'!$F$25)*IFERROR(N('Recurring Items'!$D$25),0)+(IF(AC236=1,'Debt Tracker'!$P$23&gt;0.01,INDEX('Debt Tracker'!$T$5:$AE$29,19,AC236-1)&gt;0.01))*('Recurring Items'!$H$26&lt;&gt;"Skip")*(DAY(AB236)='Recurring Items'!$F$26)*IFERROR(N('Recurring Items'!$D$26),0)+(IF(AC236=1,'Debt Tracker'!$P$24&gt;0.01,INDEX('Debt Tracker'!$T$5:$AE$29,20,AC236-1)&gt;0.01))*('Recurring Items'!$H$27&lt;&gt;"Skip")*(DAY(AB236)='Recurring Items'!$F$27)*IFERROR(N('Recurring Items'!$D$27),0)+(IF(AC236=1,'Debt Tracker'!$P$25&gt;0.01,INDEX('Debt Tracker'!$T$5:$AE$29,21,AC236-1)&gt;0.01))*('Recurring Items'!$H$28&lt;&gt;"Skip")*(DAY(AB236)='Recurring Items'!$F$28)*IFERROR(N('Recurring Items'!$D$28),0)+(IF(AC236=1,'Debt Tracker'!$P$26&gt;0.01,INDEX('Debt Tracker'!$T$5:$AE$29,22,AC236-1)&gt;0.01))*('Recurring Items'!$H$29&lt;&gt;"Skip")*(DAY(AB236)='Recurring Items'!$F$29)*IFERROR(N('Recurring Items'!$D$29),0)+(IF(AC236=1,'Debt Tracker'!$P$27&gt;0.01,INDEX('Debt Tracker'!$T$5:$AE$29,23,AC236-1)&gt;0.01))*('Recurring Items'!$H$30&lt;&gt;"Skip")*(DAY(AB236)='Recurring Items'!$F$30)*IFERROR(N('Recurring Items'!$D$30),0)+(IF(AC236=1,'Debt Tracker'!$P$28&gt;0.01,INDEX('Debt Tracker'!$T$5:$AE$29,24,AC236-1)&gt;0.01))*('Recurring Items'!$H$31&lt;&gt;"Skip")*(DAY(AB236)='Recurring Items'!$F$31)*IFERROR(N('Recurring Items'!$D$31),0)+(IF(AC236=1,'Debt Tracker'!$P$29&gt;0.01,INDEX('Debt Tracker'!$T$5:$AE$29,25,AC236-1)&gt;0.01))*('Recurring Items'!$H$32&lt;&gt;"Skip")*(DAY(AB236)='Recurring Items'!$F$32)*IFERROR(N('Recurring Items'!$D$32),0)</f>
        <v>259.86</v>
      </c>
      <c r="AG236" s="1" t="n">
        <f aca="false">AD236-AE236-AF236</f>
        <v>-911.41</v>
      </c>
      <c r="AH236" s="1" t="n">
        <f aca="false">AH235+AG236</f>
        <v>4796.73</v>
      </c>
    </row>
    <row r="237" customFormat="false" ht="15" hidden="false" customHeight="true" outlineLevel="0" collapsed="false">
      <c r="AA237" s="1" t="n">
        <v>37</v>
      </c>
      <c r="AB237" s="145" t="n">
        <f aca="false">$D$3+37</f>
        <v>46180</v>
      </c>
      <c r="AC237" s="1" t="n">
        <f aca="false">MIN(12,1+DATEDIF($D$3,AB237,"M"))</f>
        <v>2</v>
      </c>
      <c r="AD237" s="1" t="n">
        <f aca="false">SUMPRODUCT(('Recurring Items'!$C$6:$C$56="Income")*('Recurring Items'!$H$6:$H$56&lt;&gt;"Skip")*IFERROR(N('Recurring Items'!$D$6:$D$56),0)*(('Recurring Items'!$E$6:$E$56="Monthly")*(DAY(AB237)='Recurring Items'!$F$6:$F$56)+('Recurring Items'!$E$6:$E$56="Bi-weekly")*(WEEKDAY(AB237)=IFERROR(WEEKDAY('Recurring Items'!$G$6:$G$56),0))*(MOD(AB237-IFERROR('Recurring Items'!$G$6:$G$56,0),14)=0)*(AB237&gt;=IFERROR('Recurring Items'!$G$6:$G$56,9000000000))+('Recurring Items'!$E$6:$E$56="Weekly")*(WEEKDAY(AB237)=IFERROR(WEEKDAY('Recurring Items'!$G$6:$G$56),0))*(AB237&gt;=IFERROR('Recurring Items'!$G$6:$G$56,9000000000))+('Recurring Items'!$E$6:$E$56="One-time")*(AB237='Recurring Items'!$G$6:$G$56)))</f>
        <v>0</v>
      </c>
      <c r="AE237" s="1" t="n">
        <f aca="false">SUMPRODUCT(('Recurring Items'!$C$6:$C$56="Expense")*('Recurring Items'!$H$6:$H$56&lt;&gt;"Skip")*IFERROR(N('Recurring Items'!$D$6:$D$56),0)*(('Recurring Items'!$E$6:$E$56="Monthly")*(DAY(AB237)='Recurring Items'!$F$6:$F$56)+('Recurring Items'!$E$6:$E$56="Bi-weekly")*(WEEKDAY(AB237)=IFERROR(WEEKDAY('Recurring Items'!$G$6:$G$56),0))*(MOD(AB237-IFERROR('Recurring Items'!$G$6:$G$56,0),14)=0)*(AB237&gt;=IFERROR('Recurring Items'!$G$6:$G$56,9000000000))+('Recurring Items'!$E$6:$E$56="Weekly")*(WEEKDAY(AB237)=IFERROR(WEEKDAY('Recurring Items'!$G$6:$G$56),0))*(AB237&gt;=IFERROR('Recurring Items'!$G$6:$G$56,9000000000))+('Recurring Items'!$E$6:$E$56="One-time")*(AB237='Recurring Items'!$G$6:$G$56)))</f>
        <v>672.8</v>
      </c>
      <c r="AF237" s="1" t="n">
        <f aca="false">(IF(AC237=1,'Debt Tracker'!$P$5&gt;0.01,INDEX('Debt Tracker'!$T$5:$AE$29,1,AC237-1)&gt;0.01))*('Recurring Items'!$H$8&lt;&gt;"Skip")*(DAY(AB237)='Recurring Items'!$F$8)*IFERROR(N('Recurring Items'!$D$8),0)+(IF(AC237=1,'Debt Tracker'!$P$6&gt;0.01,INDEX('Debt Tracker'!$T$5:$AE$29,2,AC237-1)&gt;0.01))*('Recurring Items'!$H$9&lt;&gt;"Skip")*(DAY(AB237)='Recurring Items'!$F$9)*IFERROR(N('Recurring Items'!$D$9),0)+(IF(AC237=1,'Debt Tracker'!$P$7&gt;0.01,INDEX('Debt Tracker'!$T$5:$AE$29,3,AC237-1)&gt;0.01))*('Recurring Items'!$H$10&lt;&gt;"Skip")*(DAY(AB237)='Recurring Items'!$F$10)*IFERROR(N('Recurring Items'!$D$10),0)+(IF(AC237=1,'Debt Tracker'!$P$8&gt;0.01,INDEX('Debt Tracker'!$T$5:$AE$29,4,AC237-1)&gt;0.01))*('Recurring Items'!$H$11&lt;&gt;"Skip")*(DAY(AB237)='Recurring Items'!$F$11)*IFERROR(N('Recurring Items'!$D$11),0)+(IF(AC237=1,'Debt Tracker'!$P$9&gt;0.01,INDEX('Debt Tracker'!$T$5:$AE$29,5,AC237-1)&gt;0.01))*('Recurring Items'!$H$12&lt;&gt;"Skip")*(DAY(AB237)='Recurring Items'!$F$12)*IFERROR(N('Recurring Items'!$D$12),0)+(IF(AC237=1,'Debt Tracker'!$P$10&gt;0.01,INDEX('Debt Tracker'!$T$5:$AE$29,6,AC237-1)&gt;0.01))*('Recurring Items'!$H$13&lt;&gt;"Skip")*(DAY(AB237)='Recurring Items'!$F$13)*IFERROR(N('Recurring Items'!$D$13),0)+(IF(AC237=1,'Debt Tracker'!$P$11&gt;0.01,INDEX('Debt Tracker'!$T$5:$AE$29,7,AC237-1)&gt;0.01))*('Recurring Items'!$H$14&lt;&gt;"Skip")*(DAY(AB237)='Recurring Items'!$F$14)*IFERROR(N('Recurring Items'!$D$14),0)+(IF(AC237=1,'Debt Tracker'!$P$12&gt;0.01,INDEX('Debt Tracker'!$T$5:$AE$29,8,AC237-1)&gt;0.01))*('Recurring Items'!$H$15&lt;&gt;"Skip")*(DAY(AB237)='Recurring Items'!$F$15)*IFERROR(N('Recurring Items'!$D$15),0)+(IF(AC237=1,'Debt Tracker'!$P$13&gt;0.01,INDEX('Debt Tracker'!$T$5:$AE$29,9,AC237-1)&gt;0.01))*('Recurring Items'!$H$16&lt;&gt;"Skip")*(DAY(AB237)='Recurring Items'!$F$16)*IFERROR(N('Recurring Items'!$D$16),0)+(IF(AC237=1,'Debt Tracker'!$P$14&gt;0.01,INDEX('Debt Tracker'!$T$5:$AE$29,10,AC237-1)&gt;0.01))*('Recurring Items'!$H$17&lt;&gt;"Skip")*(DAY(AB237)='Recurring Items'!$F$17)*IFERROR(N('Recurring Items'!$D$17),0)+(IF(AC237=1,'Debt Tracker'!$P$15&gt;0.01,INDEX('Debt Tracker'!$T$5:$AE$29,11,AC237-1)&gt;0.01))*('Recurring Items'!$H$18&lt;&gt;"Skip")*(DAY(AB237)='Recurring Items'!$F$18)*IFERROR(N('Recurring Items'!$D$18),0)+(IF(AC237=1,'Debt Tracker'!$P$16&gt;0.01,INDEX('Debt Tracker'!$T$5:$AE$29,12,AC237-1)&gt;0.01))*('Recurring Items'!$H$19&lt;&gt;"Skip")*(DAY(AB237)='Recurring Items'!$F$19)*IFERROR(N('Recurring Items'!$D$19),0)+(IF(AC237=1,'Debt Tracker'!$P$17&gt;0.01,INDEX('Debt Tracker'!$T$5:$AE$29,13,AC237-1)&gt;0.01))*('Recurring Items'!$H$20&lt;&gt;"Skip")*(DAY(AB237)='Recurring Items'!$F$20)*IFERROR(N('Recurring Items'!$D$20),0)+(IF(AC237=1,'Debt Tracker'!$P$18&gt;0.01,INDEX('Debt Tracker'!$T$5:$AE$29,14,AC237-1)&gt;0.01))*('Recurring Items'!$H$21&lt;&gt;"Skip")*(DAY(AB237)='Recurring Items'!$F$21)*IFERROR(N('Recurring Items'!$D$21),0)+(IF(AC237=1,'Debt Tracker'!$P$19&gt;0.01,INDEX('Debt Tracker'!$T$5:$AE$29,15,AC237-1)&gt;0.01))*('Recurring Items'!$H$22&lt;&gt;"Skip")*(DAY(AB237)='Recurring Items'!$F$22)*IFERROR(N('Recurring Items'!$D$22),0)+(IF(AC237=1,'Debt Tracker'!$P$20&gt;0.01,INDEX('Debt Tracker'!$T$5:$AE$29,16,AC237-1)&gt;0.01))*('Recurring Items'!$H$23&lt;&gt;"Skip")*(DAY(AB237)='Recurring Items'!$F$23)*IFERROR(N('Recurring Items'!$D$23),0)+(IF(AC237=1,'Debt Tracker'!$P$21&gt;0.01,INDEX('Debt Tracker'!$T$5:$AE$29,17,AC237-1)&gt;0.01))*('Recurring Items'!$H$24&lt;&gt;"Skip")*(DAY(AB237)='Recurring Items'!$F$24)*IFERROR(N('Recurring Items'!$D$24),0)+(IF(AC237=1,'Debt Tracker'!$P$22&gt;0.01,INDEX('Debt Tracker'!$T$5:$AE$29,18,AC237-1)&gt;0.01))*('Recurring Items'!$H$25&lt;&gt;"Skip")*(DAY(AB237)='Recurring Items'!$F$25)*IFERROR(N('Recurring Items'!$D$25),0)+(IF(AC237=1,'Debt Tracker'!$P$23&gt;0.01,INDEX('Debt Tracker'!$T$5:$AE$29,19,AC237-1)&gt;0.01))*('Recurring Items'!$H$26&lt;&gt;"Skip")*(DAY(AB237)='Recurring Items'!$F$26)*IFERROR(N('Recurring Items'!$D$26),0)+(IF(AC237=1,'Debt Tracker'!$P$24&gt;0.01,INDEX('Debt Tracker'!$T$5:$AE$29,20,AC237-1)&gt;0.01))*('Recurring Items'!$H$27&lt;&gt;"Skip")*(DAY(AB237)='Recurring Items'!$F$27)*IFERROR(N('Recurring Items'!$D$27),0)+(IF(AC237=1,'Debt Tracker'!$P$25&gt;0.01,INDEX('Debt Tracker'!$T$5:$AE$29,21,AC237-1)&gt;0.01))*('Recurring Items'!$H$28&lt;&gt;"Skip")*(DAY(AB237)='Recurring Items'!$F$28)*IFERROR(N('Recurring Items'!$D$28),0)+(IF(AC237=1,'Debt Tracker'!$P$26&gt;0.01,INDEX('Debt Tracker'!$T$5:$AE$29,22,AC237-1)&gt;0.01))*('Recurring Items'!$H$29&lt;&gt;"Skip")*(DAY(AB237)='Recurring Items'!$F$29)*IFERROR(N('Recurring Items'!$D$29),0)+(IF(AC237=1,'Debt Tracker'!$P$27&gt;0.01,INDEX('Debt Tracker'!$T$5:$AE$29,23,AC237-1)&gt;0.01))*('Recurring Items'!$H$30&lt;&gt;"Skip")*(DAY(AB237)='Recurring Items'!$F$30)*IFERROR(N('Recurring Items'!$D$30),0)+(IF(AC237=1,'Debt Tracker'!$P$28&gt;0.01,INDEX('Debt Tracker'!$T$5:$AE$29,24,AC237-1)&gt;0.01))*('Recurring Items'!$H$31&lt;&gt;"Skip")*(DAY(AB237)='Recurring Items'!$F$31)*IFERROR(N('Recurring Items'!$D$31),0)+(IF(AC237=1,'Debt Tracker'!$P$29&gt;0.01,INDEX('Debt Tracker'!$T$5:$AE$29,25,AC237-1)&gt;0.01))*('Recurring Items'!$H$32&lt;&gt;"Skip")*(DAY(AB237)='Recurring Items'!$F$32)*IFERROR(N('Recurring Items'!$D$32),0)</f>
        <v>8.25</v>
      </c>
      <c r="AG237" s="1" t="n">
        <f aca="false">AD237-AE237-AF237</f>
        <v>-681.05</v>
      </c>
      <c r="AH237" s="1" t="n">
        <f aca="false">AH236+AG237</f>
        <v>4115.68</v>
      </c>
    </row>
    <row r="238" customFormat="false" ht="15" hidden="false" customHeight="true" outlineLevel="0" collapsed="false">
      <c r="AA238" s="1" t="n">
        <v>38</v>
      </c>
      <c r="AB238" s="145" t="n">
        <f aca="false">$D$3+38</f>
        <v>46181</v>
      </c>
      <c r="AC238" s="1" t="n">
        <f aca="false">MIN(12,1+DATEDIF($D$3,AB238,"M"))</f>
        <v>2</v>
      </c>
      <c r="AD238" s="1" t="n">
        <f aca="false">SUMPRODUCT(('Recurring Items'!$C$6:$C$56="Income")*('Recurring Items'!$H$6:$H$56&lt;&gt;"Skip")*IFERROR(N('Recurring Items'!$D$6:$D$56),0)*(('Recurring Items'!$E$6:$E$56="Monthly")*(DAY(AB238)='Recurring Items'!$F$6:$F$56)+('Recurring Items'!$E$6:$E$56="Bi-weekly")*(WEEKDAY(AB238)=IFERROR(WEEKDAY('Recurring Items'!$G$6:$G$56),0))*(MOD(AB238-IFERROR('Recurring Items'!$G$6:$G$56,0),14)=0)*(AB238&gt;=IFERROR('Recurring Items'!$G$6:$G$56,9000000000))+('Recurring Items'!$E$6:$E$56="Weekly")*(WEEKDAY(AB238)=IFERROR(WEEKDAY('Recurring Items'!$G$6:$G$56),0))*(AB238&gt;=IFERROR('Recurring Items'!$G$6:$G$56,9000000000))+('Recurring Items'!$E$6:$E$56="One-time")*(AB238='Recurring Items'!$G$6:$G$56)))</f>
        <v>0</v>
      </c>
      <c r="AE238" s="1" t="n">
        <f aca="false">SUMPRODUCT(('Recurring Items'!$C$6:$C$56="Expense")*('Recurring Items'!$H$6:$H$56&lt;&gt;"Skip")*IFERROR(N('Recurring Items'!$D$6:$D$56),0)*(('Recurring Items'!$E$6:$E$56="Monthly")*(DAY(AB238)='Recurring Items'!$F$6:$F$56)+('Recurring Items'!$E$6:$E$56="Bi-weekly")*(WEEKDAY(AB238)=IFERROR(WEEKDAY('Recurring Items'!$G$6:$G$56),0))*(MOD(AB238-IFERROR('Recurring Items'!$G$6:$G$56,0),14)=0)*(AB238&gt;=IFERROR('Recurring Items'!$G$6:$G$56,9000000000))+('Recurring Items'!$E$6:$E$56="Weekly")*(WEEKDAY(AB238)=IFERROR(WEEKDAY('Recurring Items'!$G$6:$G$56),0))*(AB238&gt;=IFERROR('Recurring Items'!$G$6:$G$56,9000000000))+('Recurring Items'!$E$6:$E$56="One-time")*(AB238='Recurring Items'!$G$6:$G$56)))</f>
        <v>53.85</v>
      </c>
      <c r="AF238" s="1" t="n">
        <f aca="false">(IF(AC238=1,'Debt Tracker'!$P$5&gt;0.01,INDEX('Debt Tracker'!$T$5:$AE$29,1,AC238-1)&gt;0.01))*('Recurring Items'!$H$8&lt;&gt;"Skip")*(DAY(AB238)='Recurring Items'!$F$8)*IFERROR(N('Recurring Items'!$D$8),0)+(IF(AC238=1,'Debt Tracker'!$P$6&gt;0.01,INDEX('Debt Tracker'!$T$5:$AE$29,2,AC238-1)&gt;0.01))*('Recurring Items'!$H$9&lt;&gt;"Skip")*(DAY(AB238)='Recurring Items'!$F$9)*IFERROR(N('Recurring Items'!$D$9),0)+(IF(AC238=1,'Debt Tracker'!$P$7&gt;0.01,INDEX('Debt Tracker'!$T$5:$AE$29,3,AC238-1)&gt;0.01))*('Recurring Items'!$H$10&lt;&gt;"Skip")*(DAY(AB238)='Recurring Items'!$F$10)*IFERROR(N('Recurring Items'!$D$10),0)+(IF(AC238=1,'Debt Tracker'!$P$8&gt;0.01,INDEX('Debt Tracker'!$T$5:$AE$29,4,AC238-1)&gt;0.01))*('Recurring Items'!$H$11&lt;&gt;"Skip")*(DAY(AB238)='Recurring Items'!$F$11)*IFERROR(N('Recurring Items'!$D$11),0)+(IF(AC238=1,'Debt Tracker'!$P$9&gt;0.01,INDEX('Debt Tracker'!$T$5:$AE$29,5,AC238-1)&gt;0.01))*('Recurring Items'!$H$12&lt;&gt;"Skip")*(DAY(AB238)='Recurring Items'!$F$12)*IFERROR(N('Recurring Items'!$D$12),0)+(IF(AC238=1,'Debt Tracker'!$P$10&gt;0.01,INDEX('Debt Tracker'!$T$5:$AE$29,6,AC238-1)&gt;0.01))*('Recurring Items'!$H$13&lt;&gt;"Skip")*(DAY(AB238)='Recurring Items'!$F$13)*IFERROR(N('Recurring Items'!$D$13),0)+(IF(AC238=1,'Debt Tracker'!$P$11&gt;0.01,INDEX('Debt Tracker'!$T$5:$AE$29,7,AC238-1)&gt;0.01))*('Recurring Items'!$H$14&lt;&gt;"Skip")*(DAY(AB238)='Recurring Items'!$F$14)*IFERROR(N('Recurring Items'!$D$14),0)+(IF(AC238=1,'Debt Tracker'!$P$12&gt;0.01,INDEX('Debt Tracker'!$T$5:$AE$29,8,AC238-1)&gt;0.01))*('Recurring Items'!$H$15&lt;&gt;"Skip")*(DAY(AB238)='Recurring Items'!$F$15)*IFERROR(N('Recurring Items'!$D$15),0)+(IF(AC238=1,'Debt Tracker'!$P$13&gt;0.01,INDEX('Debt Tracker'!$T$5:$AE$29,9,AC238-1)&gt;0.01))*('Recurring Items'!$H$16&lt;&gt;"Skip")*(DAY(AB238)='Recurring Items'!$F$16)*IFERROR(N('Recurring Items'!$D$16),0)+(IF(AC238=1,'Debt Tracker'!$P$14&gt;0.01,INDEX('Debt Tracker'!$T$5:$AE$29,10,AC238-1)&gt;0.01))*('Recurring Items'!$H$17&lt;&gt;"Skip")*(DAY(AB238)='Recurring Items'!$F$17)*IFERROR(N('Recurring Items'!$D$17),0)+(IF(AC238=1,'Debt Tracker'!$P$15&gt;0.01,INDEX('Debt Tracker'!$T$5:$AE$29,11,AC238-1)&gt;0.01))*('Recurring Items'!$H$18&lt;&gt;"Skip")*(DAY(AB238)='Recurring Items'!$F$18)*IFERROR(N('Recurring Items'!$D$18),0)+(IF(AC238=1,'Debt Tracker'!$P$16&gt;0.01,INDEX('Debt Tracker'!$T$5:$AE$29,12,AC238-1)&gt;0.01))*('Recurring Items'!$H$19&lt;&gt;"Skip")*(DAY(AB238)='Recurring Items'!$F$19)*IFERROR(N('Recurring Items'!$D$19),0)+(IF(AC238=1,'Debt Tracker'!$P$17&gt;0.01,INDEX('Debt Tracker'!$T$5:$AE$29,13,AC238-1)&gt;0.01))*('Recurring Items'!$H$20&lt;&gt;"Skip")*(DAY(AB238)='Recurring Items'!$F$20)*IFERROR(N('Recurring Items'!$D$20),0)+(IF(AC238=1,'Debt Tracker'!$P$18&gt;0.01,INDEX('Debt Tracker'!$T$5:$AE$29,14,AC238-1)&gt;0.01))*('Recurring Items'!$H$21&lt;&gt;"Skip")*(DAY(AB238)='Recurring Items'!$F$21)*IFERROR(N('Recurring Items'!$D$21),0)+(IF(AC238=1,'Debt Tracker'!$P$19&gt;0.01,INDEX('Debt Tracker'!$T$5:$AE$29,15,AC238-1)&gt;0.01))*('Recurring Items'!$H$22&lt;&gt;"Skip")*(DAY(AB238)='Recurring Items'!$F$22)*IFERROR(N('Recurring Items'!$D$22),0)+(IF(AC238=1,'Debt Tracker'!$P$20&gt;0.01,INDEX('Debt Tracker'!$T$5:$AE$29,16,AC238-1)&gt;0.01))*('Recurring Items'!$H$23&lt;&gt;"Skip")*(DAY(AB238)='Recurring Items'!$F$23)*IFERROR(N('Recurring Items'!$D$23),0)+(IF(AC238=1,'Debt Tracker'!$P$21&gt;0.01,INDEX('Debt Tracker'!$T$5:$AE$29,17,AC238-1)&gt;0.01))*('Recurring Items'!$H$24&lt;&gt;"Skip")*(DAY(AB238)='Recurring Items'!$F$24)*IFERROR(N('Recurring Items'!$D$24),0)+(IF(AC238=1,'Debt Tracker'!$P$22&gt;0.01,INDEX('Debt Tracker'!$T$5:$AE$29,18,AC238-1)&gt;0.01))*('Recurring Items'!$H$25&lt;&gt;"Skip")*(DAY(AB238)='Recurring Items'!$F$25)*IFERROR(N('Recurring Items'!$D$25),0)+(IF(AC238=1,'Debt Tracker'!$P$23&gt;0.01,INDEX('Debt Tracker'!$T$5:$AE$29,19,AC238-1)&gt;0.01))*('Recurring Items'!$H$26&lt;&gt;"Skip")*(DAY(AB238)='Recurring Items'!$F$26)*IFERROR(N('Recurring Items'!$D$26),0)+(IF(AC238=1,'Debt Tracker'!$P$24&gt;0.01,INDEX('Debt Tracker'!$T$5:$AE$29,20,AC238-1)&gt;0.01))*('Recurring Items'!$H$27&lt;&gt;"Skip")*(DAY(AB238)='Recurring Items'!$F$27)*IFERROR(N('Recurring Items'!$D$27),0)+(IF(AC238=1,'Debt Tracker'!$P$25&gt;0.01,INDEX('Debt Tracker'!$T$5:$AE$29,21,AC238-1)&gt;0.01))*('Recurring Items'!$H$28&lt;&gt;"Skip")*(DAY(AB238)='Recurring Items'!$F$28)*IFERROR(N('Recurring Items'!$D$28),0)+(IF(AC238=1,'Debt Tracker'!$P$26&gt;0.01,INDEX('Debt Tracker'!$T$5:$AE$29,22,AC238-1)&gt;0.01))*('Recurring Items'!$H$29&lt;&gt;"Skip")*(DAY(AB238)='Recurring Items'!$F$29)*IFERROR(N('Recurring Items'!$D$29),0)+(IF(AC238=1,'Debt Tracker'!$P$27&gt;0.01,INDEX('Debt Tracker'!$T$5:$AE$29,23,AC238-1)&gt;0.01))*('Recurring Items'!$H$30&lt;&gt;"Skip")*(DAY(AB238)='Recurring Items'!$F$30)*IFERROR(N('Recurring Items'!$D$30),0)+(IF(AC238=1,'Debt Tracker'!$P$28&gt;0.01,INDEX('Debt Tracker'!$T$5:$AE$29,24,AC238-1)&gt;0.01))*('Recurring Items'!$H$31&lt;&gt;"Skip")*(DAY(AB238)='Recurring Items'!$F$31)*IFERROR(N('Recurring Items'!$D$31),0)+(IF(AC238=1,'Debt Tracker'!$P$29&gt;0.01,INDEX('Debt Tracker'!$T$5:$AE$29,25,AC238-1)&gt;0.01))*('Recurring Items'!$H$32&lt;&gt;"Skip")*(DAY(AB238)='Recurring Items'!$F$32)*IFERROR(N('Recurring Items'!$D$32),0)</f>
        <v>0</v>
      </c>
      <c r="AG238" s="1" t="n">
        <f aca="false">AD238-AE238-AF238</f>
        <v>-53.85</v>
      </c>
      <c r="AH238" s="1" t="n">
        <f aca="false">AH237+AG238</f>
        <v>4061.83</v>
      </c>
    </row>
    <row r="239" customFormat="false" ht="15" hidden="false" customHeight="true" outlineLevel="0" collapsed="false">
      <c r="AA239" s="1" t="n">
        <v>39</v>
      </c>
      <c r="AB239" s="145" t="n">
        <f aca="false">$D$3+39</f>
        <v>46182</v>
      </c>
      <c r="AC239" s="1" t="n">
        <f aca="false">MIN(12,1+DATEDIF($D$3,AB239,"M"))</f>
        <v>2</v>
      </c>
      <c r="AD239" s="1" t="n">
        <f aca="false">SUMPRODUCT(('Recurring Items'!$C$6:$C$56="Income")*('Recurring Items'!$H$6:$H$56&lt;&gt;"Skip")*IFERROR(N('Recurring Items'!$D$6:$D$56),0)*(('Recurring Items'!$E$6:$E$56="Monthly")*(DAY(AB239)='Recurring Items'!$F$6:$F$56)+('Recurring Items'!$E$6:$E$56="Bi-weekly")*(WEEKDAY(AB239)=IFERROR(WEEKDAY('Recurring Items'!$G$6:$G$56),0))*(MOD(AB239-IFERROR('Recurring Items'!$G$6:$G$56,0),14)=0)*(AB239&gt;=IFERROR('Recurring Items'!$G$6:$G$56,9000000000))+('Recurring Items'!$E$6:$E$56="Weekly")*(WEEKDAY(AB239)=IFERROR(WEEKDAY('Recurring Items'!$G$6:$G$56),0))*(AB239&gt;=IFERROR('Recurring Items'!$G$6:$G$56,9000000000))+('Recurring Items'!$E$6:$E$56="One-time")*(AB239='Recurring Items'!$G$6:$G$56)))</f>
        <v>0</v>
      </c>
      <c r="AE239" s="1" t="n">
        <f aca="false">SUMPRODUCT(('Recurring Items'!$C$6:$C$56="Expense")*('Recurring Items'!$H$6:$H$56&lt;&gt;"Skip")*IFERROR(N('Recurring Items'!$D$6:$D$56),0)*(('Recurring Items'!$E$6:$E$56="Monthly")*(DAY(AB239)='Recurring Items'!$F$6:$F$56)+('Recurring Items'!$E$6:$E$56="Bi-weekly")*(WEEKDAY(AB239)=IFERROR(WEEKDAY('Recurring Items'!$G$6:$G$56),0))*(MOD(AB239-IFERROR('Recurring Items'!$G$6:$G$56,0),14)=0)*(AB239&gt;=IFERROR('Recurring Items'!$G$6:$G$56,9000000000))+('Recurring Items'!$E$6:$E$56="Weekly")*(WEEKDAY(AB239)=IFERROR(WEEKDAY('Recurring Items'!$G$6:$G$56),0))*(AB239&gt;=IFERROR('Recurring Items'!$G$6:$G$56,9000000000))+('Recurring Items'!$E$6:$E$56="One-time")*(AB239='Recurring Items'!$G$6:$G$56)))</f>
        <v>0</v>
      </c>
      <c r="AF239" s="1" t="n">
        <f aca="false">(IF(AC239=1,'Debt Tracker'!$P$5&gt;0.01,INDEX('Debt Tracker'!$T$5:$AE$29,1,AC239-1)&gt;0.01))*('Recurring Items'!$H$8&lt;&gt;"Skip")*(DAY(AB239)='Recurring Items'!$F$8)*IFERROR(N('Recurring Items'!$D$8),0)+(IF(AC239=1,'Debt Tracker'!$P$6&gt;0.01,INDEX('Debt Tracker'!$T$5:$AE$29,2,AC239-1)&gt;0.01))*('Recurring Items'!$H$9&lt;&gt;"Skip")*(DAY(AB239)='Recurring Items'!$F$9)*IFERROR(N('Recurring Items'!$D$9),0)+(IF(AC239=1,'Debt Tracker'!$P$7&gt;0.01,INDEX('Debt Tracker'!$T$5:$AE$29,3,AC239-1)&gt;0.01))*('Recurring Items'!$H$10&lt;&gt;"Skip")*(DAY(AB239)='Recurring Items'!$F$10)*IFERROR(N('Recurring Items'!$D$10),0)+(IF(AC239=1,'Debt Tracker'!$P$8&gt;0.01,INDEX('Debt Tracker'!$T$5:$AE$29,4,AC239-1)&gt;0.01))*('Recurring Items'!$H$11&lt;&gt;"Skip")*(DAY(AB239)='Recurring Items'!$F$11)*IFERROR(N('Recurring Items'!$D$11),0)+(IF(AC239=1,'Debt Tracker'!$P$9&gt;0.01,INDEX('Debt Tracker'!$T$5:$AE$29,5,AC239-1)&gt;0.01))*('Recurring Items'!$H$12&lt;&gt;"Skip")*(DAY(AB239)='Recurring Items'!$F$12)*IFERROR(N('Recurring Items'!$D$12),0)+(IF(AC239=1,'Debt Tracker'!$P$10&gt;0.01,INDEX('Debt Tracker'!$T$5:$AE$29,6,AC239-1)&gt;0.01))*('Recurring Items'!$H$13&lt;&gt;"Skip")*(DAY(AB239)='Recurring Items'!$F$13)*IFERROR(N('Recurring Items'!$D$13),0)+(IF(AC239=1,'Debt Tracker'!$P$11&gt;0.01,INDEX('Debt Tracker'!$T$5:$AE$29,7,AC239-1)&gt;0.01))*('Recurring Items'!$H$14&lt;&gt;"Skip")*(DAY(AB239)='Recurring Items'!$F$14)*IFERROR(N('Recurring Items'!$D$14),0)+(IF(AC239=1,'Debt Tracker'!$P$12&gt;0.01,INDEX('Debt Tracker'!$T$5:$AE$29,8,AC239-1)&gt;0.01))*('Recurring Items'!$H$15&lt;&gt;"Skip")*(DAY(AB239)='Recurring Items'!$F$15)*IFERROR(N('Recurring Items'!$D$15),0)+(IF(AC239=1,'Debt Tracker'!$P$13&gt;0.01,INDEX('Debt Tracker'!$T$5:$AE$29,9,AC239-1)&gt;0.01))*('Recurring Items'!$H$16&lt;&gt;"Skip")*(DAY(AB239)='Recurring Items'!$F$16)*IFERROR(N('Recurring Items'!$D$16),0)+(IF(AC239=1,'Debt Tracker'!$P$14&gt;0.01,INDEX('Debt Tracker'!$T$5:$AE$29,10,AC239-1)&gt;0.01))*('Recurring Items'!$H$17&lt;&gt;"Skip")*(DAY(AB239)='Recurring Items'!$F$17)*IFERROR(N('Recurring Items'!$D$17),0)+(IF(AC239=1,'Debt Tracker'!$P$15&gt;0.01,INDEX('Debt Tracker'!$T$5:$AE$29,11,AC239-1)&gt;0.01))*('Recurring Items'!$H$18&lt;&gt;"Skip")*(DAY(AB239)='Recurring Items'!$F$18)*IFERROR(N('Recurring Items'!$D$18),0)+(IF(AC239=1,'Debt Tracker'!$P$16&gt;0.01,INDEX('Debt Tracker'!$T$5:$AE$29,12,AC239-1)&gt;0.01))*('Recurring Items'!$H$19&lt;&gt;"Skip")*(DAY(AB239)='Recurring Items'!$F$19)*IFERROR(N('Recurring Items'!$D$19),0)+(IF(AC239=1,'Debt Tracker'!$P$17&gt;0.01,INDEX('Debt Tracker'!$T$5:$AE$29,13,AC239-1)&gt;0.01))*('Recurring Items'!$H$20&lt;&gt;"Skip")*(DAY(AB239)='Recurring Items'!$F$20)*IFERROR(N('Recurring Items'!$D$20),0)+(IF(AC239=1,'Debt Tracker'!$P$18&gt;0.01,INDEX('Debt Tracker'!$T$5:$AE$29,14,AC239-1)&gt;0.01))*('Recurring Items'!$H$21&lt;&gt;"Skip")*(DAY(AB239)='Recurring Items'!$F$21)*IFERROR(N('Recurring Items'!$D$21),0)+(IF(AC239=1,'Debt Tracker'!$P$19&gt;0.01,INDEX('Debt Tracker'!$T$5:$AE$29,15,AC239-1)&gt;0.01))*('Recurring Items'!$H$22&lt;&gt;"Skip")*(DAY(AB239)='Recurring Items'!$F$22)*IFERROR(N('Recurring Items'!$D$22),0)+(IF(AC239=1,'Debt Tracker'!$P$20&gt;0.01,INDEX('Debt Tracker'!$T$5:$AE$29,16,AC239-1)&gt;0.01))*('Recurring Items'!$H$23&lt;&gt;"Skip")*(DAY(AB239)='Recurring Items'!$F$23)*IFERROR(N('Recurring Items'!$D$23),0)+(IF(AC239=1,'Debt Tracker'!$P$21&gt;0.01,INDEX('Debt Tracker'!$T$5:$AE$29,17,AC239-1)&gt;0.01))*('Recurring Items'!$H$24&lt;&gt;"Skip")*(DAY(AB239)='Recurring Items'!$F$24)*IFERROR(N('Recurring Items'!$D$24),0)+(IF(AC239=1,'Debt Tracker'!$P$22&gt;0.01,INDEX('Debt Tracker'!$T$5:$AE$29,18,AC239-1)&gt;0.01))*('Recurring Items'!$H$25&lt;&gt;"Skip")*(DAY(AB239)='Recurring Items'!$F$25)*IFERROR(N('Recurring Items'!$D$25),0)+(IF(AC239=1,'Debt Tracker'!$P$23&gt;0.01,INDEX('Debt Tracker'!$T$5:$AE$29,19,AC239-1)&gt;0.01))*('Recurring Items'!$H$26&lt;&gt;"Skip")*(DAY(AB239)='Recurring Items'!$F$26)*IFERROR(N('Recurring Items'!$D$26),0)+(IF(AC239=1,'Debt Tracker'!$P$24&gt;0.01,INDEX('Debt Tracker'!$T$5:$AE$29,20,AC239-1)&gt;0.01))*('Recurring Items'!$H$27&lt;&gt;"Skip")*(DAY(AB239)='Recurring Items'!$F$27)*IFERROR(N('Recurring Items'!$D$27),0)+(IF(AC239=1,'Debt Tracker'!$P$25&gt;0.01,INDEX('Debt Tracker'!$T$5:$AE$29,21,AC239-1)&gt;0.01))*('Recurring Items'!$H$28&lt;&gt;"Skip")*(DAY(AB239)='Recurring Items'!$F$28)*IFERROR(N('Recurring Items'!$D$28),0)+(IF(AC239=1,'Debt Tracker'!$P$26&gt;0.01,INDEX('Debt Tracker'!$T$5:$AE$29,22,AC239-1)&gt;0.01))*('Recurring Items'!$H$29&lt;&gt;"Skip")*(DAY(AB239)='Recurring Items'!$F$29)*IFERROR(N('Recurring Items'!$D$29),0)+(IF(AC239=1,'Debt Tracker'!$P$27&gt;0.01,INDEX('Debt Tracker'!$T$5:$AE$29,23,AC239-1)&gt;0.01))*('Recurring Items'!$H$30&lt;&gt;"Skip")*(DAY(AB239)='Recurring Items'!$F$30)*IFERROR(N('Recurring Items'!$D$30),0)+(IF(AC239=1,'Debt Tracker'!$P$28&gt;0.01,INDEX('Debt Tracker'!$T$5:$AE$29,24,AC239-1)&gt;0.01))*('Recurring Items'!$H$31&lt;&gt;"Skip")*(DAY(AB239)='Recurring Items'!$F$31)*IFERROR(N('Recurring Items'!$D$31),0)+(IF(AC239=1,'Debt Tracker'!$P$29&gt;0.01,INDEX('Debt Tracker'!$T$5:$AE$29,25,AC239-1)&gt;0.01))*('Recurring Items'!$H$32&lt;&gt;"Skip")*(DAY(AB239)='Recurring Items'!$F$32)*IFERROR(N('Recurring Items'!$D$32),0)</f>
        <v>0</v>
      </c>
      <c r="AG239" s="1" t="n">
        <f aca="false">AD239-AE239-AF239</f>
        <v>0</v>
      </c>
      <c r="AH239" s="1" t="n">
        <f aca="false">AH238+AG239</f>
        <v>4061.83</v>
      </c>
    </row>
    <row r="240" customFormat="false" ht="15" hidden="false" customHeight="true" outlineLevel="0" collapsed="false">
      <c r="AA240" s="1" t="n">
        <v>40</v>
      </c>
      <c r="AB240" s="145" t="n">
        <f aca="false">$D$3+40</f>
        <v>46183</v>
      </c>
      <c r="AC240" s="1" t="n">
        <f aca="false">MIN(12,1+DATEDIF($D$3,AB240,"M"))</f>
        <v>2</v>
      </c>
      <c r="AD240" s="1" t="n">
        <f aca="false">SUMPRODUCT(('Recurring Items'!$C$6:$C$56="Income")*('Recurring Items'!$H$6:$H$56&lt;&gt;"Skip")*IFERROR(N('Recurring Items'!$D$6:$D$56),0)*(('Recurring Items'!$E$6:$E$56="Monthly")*(DAY(AB240)='Recurring Items'!$F$6:$F$56)+('Recurring Items'!$E$6:$E$56="Bi-weekly")*(WEEKDAY(AB240)=IFERROR(WEEKDAY('Recurring Items'!$G$6:$G$56),0))*(MOD(AB240-IFERROR('Recurring Items'!$G$6:$G$56,0),14)=0)*(AB240&gt;=IFERROR('Recurring Items'!$G$6:$G$56,9000000000))+('Recurring Items'!$E$6:$E$56="Weekly")*(WEEKDAY(AB240)=IFERROR(WEEKDAY('Recurring Items'!$G$6:$G$56),0))*(AB240&gt;=IFERROR('Recurring Items'!$G$6:$G$56,9000000000))+('Recurring Items'!$E$6:$E$56="One-time")*(AB240='Recurring Items'!$G$6:$G$56)))</f>
        <v>0</v>
      </c>
      <c r="AE240" s="1" t="n">
        <f aca="false">SUMPRODUCT(('Recurring Items'!$C$6:$C$56="Expense")*('Recurring Items'!$H$6:$H$56&lt;&gt;"Skip")*IFERROR(N('Recurring Items'!$D$6:$D$56),0)*(('Recurring Items'!$E$6:$E$56="Monthly")*(DAY(AB240)='Recurring Items'!$F$6:$F$56)+('Recurring Items'!$E$6:$E$56="Bi-weekly")*(WEEKDAY(AB240)=IFERROR(WEEKDAY('Recurring Items'!$G$6:$G$56),0))*(MOD(AB240-IFERROR('Recurring Items'!$G$6:$G$56,0),14)=0)*(AB240&gt;=IFERROR('Recurring Items'!$G$6:$G$56,9000000000))+('Recurring Items'!$E$6:$E$56="Weekly")*(WEEKDAY(AB240)=IFERROR(WEEKDAY('Recurring Items'!$G$6:$G$56),0))*(AB240&gt;=IFERROR('Recurring Items'!$G$6:$G$56,9000000000))+('Recurring Items'!$E$6:$E$56="One-time")*(AB240='Recurring Items'!$G$6:$G$56)))</f>
        <v>340.22</v>
      </c>
      <c r="AF240" s="1" t="n">
        <f aca="false">(IF(AC240=1,'Debt Tracker'!$P$5&gt;0.01,INDEX('Debt Tracker'!$T$5:$AE$29,1,AC240-1)&gt;0.01))*('Recurring Items'!$H$8&lt;&gt;"Skip")*(DAY(AB240)='Recurring Items'!$F$8)*IFERROR(N('Recurring Items'!$D$8),0)+(IF(AC240=1,'Debt Tracker'!$P$6&gt;0.01,INDEX('Debt Tracker'!$T$5:$AE$29,2,AC240-1)&gt;0.01))*('Recurring Items'!$H$9&lt;&gt;"Skip")*(DAY(AB240)='Recurring Items'!$F$9)*IFERROR(N('Recurring Items'!$D$9),0)+(IF(AC240=1,'Debt Tracker'!$P$7&gt;0.01,INDEX('Debt Tracker'!$T$5:$AE$29,3,AC240-1)&gt;0.01))*('Recurring Items'!$H$10&lt;&gt;"Skip")*(DAY(AB240)='Recurring Items'!$F$10)*IFERROR(N('Recurring Items'!$D$10),0)+(IF(AC240=1,'Debt Tracker'!$P$8&gt;0.01,INDEX('Debt Tracker'!$T$5:$AE$29,4,AC240-1)&gt;0.01))*('Recurring Items'!$H$11&lt;&gt;"Skip")*(DAY(AB240)='Recurring Items'!$F$11)*IFERROR(N('Recurring Items'!$D$11),0)+(IF(AC240=1,'Debt Tracker'!$P$9&gt;0.01,INDEX('Debt Tracker'!$T$5:$AE$29,5,AC240-1)&gt;0.01))*('Recurring Items'!$H$12&lt;&gt;"Skip")*(DAY(AB240)='Recurring Items'!$F$12)*IFERROR(N('Recurring Items'!$D$12),0)+(IF(AC240=1,'Debt Tracker'!$P$10&gt;0.01,INDEX('Debt Tracker'!$T$5:$AE$29,6,AC240-1)&gt;0.01))*('Recurring Items'!$H$13&lt;&gt;"Skip")*(DAY(AB240)='Recurring Items'!$F$13)*IFERROR(N('Recurring Items'!$D$13),0)+(IF(AC240=1,'Debt Tracker'!$P$11&gt;0.01,INDEX('Debt Tracker'!$T$5:$AE$29,7,AC240-1)&gt;0.01))*('Recurring Items'!$H$14&lt;&gt;"Skip")*(DAY(AB240)='Recurring Items'!$F$14)*IFERROR(N('Recurring Items'!$D$14),0)+(IF(AC240=1,'Debt Tracker'!$P$12&gt;0.01,INDEX('Debt Tracker'!$T$5:$AE$29,8,AC240-1)&gt;0.01))*('Recurring Items'!$H$15&lt;&gt;"Skip")*(DAY(AB240)='Recurring Items'!$F$15)*IFERROR(N('Recurring Items'!$D$15),0)+(IF(AC240=1,'Debt Tracker'!$P$13&gt;0.01,INDEX('Debt Tracker'!$T$5:$AE$29,9,AC240-1)&gt;0.01))*('Recurring Items'!$H$16&lt;&gt;"Skip")*(DAY(AB240)='Recurring Items'!$F$16)*IFERROR(N('Recurring Items'!$D$16),0)+(IF(AC240=1,'Debt Tracker'!$P$14&gt;0.01,INDEX('Debt Tracker'!$T$5:$AE$29,10,AC240-1)&gt;0.01))*('Recurring Items'!$H$17&lt;&gt;"Skip")*(DAY(AB240)='Recurring Items'!$F$17)*IFERROR(N('Recurring Items'!$D$17),0)+(IF(AC240=1,'Debt Tracker'!$P$15&gt;0.01,INDEX('Debt Tracker'!$T$5:$AE$29,11,AC240-1)&gt;0.01))*('Recurring Items'!$H$18&lt;&gt;"Skip")*(DAY(AB240)='Recurring Items'!$F$18)*IFERROR(N('Recurring Items'!$D$18),0)+(IF(AC240=1,'Debt Tracker'!$P$16&gt;0.01,INDEX('Debt Tracker'!$T$5:$AE$29,12,AC240-1)&gt;0.01))*('Recurring Items'!$H$19&lt;&gt;"Skip")*(DAY(AB240)='Recurring Items'!$F$19)*IFERROR(N('Recurring Items'!$D$19),0)+(IF(AC240=1,'Debt Tracker'!$P$17&gt;0.01,INDEX('Debt Tracker'!$T$5:$AE$29,13,AC240-1)&gt;0.01))*('Recurring Items'!$H$20&lt;&gt;"Skip")*(DAY(AB240)='Recurring Items'!$F$20)*IFERROR(N('Recurring Items'!$D$20),0)+(IF(AC240=1,'Debt Tracker'!$P$18&gt;0.01,INDEX('Debt Tracker'!$T$5:$AE$29,14,AC240-1)&gt;0.01))*('Recurring Items'!$H$21&lt;&gt;"Skip")*(DAY(AB240)='Recurring Items'!$F$21)*IFERROR(N('Recurring Items'!$D$21),0)+(IF(AC240=1,'Debt Tracker'!$P$19&gt;0.01,INDEX('Debt Tracker'!$T$5:$AE$29,15,AC240-1)&gt;0.01))*('Recurring Items'!$H$22&lt;&gt;"Skip")*(DAY(AB240)='Recurring Items'!$F$22)*IFERROR(N('Recurring Items'!$D$22),0)+(IF(AC240=1,'Debt Tracker'!$P$20&gt;0.01,INDEX('Debt Tracker'!$T$5:$AE$29,16,AC240-1)&gt;0.01))*('Recurring Items'!$H$23&lt;&gt;"Skip")*(DAY(AB240)='Recurring Items'!$F$23)*IFERROR(N('Recurring Items'!$D$23),0)+(IF(AC240=1,'Debt Tracker'!$P$21&gt;0.01,INDEX('Debt Tracker'!$T$5:$AE$29,17,AC240-1)&gt;0.01))*('Recurring Items'!$H$24&lt;&gt;"Skip")*(DAY(AB240)='Recurring Items'!$F$24)*IFERROR(N('Recurring Items'!$D$24),0)+(IF(AC240=1,'Debt Tracker'!$P$22&gt;0.01,INDEX('Debt Tracker'!$T$5:$AE$29,18,AC240-1)&gt;0.01))*('Recurring Items'!$H$25&lt;&gt;"Skip")*(DAY(AB240)='Recurring Items'!$F$25)*IFERROR(N('Recurring Items'!$D$25),0)+(IF(AC240=1,'Debt Tracker'!$P$23&gt;0.01,INDEX('Debt Tracker'!$T$5:$AE$29,19,AC240-1)&gt;0.01))*('Recurring Items'!$H$26&lt;&gt;"Skip")*(DAY(AB240)='Recurring Items'!$F$26)*IFERROR(N('Recurring Items'!$D$26),0)+(IF(AC240=1,'Debt Tracker'!$P$24&gt;0.01,INDEX('Debt Tracker'!$T$5:$AE$29,20,AC240-1)&gt;0.01))*('Recurring Items'!$H$27&lt;&gt;"Skip")*(DAY(AB240)='Recurring Items'!$F$27)*IFERROR(N('Recurring Items'!$D$27),0)+(IF(AC240=1,'Debt Tracker'!$P$25&gt;0.01,INDEX('Debt Tracker'!$T$5:$AE$29,21,AC240-1)&gt;0.01))*('Recurring Items'!$H$28&lt;&gt;"Skip")*(DAY(AB240)='Recurring Items'!$F$28)*IFERROR(N('Recurring Items'!$D$28),0)+(IF(AC240=1,'Debt Tracker'!$P$26&gt;0.01,INDEX('Debt Tracker'!$T$5:$AE$29,22,AC240-1)&gt;0.01))*('Recurring Items'!$H$29&lt;&gt;"Skip")*(DAY(AB240)='Recurring Items'!$F$29)*IFERROR(N('Recurring Items'!$D$29),0)+(IF(AC240=1,'Debt Tracker'!$P$27&gt;0.01,INDEX('Debt Tracker'!$T$5:$AE$29,23,AC240-1)&gt;0.01))*('Recurring Items'!$H$30&lt;&gt;"Skip")*(DAY(AB240)='Recurring Items'!$F$30)*IFERROR(N('Recurring Items'!$D$30),0)+(IF(AC240=1,'Debt Tracker'!$P$28&gt;0.01,INDEX('Debt Tracker'!$T$5:$AE$29,24,AC240-1)&gt;0.01))*('Recurring Items'!$H$31&lt;&gt;"Skip")*(DAY(AB240)='Recurring Items'!$F$31)*IFERROR(N('Recurring Items'!$D$31),0)+(IF(AC240=1,'Debt Tracker'!$P$29&gt;0.01,INDEX('Debt Tracker'!$T$5:$AE$29,25,AC240-1)&gt;0.01))*('Recurring Items'!$H$32&lt;&gt;"Skip")*(DAY(AB240)='Recurring Items'!$F$32)*IFERROR(N('Recurring Items'!$D$32),0)</f>
        <v>72.54</v>
      </c>
      <c r="AG240" s="1" t="n">
        <f aca="false">AD240-AE240-AF240</f>
        <v>-412.76</v>
      </c>
      <c r="AH240" s="1" t="n">
        <f aca="false">AH239+AG240</f>
        <v>3649.07</v>
      </c>
    </row>
    <row r="241" customFormat="false" ht="15" hidden="false" customHeight="true" outlineLevel="0" collapsed="false">
      <c r="AA241" s="1" t="n">
        <v>41</v>
      </c>
      <c r="AB241" s="145" t="n">
        <f aca="false">$D$3+41</f>
        <v>46184</v>
      </c>
      <c r="AC241" s="1" t="n">
        <f aca="false">MIN(12,1+DATEDIF($D$3,AB241,"M"))</f>
        <v>2</v>
      </c>
      <c r="AD241" s="1" t="n">
        <f aca="false">SUMPRODUCT(('Recurring Items'!$C$6:$C$56="Income")*('Recurring Items'!$H$6:$H$56&lt;&gt;"Skip")*IFERROR(N('Recurring Items'!$D$6:$D$56),0)*(('Recurring Items'!$E$6:$E$56="Monthly")*(DAY(AB241)='Recurring Items'!$F$6:$F$56)+('Recurring Items'!$E$6:$E$56="Bi-weekly")*(WEEKDAY(AB241)=IFERROR(WEEKDAY('Recurring Items'!$G$6:$G$56),0))*(MOD(AB241-IFERROR('Recurring Items'!$G$6:$G$56,0),14)=0)*(AB241&gt;=IFERROR('Recurring Items'!$G$6:$G$56,9000000000))+('Recurring Items'!$E$6:$E$56="Weekly")*(WEEKDAY(AB241)=IFERROR(WEEKDAY('Recurring Items'!$G$6:$G$56),0))*(AB241&gt;=IFERROR('Recurring Items'!$G$6:$G$56,9000000000))+('Recurring Items'!$E$6:$E$56="One-time")*(AB241='Recurring Items'!$G$6:$G$56)))</f>
        <v>0</v>
      </c>
      <c r="AE241" s="1" t="n">
        <f aca="false">SUMPRODUCT(('Recurring Items'!$C$6:$C$56="Expense")*('Recurring Items'!$H$6:$H$56&lt;&gt;"Skip")*IFERROR(N('Recurring Items'!$D$6:$D$56),0)*(('Recurring Items'!$E$6:$E$56="Monthly")*(DAY(AB241)='Recurring Items'!$F$6:$F$56)+('Recurring Items'!$E$6:$E$56="Bi-weekly")*(WEEKDAY(AB241)=IFERROR(WEEKDAY('Recurring Items'!$G$6:$G$56),0))*(MOD(AB241-IFERROR('Recurring Items'!$G$6:$G$56,0),14)=0)*(AB241&gt;=IFERROR('Recurring Items'!$G$6:$G$56,9000000000))+('Recurring Items'!$E$6:$E$56="Weekly")*(WEEKDAY(AB241)=IFERROR(WEEKDAY('Recurring Items'!$G$6:$G$56),0))*(AB241&gt;=IFERROR('Recurring Items'!$G$6:$G$56,9000000000))+('Recurring Items'!$E$6:$E$56="One-time")*(AB241='Recurring Items'!$G$6:$G$56)))</f>
        <v>0</v>
      </c>
      <c r="AF241" s="1" t="n">
        <f aca="false">(IF(AC241=1,'Debt Tracker'!$P$5&gt;0.01,INDEX('Debt Tracker'!$T$5:$AE$29,1,AC241-1)&gt;0.01))*('Recurring Items'!$H$8&lt;&gt;"Skip")*(DAY(AB241)='Recurring Items'!$F$8)*IFERROR(N('Recurring Items'!$D$8),0)+(IF(AC241=1,'Debt Tracker'!$P$6&gt;0.01,INDEX('Debt Tracker'!$T$5:$AE$29,2,AC241-1)&gt;0.01))*('Recurring Items'!$H$9&lt;&gt;"Skip")*(DAY(AB241)='Recurring Items'!$F$9)*IFERROR(N('Recurring Items'!$D$9),0)+(IF(AC241=1,'Debt Tracker'!$P$7&gt;0.01,INDEX('Debt Tracker'!$T$5:$AE$29,3,AC241-1)&gt;0.01))*('Recurring Items'!$H$10&lt;&gt;"Skip")*(DAY(AB241)='Recurring Items'!$F$10)*IFERROR(N('Recurring Items'!$D$10),0)+(IF(AC241=1,'Debt Tracker'!$P$8&gt;0.01,INDEX('Debt Tracker'!$T$5:$AE$29,4,AC241-1)&gt;0.01))*('Recurring Items'!$H$11&lt;&gt;"Skip")*(DAY(AB241)='Recurring Items'!$F$11)*IFERROR(N('Recurring Items'!$D$11),0)+(IF(AC241=1,'Debt Tracker'!$P$9&gt;0.01,INDEX('Debt Tracker'!$T$5:$AE$29,5,AC241-1)&gt;0.01))*('Recurring Items'!$H$12&lt;&gt;"Skip")*(DAY(AB241)='Recurring Items'!$F$12)*IFERROR(N('Recurring Items'!$D$12),0)+(IF(AC241=1,'Debt Tracker'!$P$10&gt;0.01,INDEX('Debt Tracker'!$T$5:$AE$29,6,AC241-1)&gt;0.01))*('Recurring Items'!$H$13&lt;&gt;"Skip")*(DAY(AB241)='Recurring Items'!$F$13)*IFERROR(N('Recurring Items'!$D$13),0)+(IF(AC241=1,'Debt Tracker'!$P$11&gt;0.01,INDEX('Debt Tracker'!$T$5:$AE$29,7,AC241-1)&gt;0.01))*('Recurring Items'!$H$14&lt;&gt;"Skip")*(DAY(AB241)='Recurring Items'!$F$14)*IFERROR(N('Recurring Items'!$D$14),0)+(IF(AC241=1,'Debt Tracker'!$P$12&gt;0.01,INDEX('Debt Tracker'!$T$5:$AE$29,8,AC241-1)&gt;0.01))*('Recurring Items'!$H$15&lt;&gt;"Skip")*(DAY(AB241)='Recurring Items'!$F$15)*IFERROR(N('Recurring Items'!$D$15),0)+(IF(AC241=1,'Debt Tracker'!$P$13&gt;0.01,INDEX('Debt Tracker'!$T$5:$AE$29,9,AC241-1)&gt;0.01))*('Recurring Items'!$H$16&lt;&gt;"Skip")*(DAY(AB241)='Recurring Items'!$F$16)*IFERROR(N('Recurring Items'!$D$16),0)+(IF(AC241=1,'Debt Tracker'!$P$14&gt;0.01,INDEX('Debt Tracker'!$T$5:$AE$29,10,AC241-1)&gt;0.01))*('Recurring Items'!$H$17&lt;&gt;"Skip")*(DAY(AB241)='Recurring Items'!$F$17)*IFERROR(N('Recurring Items'!$D$17),0)+(IF(AC241=1,'Debt Tracker'!$P$15&gt;0.01,INDEX('Debt Tracker'!$T$5:$AE$29,11,AC241-1)&gt;0.01))*('Recurring Items'!$H$18&lt;&gt;"Skip")*(DAY(AB241)='Recurring Items'!$F$18)*IFERROR(N('Recurring Items'!$D$18),0)+(IF(AC241=1,'Debt Tracker'!$P$16&gt;0.01,INDEX('Debt Tracker'!$T$5:$AE$29,12,AC241-1)&gt;0.01))*('Recurring Items'!$H$19&lt;&gt;"Skip")*(DAY(AB241)='Recurring Items'!$F$19)*IFERROR(N('Recurring Items'!$D$19),0)+(IF(AC241=1,'Debt Tracker'!$P$17&gt;0.01,INDEX('Debt Tracker'!$T$5:$AE$29,13,AC241-1)&gt;0.01))*('Recurring Items'!$H$20&lt;&gt;"Skip")*(DAY(AB241)='Recurring Items'!$F$20)*IFERROR(N('Recurring Items'!$D$20),0)+(IF(AC241=1,'Debt Tracker'!$P$18&gt;0.01,INDEX('Debt Tracker'!$T$5:$AE$29,14,AC241-1)&gt;0.01))*('Recurring Items'!$H$21&lt;&gt;"Skip")*(DAY(AB241)='Recurring Items'!$F$21)*IFERROR(N('Recurring Items'!$D$21),0)+(IF(AC241=1,'Debt Tracker'!$P$19&gt;0.01,INDEX('Debt Tracker'!$T$5:$AE$29,15,AC241-1)&gt;0.01))*('Recurring Items'!$H$22&lt;&gt;"Skip")*(DAY(AB241)='Recurring Items'!$F$22)*IFERROR(N('Recurring Items'!$D$22),0)+(IF(AC241=1,'Debt Tracker'!$P$20&gt;0.01,INDEX('Debt Tracker'!$T$5:$AE$29,16,AC241-1)&gt;0.01))*('Recurring Items'!$H$23&lt;&gt;"Skip")*(DAY(AB241)='Recurring Items'!$F$23)*IFERROR(N('Recurring Items'!$D$23),0)+(IF(AC241=1,'Debt Tracker'!$P$21&gt;0.01,INDEX('Debt Tracker'!$T$5:$AE$29,17,AC241-1)&gt;0.01))*('Recurring Items'!$H$24&lt;&gt;"Skip")*(DAY(AB241)='Recurring Items'!$F$24)*IFERROR(N('Recurring Items'!$D$24),0)+(IF(AC241=1,'Debt Tracker'!$P$22&gt;0.01,INDEX('Debt Tracker'!$T$5:$AE$29,18,AC241-1)&gt;0.01))*('Recurring Items'!$H$25&lt;&gt;"Skip")*(DAY(AB241)='Recurring Items'!$F$25)*IFERROR(N('Recurring Items'!$D$25),0)+(IF(AC241=1,'Debt Tracker'!$P$23&gt;0.01,INDEX('Debt Tracker'!$T$5:$AE$29,19,AC241-1)&gt;0.01))*('Recurring Items'!$H$26&lt;&gt;"Skip")*(DAY(AB241)='Recurring Items'!$F$26)*IFERROR(N('Recurring Items'!$D$26),0)+(IF(AC241=1,'Debt Tracker'!$P$24&gt;0.01,INDEX('Debt Tracker'!$T$5:$AE$29,20,AC241-1)&gt;0.01))*('Recurring Items'!$H$27&lt;&gt;"Skip")*(DAY(AB241)='Recurring Items'!$F$27)*IFERROR(N('Recurring Items'!$D$27),0)+(IF(AC241=1,'Debt Tracker'!$P$25&gt;0.01,INDEX('Debt Tracker'!$T$5:$AE$29,21,AC241-1)&gt;0.01))*('Recurring Items'!$H$28&lt;&gt;"Skip")*(DAY(AB241)='Recurring Items'!$F$28)*IFERROR(N('Recurring Items'!$D$28),0)+(IF(AC241=1,'Debt Tracker'!$P$26&gt;0.01,INDEX('Debt Tracker'!$T$5:$AE$29,22,AC241-1)&gt;0.01))*('Recurring Items'!$H$29&lt;&gt;"Skip")*(DAY(AB241)='Recurring Items'!$F$29)*IFERROR(N('Recurring Items'!$D$29),0)+(IF(AC241=1,'Debt Tracker'!$P$27&gt;0.01,INDEX('Debt Tracker'!$T$5:$AE$29,23,AC241-1)&gt;0.01))*('Recurring Items'!$H$30&lt;&gt;"Skip")*(DAY(AB241)='Recurring Items'!$F$30)*IFERROR(N('Recurring Items'!$D$30),0)+(IF(AC241=1,'Debt Tracker'!$P$28&gt;0.01,INDEX('Debt Tracker'!$T$5:$AE$29,24,AC241-1)&gt;0.01))*('Recurring Items'!$H$31&lt;&gt;"Skip")*(DAY(AB241)='Recurring Items'!$F$31)*IFERROR(N('Recurring Items'!$D$31),0)+(IF(AC241=1,'Debt Tracker'!$P$29&gt;0.01,INDEX('Debt Tracker'!$T$5:$AE$29,25,AC241-1)&gt;0.01))*('Recurring Items'!$H$32&lt;&gt;"Skip")*(DAY(AB241)='Recurring Items'!$F$32)*IFERROR(N('Recurring Items'!$D$32),0)</f>
        <v>0</v>
      </c>
      <c r="AG241" s="1" t="n">
        <f aca="false">AD241-AE241-AF241</f>
        <v>0</v>
      </c>
      <c r="AH241" s="1" t="n">
        <f aca="false">AH240+AG241</f>
        <v>3649.07</v>
      </c>
    </row>
    <row r="242" customFormat="false" ht="15" hidden="false" customHeight="true" outlineLevel="0" collapsed="false">
      <c r="AA242" s="1" t="n">
        <v>42</v>
      </c>
      <c r="AB242" s="145" t="n">
        <f aca="false">$D$3+42</f>
        <v>46185</v>
      </c>
      <c r="AC242" s="1" t="n">
        <f aca="false">MIN(12,1+DATEDIF($D$3,AB242,"M"))</f>
        <v>2</v>
      </c>
      <c r="AD242" s="1" t="n">
        <f aca="false">SUMPRODUCT(('Recurring Items'!$C$6:$C$56="Income")*('Recurring Items'!$H$6:$H$56&lt;&gt;"Skip")*IFERROR(N('Recurring Items'!$D$6:$D$56),0)*(('Recurring Items'!$E$6:$E$56="Monthly")*(DAY(AB242)='Recurring Items'!$F$6:$F$56)+('Recurring Items'!$E$6:$E$56="Bi-weekly")*(WEEKDAY(AB242)=IFERROR(WEEKDAY('Recurring Items'!$G$6:$G$56),0))*(MOD(AB242-IFERROR('Recurring Items'!$G$6:$G$56,0),14)=0)*(AB242&gt;=IFERROR('Recurring Items'!$G$6:$G$56,9000000000))+('Recurring Items'!$E$6:$E$56="Weekly")*(WEEKDAY(AB242)=IFERROR(WEEKDAY('Recurring Items'!$G$6:$G$56),0))*(AB242&gt;=IFERROR('Recurring Items'!$G$6:$G$56,9000000000))+('Recurring Items'!$E$6:$E$56="One-time")*(AB242='Recurring Items'!$G$6:$G$56)))</f>
        <v>3819.79</v>
      </c>
      <c r="AE242" s="1" t="n">
        <f aca="false">SUMPRODUCT(('Recurring Items'!$C$6:$C$56="Expense")*('Recurring Items'!$H$6:$H$56&lt;&gt;"Skip")*IFERROR(N('Recurring Items'!$D$6:$D$56),0)*(('Recurring Items'!$E$6:$E$56="Monthly")*(DAY(AB242)='Recurring Items'!$F$6:$F$56)+('Recurring Items'!$E$6:$E$56="Bi-weekly")*(WEEKDAY(AB242)=IFERROR(WEEKDAY('Recurring Items'!$G$6:$G$56),0))*(MOD(AB242-IFERROR('Recurring Items'!$G$6:$G$56,0),14)=0)*(AB242&gt;=IFERROR('Recurring Items'!$G$6:$G$56,9000000000))+('Recurring Items'!$E$6:$E$56="Weekly")*(WEEKDAY(AB242)=IFERROR(WEEKDAY('Recurring Items'!$G$6:$G$56),0))*(AB242&gt;=IFERROR('Recurring Items'!$G$6:$G$56,9000000000))+('Recurring Items'!$E$6:$E$56="One-time")*(AB242='Recurring Items'!$G$6:$G$56)))</f>
        <v>627.68</v>
      </c>
      <c r="AF242" s="1" t="n">
        <f aca="false">(IF(AC242=1,'Debt Tracker'!$P$5&gt;0.01,INDEX('Debt Tracker'!$T$5:$AE$29,1,AC242-1)&gt;0.01))*('Recurring Items'!$H$8&lt;&gt;"Skip")*(DAY(AB242)='Recurring Items'!$F$8)*IFERROR(N('Recurring Items'!$D$8),0)+(IF(AC242=1,'Debt Tracker'!$P$6&gt;0.01,INDEX('Debt Tracker'!$T$5:$AE$29,2,AC242-1)&gt;0.01))*('Recurring Items'!$H$9&lt;&gt;"Skip")*(DAY(AB242)='Recurring Items'!$F$9)*IFERROR(N('Recurring Items'!$D$9),0)+(IF(AC242=1,'Debt Tracker'!$P$7&gt;0.01,INDEX('Debt Tracker'!$T$5:$AE$29,3,AC242-1)&gt;0.01))*('Recurring Items'!$H$10&lt;&gt;"Skip")*(DAY(AB242)='Recurring Items'!$F$10)*IFERROR(N('Recurring Items'!$D$10),0)+(IF(AC242=1,'Debt Tracker'!$P$8&gt;0.01,INDEX('Debt Tracker'!$T$5:$AE$29,4,AC242-1)&gt;0.01))*('Recurring Items'!$H$11&lt;&gt;"Skip")*(DAY(AB242)='Recurring Items'!$F$11)*IFERROR(N('Recurring Items'!$D$11),0)+(IF(AC242=1,'Debt Tracker'!$P$9&gt;0.01,INDEX('Debt Tracker'!$T$5:$AE$29,5,AC242-1)&gt;0.01))*('Recurring Items'!$H$12&lt;&gt;"Skip")*(DAY(AB242)='Recurring Items'!$F$12)*IFERROR(N('Recurring Items'!$D$12),0)+(IF(AC242=1,'Debt Tracker'!$P$10&gt;0.01,INDEX('Debt Tracker'!$T$5:$AE$29,6,AC242-1)&gt;0.01))*('Recurring Items'!$H$13&lt;&gt;"Skip")*(DAY(AB242)='Recurring Items'!$F$13)*IFERROR(N('Recurring Items'!$D$13),0)+(IF(AC242=1,'Debt Tracker'!$P$11&gt;0.01,INDEX('Debt Tracker'!$T$5:$AE$29,7,AC242-1)&gt;0.01))*('Recurring Items'!$H$14&lt;&gt;"Skip")*(DAY(AB242)='Recurring Items'!$F$14)*IFERROR(N('Recurring Items'!$D$14),0)+(IF(AC242=1,'Debt Tracker'!$P$12&gt;0.01,INDEX('Debt Tracker'!$T$5:$AE$29,8,AC242-1)&gt;0.01))*('Recurring Items'!$H$15&lt;&gt;"Skip")*(DAY(AB242)='Recurring Items'!$F$15)*IFERROR(N('Recurring Items'!$D$15),0)+(IF(AC242=1,'Debt Tracker'!$P$13&gt;0.01,INDEX('Debt Tracker'!$T$5:$AE$29,9,AC242-1)&gt;0.01))*('Recurring Items'!$H$16&lt;&gt;"Skip")*(DAY(AB242)='Recurring Items'!$F$16)*IFERROR(N('Recurring Items'!$D$16),0)+(IF(AC242=1,'Debt Tracker'!$P$14&gt;0.01,INDEX('Debt Tracker'!$T$5:$AE$29,10,AC242-1)&gt;0.01))*('Recurring Items'!$H$17&lt;&gt;"Skip")*(DAY(AB242)='Recurring Items'!$F$17)*IFERROR(N('Recurring Items'!$D$17),0)+(IF(AC242=1,'Debt Tracker'!$P$15&gt;0.01,INDEX('Debt Tracker'!$T$5:$AE$29,11,AC242-1)&gt;0.01))*('Recurring Items'!$H$18&lt;&gt;"Skip")*(DAY(AB242)='Recurring Items'!$F$18)*IFERROR(N('Recurring Items'!$D$18),0)+(IF(AC242=1,'Debt Tracker'!$P$16&gt;0.01,INDEX('Debt Tracker'!$T$5:$AE$29,12,AC242-1)&gt;0.01))*('Recurring Items'!$H$19&lt;&gt;"Skip")*(DAY(AB242)='Recurring Items'!$F$19)*IFERROR(N('Recurring Items'!$D$19),0)+(IF(AC242=1,'Debt Tracker'!$P$17&gt;0.01,INDEX('Debt Tracker'!$T$5:$AE$29,13,AC242-1)&gt;0.01))*('Recurring Items'!$H$20&lt;&gt;"Skip")*(DAY(AB242)='Recurring Items'!$F$20)*IFERROR(N('Recurring Items'!$D$20),0)+(IF(AC242=1,'Debt Tracker'!$P$18&gt;0.01,INDEX('Debt Tracker'!$T$5:$AE$29,14,AC242-1)&gt;0.01))*('Recurring Items'!$H$21&lt;&gt;"Skip")*(DAY(AB242)='Recurring Items'!$F$21)*IFERROR(N('Recurring Items'!$D$21),0)+(IF(AC242=1,'Debt Tracker'!$P$19&gt;0.01,INDEX('Debt Tracker'!$T$5:$AE$29,15,AC242-1)&gt;0.01))*('Recurring Items'!$H$22&lt;&gt;"Skip")*(DAY(AB242)='Recurring Items'!$F$22)*IFERROR(N('Recurring Items'!$D$22),0)+(IF(AC242=1,'Debt Tracker'!$P$20&gt;0.01,INDEX('Debt Tracker'!$T$5:$AE$29,16,AC242-1)&gt;0.01))*('Recurring Items'!$H$23&lt;&gt;"Skip")*(DAY(AB242)='Recurring Items'!$F$23)*IFERROR(N('Recurring Items'!$D$23),0)+(IF(AC242=1,'Debt Tracker'!$P$21&gt;0.01,INDEX('Debt Tracker'!$T$5:$AE$29,17,AC242-1)&gt;0.01))*('Recurring Items'!$H$24&lt;&gt;"Skip")*(DAY(AB242)='Recurring Items'!$F$24)*IFERROR(N('Recurring Items'!$D$24),0)+(IF(AC242=1,'Debt Tracker'!$P$22&gt;0.01,INDEX('Debt Tracker'!$T$5:$AE$29,18,AC242-1)&gt;0.01))*('Recurring Items'!$H$25&lt;&gt;"Skip")*(DAY(AB242)='Recurring Items'!$F$25)*IFERROR(N('Recurring Items'!$D$25),0)+(IF(AC242=1,'Debt Tracker'!$P$23&gt;0.01,INDEX('Debt Tracker'!$T$5:$AE$29,19,AC242-1)&gt;0.01))*('Recurring Items'!$H$26&lt;&gt;"Skip")*(DAY(AB242)='Recurring Items'!$F$26)*IFERROR(N('Recurring Items'!$D$26),0)+(IF(AC242=1,'Debt Tracker'!$P$24&gt;0.01,INDEX('Debt Tracker'!$T$5:$AE$29,20,AC242-1)&gt;0.01))*('Recurring Items'!$H$27&lt;&gt;"Skip")*(DAY(AB242)='Recurring Items'!$F$27)*IFERROR(N('Recurring Items'!$D$27),0)+(IF(AC242=1,'Debt Tracker'!$P$25&gt;0.01,INDEX('Debt Tracker'!$T$5:$AE$29,21,AC242-1)&gt;0.01))*('Recurring Items'!$H$28&lt;&gt;"Skip")*(DAY(AB242)='Recurring Items'!$F$28)*IFERROR(N('Recurring Items'!$D$28),0)+(IF(AC242=1,'Debt Tracker'!$P$26&gt;0.01,INDEX('Debt Tracker'!$T$5:$AE$29,22,AC242-1)&gt;0.01))*('Recurring Items'!$H$29&lt;&gt;"Skip")*(DAY(AB242)='Recurring Items'!$F$29)*IFERROR(N('Recurring Items'!$D$29),0)+(IF(AC242=1,'Debt Tracker'!$P$27&gt;0.01,INDEX('Debt Tracker'!$T$5:$AE$29,23,AC242-1)&gt;0.01))*('Recurring Items'!$H$30&lt;&gt;"Skip")*(DAY(AB242)='Recurring Items'!$F$30)*IFERROR(N('Recurring Items'!$D$30),0)+(IF(AC242=1,'Debt Tracker'!$P$28&gt;0.01,INDEX('Debt Tracker'!$T$5:$AE$29,24,AC242-1)&gt;0.01))*('Recurring Items'!$H$31&lt;&gt;"Skip")*(DAY(AB242)='Recurring Items'!$F$31)*IFERROR(N('Recurring Items'!$D$31),0)+(IF(AC242=1,'Debt Tracker'!$P$29&gt;0.01,INDEX('Debt Tracker'!$T$5:$AE$29,25,AC242-1)&gt;0.01))*('Recurring Items'!$H$32&lt;&gt;"Skip")*(DAY(AB242)='Recurring Items'!$F$32)*IFERROR(N('Recurring Items'!$D$32),0)</f>
        <v>0</v>
      </c>
      <c r="AG242" s="1" t="n">
        <f aca="false">AD242-AE242-AF242</f>
        <v>3192.11</v>
      </c>
      <c r="AH242" s="1" t="n">
        <f aca="false">AH241+AG242</f>
        <v>6841.18</v>
      </c>
    </row>
    <row r="243" customFormat="false" ht="15" hidden="false" customHeight="true" outlineLevel="0" collapsed="false">
      <c r="AA243" s="1" t="n">
        <v>43</v>
      </c>
      <c r="AB243" s="145" t="n">
        <f aca="false">$D$3+43</f>
        <v>46186</v>
      </c>
      <c r="AC243" s="1" t="n">
        <f aca="false">MIN(12,1+DATEDIF($D$3,AB243,"M"))</f>
        <v>2</v>
      </c>
      <c r="AD243" s="1" t="n">
        <f aca="false">SUMPRODUCT(('Recurring Items'!$C$6:$C$56="Income")*('Recurring Items'!$H$6:$H$56&lt;&gt;"Skip")*IFERROR(N('Recurring Items'!$D$6:$D$56),0)*(('Recurring Items'!$E$6:$E$56="Monthly")*(DAY(AB243)='Recurring Items'!$F$6:$F$56)+('Recurring Items'!$E$6:$E$56="Bi-weekly")*(WEEKDAY(AB243)=IFERROR(WEEKDAY('Recurring Items'!$G$6:$G$56),0))*(MOD(AB243-IFERROR('Recurring Items'!$G$6:$G$56,0),14)=0)*(AB243&gt;=IFERROR('Recurring Items'!$G$6:$G$56,9000000000))+('Recurring Items'!$E$6:$E$56="Weekly")*(WEEKDAY(AB243)=IFERROR(WEEKDAY('Recurring Items'!$G$6:$G$56),0))*(AB243&gt;=IFERROR('Recurring Items'!$G$6:$G$56,9000000000))+('Recurring Items'!$E$6:$E$56="One-time")*(AB243='Recurring Items'!$G$6:$G$56)))</f>
        <v>0</v>
      </c>
      <c r="AE243" s="1" t="n">
        <f aca="false">SUMPRODUCT(('Recurring Items'!$C$6:$C$56="Expense")*('Recurring Items'!$H$6:$H$56&lt;&gt;"Skip")*IFERROR(N('Recurring Items'!$D$6:$D$56),0)*(('Recurring Items'!$E$6:$E$56="Monthly")*(DAY(AB243)='Recurring Items'!$F$6:$F$56)+('Recurring Items'!$E$6:$E$56="Bi-weekly")*(WEEKDAY(AB243)=IFERROR(WEEKDAY('Recurring Items'!$G$6:$G$56),0))*(MOD(AB243-IFERROR('Recurring Items'!$G$6:$G$56,0),14)=0)*(AB243&gt;=IFERROR('Recurring Items'!$G$6:$G$56,9000000000))+('Recurring Items'!$E$6:$E$56="Weekly")*(WEEKDAY(AB243)=IFERROR(WEEKDAY('Recurring Items'!$G$6:$G$56),0))*(AB243&gt;=IFERROR('Recurring Items'!$G$6:$G$56,9000000000))+('Recurring Items'!$E$6:$E$56="One-time")*(AB243='Recurring Items'!$G$6:$G$56)))</f>
        <v>0</v>
      </c>
      <c r="AF243" s="1" t="n">
        <f aca="false">(IF(AC243=1,'Debt Tracker'!$P$5&gt;0.01,INDEX('Debt Tracker'!$T$5:$AE$29,1,AC243-1)&gt;0.01))*('Recurring Items'!$H$8&lt;&gt;"Skip")*(DAY(AB243)='Recurring Items'!$F$8)*IFERROR(N('Recurring Items'!$D$8),0)+(IF(AC243=1,'Debt Tracker'!$P$6&gt;0.01,INDEX('Debt Tracker'!$T$5:$AE$29,2,AC243-1)&gt;0.01))*('Recurring Items'!$H$9&lt;&gt;"Skip")*(DAY(AB243)='Recurring Items'!$F$9)*IFERROR(N('Recurring Items'!$D$9),0)+(IF(AC243=1,'Debt Tracker'!$P$7&gt;0.01,INDEX('Debt Tracker'!$T$5:$AE$29,3,AC243-1)&gt;0.01))*('Recurring Items'!$H$10&lt;&gt;"Skip")*(DAY(AB243)='Recurring Items'!$F$10)*IFERROR(N('Recurring Items'!$D$10),0)+(IF(AC243=1,'Debt Tracker'!$P$8&gt;0.01,INDEX('Debt Tracker'!$T$5:$AE$29,4,AC243-1)&gt;0.01))*('Recurring Items'!$H$11&lt;&gt;"Skip")*(DAY(AB243)='Recurring Items'!$F$11)*IFERROR(N('Recurring Items'!$D$11),0)+(IF(AC243=1,'Debt Tracker'!$P$9&gt;0.01,INDEX('Debt Tracker'!$T$5:$AE$29,5,AC243-1)&gt;0.01))*('Recurring Items'!$H$12&lt;&gt;"Skip")*(DAY(AB243)='Recurring Items'!$F$12)*IFERROR(N('Recurring Items'!$D$12),0)+(IF(AC243=1,'Debt Tracker'!$P$10&gt;0.01,INDEX('Debt Tracker'!$T$5:$AE$29,6,AC243-1)&gt;0.01))*('Recurring Items'!$H$13&lt;&gt;"Skip")*(DAY(AB243)='Recurring Items'!$F$13)*IFERROR(N('Recurring Items'!$D$13),0)+(IF(AC243=1,'Debt Tracker'!$P$11&gt;0.01,INDEX('Debt Tracker'!$T$5:$AE$29,7,AC243-1)&gt;0.01))*('Recurring Items'!$H$14&lt;&gt;"Skip")*(DAY(AB243)='Recurring Items'!$F$14)*IFERROR(N('Recurring Items'!$D$14),0)+(IF(AC243=1,'Debt Tracker'!$P$12&gt;0.01,INDEX('Debt Tracker'!$T$5:$AE$29,8,AC243-1)&gt;0.01))*('Recurring Items'!$H$15&lt;&gt;"Skip")*(DAY(AB243)='Recurring Items'!$F$15)*IFERROR(N('Recurring Items'!$D$15),0)+(IF(AC243=1,'Debt Tracker'!$P$13&gt;0.01,INDEX('Debt Tracker'!$T$5:$AE$29,9,AC243-1)&gt;0.01))*('Recurring Items'!$H$16&lt;&gt;"Skip")*(DAY(AB243)='Recurring Items'!$F$16)*IFERROR(N('Recurring Items'!$D$16),0)+(IF(AC243=1,'Debt Tracker'!$P$14&gt;0.01,INDEX('Debt Tracker'!$T$5:$AE$29,10,AC243-1)&gt;0.01))*('Recurring Items'!$H$17&lt;&gt;"Skip")*(DAY(AB243)='Recurring Items'!$F$17)*IFERROR(N('Recurring Items'!$D$17),0)+(IF(AC243=1,'Debt Tracker'!$P$15&gt;0.01,INDEX('Debt Tracker'!$T$5:$AE$29,11,AC243-1)&gt;0.01))*('Recurring Items'!$H$18&lt;&gt;"Skip")*(DAY(AB243)='Recurring Items'!$F$18)*IFERROR(N('Recurring Items'!$D$18),0)+(IF(AC243=1,'Debt Tracker'!$P$16&gt;0.01,INDEX('Debt Tracker'!$T$5:$AE$29,12,AC243-1)&gt;0.01))*('Recurring Items'!$H$19&lt;&gt;"Skip")*(DAY(AB243)='Recurring Items'!$F$19)*IFERROR(N('Recurring Items'!$D$19),0)+(IF(AC243=1,'Debt Tracker'!$P$17&gt;0.01,INDEX('Debt Tracker'!$T$5:$AE$29,13,AC243-1)&gt;0.01))*('Recurring Items'!$H$20&lt;&gt;"Skip")*(DAY(AB243)='Recurring Items'!$F$20)*IFERROR(N('Recurring Items'!$D$20),0)+(IF(AC243=1,'Debt Tracker'!$P$18&gt;0.01,INDEX('Debt Tracker'!$T$5:$AE$29,14,AC243-1)&gt;0.01))*('Recurring Items'!$H$21&lt;&gt;"Skip")*(DAY(AB243)='Recurring Items'!$F$21)*IFERROR(N('Recurring Items'!$D$21),0)+(IF(AC243=1,'Debt Tracker'!$P$19&gt;0.01,INDEX('Debt Tracker'!$T$5:$AE$29,15,AC243-1)&gt;0.01))*('Recurring Items'!$H$22&lt;&gt;"Skip")*(DAY(AB243)='Recurring Items'!$F$22)*IFERROR(N('Recurring Items'!$D$22),0)+(IF(AC243=1,'Debt Tracker'!$P$20&gt;0.01,INDEX('Debt Tracker'!$T$5:$AE$29,16,AC243-1)&gt;0.01))*('Recurring Items'!$H$23&lt;&gt;"Skip")*(DAY(AB243)='Recurring Items'!$F$23)*IFERROR(N('Recurring Items'!$D$23),0)+(IF(AC243=1,'Debt Tracker'!$P$21&gt;0.01,INDEX('Debt Tracker'!$T$5:$AE$29,17,AC243-1)&gt;0.01))*('Recurring Items'!$H$24&lt;&gt;"Skip")*(DAY(AB243)='Recurring Items'!$F$24)*IFERROR(N('Recurring Items'!$D$24),0)+(IF(AC243=1,'Debt Tracker'!$P$22&gt;0.01,INDEX('Debt Tracker'!$T$5:$AE$29,18,AC243-1)&gt;0.01))*('Recurring Items'!$H$25&lt;&gt;"Skip")*(DAY(AB243)='Recurring Items'!$F$25)*IFERROR(N('Recurring Items'!$D$25),0)+(IF(AC243=1,'Debt Tracker'!$P$23&gt;0.01,INDEX('Debt Tracker'!$T$5:$AE$29,19,AC243-1)&gt;0.01))*('Recurring Items'!$H$26&lt;&gt;"Skip")*(DAY(AB243)='Recurring Items'!$F$26)*IFERROR(N('Recurring Items'!$D$26),0)+(IF(AC243=1,'Debt Tracker'!$P$24&gt;0.01,INDEX('Debt Tracker'!$T$5:$AE$29,20,AC243-1)&gt;0.01))*('Recurring Items'!$H$27&lt;&gt;"Skip")*(DAY(AB243)='Recurring Items'!$F$27)*IFERROR(N('Recurring Items'!$D$27),0)+(IF(AC243=1,'Debt Tracker'!$P$25&gt;0.01,INDEX('Debt Tracker'!$T$5:$AE$29,21,AC243-1)&gt;0.01))*('Recurring Items'!$H$28&lt;&gt;"Skip")*(DAY(AB243)='Recurring Items'!$F$28)*IFERROR(N('Recurring Items'!$D$28),0)+(IF(AC243=1,'Debt Tracker'!$P$26&gt;0.01,INDEX('Debt Tracker'!$T$5:$AE$29,22,AC243-1)&gt;0.01))*('Recurring Items'!$H$29&lt;&gt;"Skip")*(DAY(AB243)='Recurring Items'!$F$29)*IFERROR(N('Recurring Items'!$D$29),0)+(IF(AC243=1,'Debt Tracker'!$P$27&gt;0.01,INDEX('Debt Tracker'!$T$5:$AE$29,23,AC243-1)&gt;0.01))*('Recurring Items'!$H$30&lt;&gt;"Skip")*(DAY(AB243)='Recurring Items'!$F$30)*IFERROR(N('Recurring Items'!$D$30),0)+(IF(AC243=1,'Debt Tracker'!$P$28&gt;0.01,INDEX('Debt Tracker'!$T$5:$AE$29,24,AC243-1)&gt;0.01))*('Recurring Items'!$H$31&lt;&gt;"Skip")*(DAY(AB243)='Recurring Items'!$F$31)*IFERROR(N('Recurring Items'!$D$31),0)+(IF(AC243=1,'Debt Tracker'!$P$29&gt;0.01,INDEX('Debt Tracker'!$T$5:$AE$29,25,AC243-1)&gt;0.01))*('Recurring Items'!$H$32&lt;&gt;"Skip")*(DAY(AB243)='Recurring Items'!$F$32)*IFERROR(N('Recurring Items'!$D$32),0)</f>
        <v>80</v>
      </c>
      <c r="AG243" s="1" t="n">
        <f aca="false">AD243-AE243-AF243</f>
        <v>-80</v>
      </c>
      <c r="AH243" s="1" t="n">
        <f aca="false">AH242+AG243</f>
        <v>6761.18</v>
      </c>
    </row>
    <row r="244" customFormat="false" ht="15" hidden="false" customHeight="true" outlineLevel="0" collapsed="false">
      <c r="AA244" s="1" t="n">
        <v>44</v>
      </c>
      <c r="AB244" s="145" t="n">
        <f aca="false">$D$3+44</f>
        <v>46187</v>
      </c>
      <c r="AC244" s="1" t="n">
        <f aca="false">MIN(12,1+DATEDIF($D$3,AB244,"M"))</f>
        <v>2</v>
      </c>
      <c r="AD244" s="1" t="n">
        <f aca="false">SUMPRODUCT(('Recurring Items'!$C$6:$C$56="Income")*('Recurring Items'!$H$6:$H$56&lt;&gt;"Skip")*IFERROR(N('Recurring Items'!$D$6:$D$56),0)*(('Recurring Items'!$E$6:$E$56="Monthly")*(DAY(AB244)='Recurring Items'!$F$6:$F$56)+('Recurring Items'!$E$6:$E$56="Bi-weekly")*(WEEKDAY(AB244)=IFERROR(WEEKDAY('Recurring Items'!$G$6:$G$56),0))*(MOD(AB244-IFERROR('Recurring Items'!$G$6:$G$56,0),14)=0)*(AB244&gt;=IFERROR('Recurring Items'!$G$6:$G$56,9000000000))+('Recurring Items'!$E$6:$E$56="Weekly")*(WEEKDAY(AB244)=IFERROR(WEEKDAY('Recurring Items'!$G$6:$G$56),0))*(AB244&gt;=IFERROR('Recurring Items'!$G$6:$G$56,9000000000))+('Recurring Items'!$E$6:$E$56="One-time")*(AB244='Recurring Items'!$G$6:$G$56)))</f>
        <v>0</v>
      </c>
      <c r="AE244" s="1" t="n">
        <f aca="false">SUMPRODUCT(('Recurring Items'!$C$6:$C$56="Expense")*('Recurring Items'!$H$6:$H$56&lt;&gt;"Skip")*IFERROR(N('Recurring Items'!$D$6:$D$56),0)*(('Recurring Items'!$E$6:$E$56="Monthly")*(DAY(AB244)='Recurring Items'!$F$6:$F$56)+('Recurring Items'!$E$6:$E$56="Bi-weekly")*(WEEKDAY(AB244)=IFERROR(WEEKDAY('Recurring Items'!$G$6:$G$56),0))*(MOD(AB244-IFERROR('Recurring Items'!$G$6:$G$56,0),14)=0)*(AB244&gt;=IFERROR('Recurring Items'!$G$6:$G$56,9000000000))+('Recurring Items'!$E$6:$E$56="Weekly")*(WEEKDAY(AB244)=IFERROR(WEEKDAY('Recurring Items'!$G$6:$G$56),0))*(AB244&gt;=IFERROR('Recurring Items'!$G$6:$G$56,9000000000))+('Recurring Items'!$E$6:$E$56="One-time")*(AB244='Recurring Items'!$G$6:$G$56)))</f>
        <v>0</v>
      </c>
      <c r="AF244" s="1" t="n">
        <f aca="false">(IF(AC244=1,'Debt Tracker'!$P$5&gt;0.01,INDEX('Debt Tracker'!$T$5:$AE$29,1,AC244-1)&gt;0.01))*('Recurring Items'!$H$8&lt;&gt;"Skip")*(DAY(AB244)='Recurring Items'!$F$8)*IFERROR(N('Recurring Items'!$D$8),0)+(IF(AC244=1,'Debt Tracker'!$P$6&gt;0.01,INDEX('Debt Tracker'!$T$5:$AE$29,2,AC244-1)&gt;0.01))*('Recurring Items'!$H$9&lt;&gt;"Skip")*(DAY(AB244)='Recurring Items'!$F$9)*IFERROR(N('Recurring Items'!$D$9),0)+(IF(AC244=1,'Debt Tracker'!$P$7&gt;0.01,INDEX('Debt Tracker'!$T$5:$AE$29,3,AC244-1)&gt;0.01))*('Recurring Items'!$H$10&lt;&gt;"Skip")*(DAY(AB244)='Recurring Items'!$F$10)*IFERROR(N('Recurring Items'!$D$10),0)+(IF(AC244=1,'Debt Tracker'!$P$8&gt;0.01,INDEX('Debt Tracker'!$T$5:$AE$29,4,AC244-1)&gt;0.01))*('Recurring Items'!$H$11&lt;&gt;"Skip")*(DAY(AB244)='Recurring Items'!$F$11)*IFERROR(N('Recurring Items'!$D$11),0)+(IF(AC244=1,'Debt Tracker'!$P$9&gt;0.01,INDEX('Debt Tracker'!$T$5:$AE$29,5,AC244-1)&gt;0.01))*('Recurring Items'!$H$12&lt;&gt;"Skip")*(DAY(AB244)='Recurring Items'!$F$12)*IFERROR(N('Recurring Items'!$D$12),0)+(IF(AC244=1,'Debt Tracker'!$P$10&gt;0.01,INDEX('Debt Tracker'!$T$5:$AE$29,6,AC244-1)&gt;0.01))*('Recurring Items'!$H$13&lt;&gt;"Skip")*(DAY(AB244)='Recurring Items'!$F$13)*IFERROR(N('Recurring Items'!$D$13),0)+(IF(AC244=1,'Debt Tracker'!$P$11&gt;0.01,INDEX('Debt Tracker'!$T$5:$AE$29,7,AC244-1)&gt;0.01))*('Recurring Items'!$H$14&lt;&gt;"Skip")*(DAY(AB244)='Recurring Items'!$F$14)*IFERROR(N('Recurring Items'!$D$14),0)+(IF(AC244=1,'Debt Tracker'!$P$12&gt;0.01,INDEX('Debt Tracker'!$T$5:$AE$29,8,AC244-1)&gt;0.01))*('Recurring Items'!$H$15&lt;&gt;"Skip")*(DAY(AB244)='Recurring Items'!$F$15)*IFERROR(N('Recurring Items'!$D$15),0)+(IF(AC244=1,'Debt Tracker'!$P$13&gt;0.01,INDEX('Debt Tracker'!$T$5:$AE$29,9,AC244-1)&gt;0.01))*('Recurring Items'!$H$16&lt;&gt;"Skip")*(DAY(AB244)='Recurring Items'!$F$16)*IFERROR(N('Recurring Items'!$D$16),0)+(IF(AC244=1,'Debt Tracker'!$P$14&gt;0.01,INDEX('Debt Tracker'!$T$5:$AE$29,10,AC244-1)&gt;0.01))*('Recurring Items'!$H$17&lt;&gt;"Skip")*(DAY(AB244)='Recurring Items'!$F$17)*IFERROR(N('Recurring Items'!$D$17),0)+(IF(AC244=1,'Debt Tracker'!$P$15&gt;0.01,INDEX('Debt Tracker'!$T$5:$AE$29,11,AC244-1)&gt;0.01))*('Recurring Items'!$H$18&lt;&gt;"Skip")*(DAY(AB244)='Recurring Items'!$F$18)*IFERROR(N('Recurring Items'!$D$18),0)+(IF(AC244=1,'Debt Tracker'!$P$16&gt;0.01,INDEX('Debt Tracker'!$T$5:$AE$29,12,AC244-1)&gt;0.01))*('Recurring Items'!$H$19&lt;&gt;"Skip")*(DAY(AB244)='Recurring Items'!$F$19)*IFERROR(N('Recurring Items'!$D$19),0)+(IF(AC244=1,'Debt Tracker'!$P$17&gt;0.01,INDEX('Debt Tracker'!$T$5:$AE$29,13,AC244-1)&gt;0.01))*('Recurring Items'!$H$20&lt;&gt;"Skip")*(DAY(AB244)='Recurring Items'!$F$20)*IFERROR(N('Recurring Items'!$D$20),0)+(IF(AC244=1,'Debt Tracker'!$P$18&gt;0.01,INDEX('Debt Tracker'!$T$5:$AE$29,14,AC244-1)&gt;0.01))*('Recurring Items'!$H$21&lt;&gt;"Skip")*(DAY(AB244)='Recurring Items'!$F$21)*IFERROR(N('Recurring Items'!$D$21),0)+(IF(AC244=1,'Debt Tracker'!$P$19&gt;0.01,INDEX('Debt Tracker'!$T$5:$AE$29,15,AC244-1)&gt;0.01))*('Recurring Items'!$H$22&lt;&gt;"Skip")*(DAY(AB244)='Recurring Items'!$F$22)*IFERROR(N('Recurring Items'!$D$22),0)+(IF(AC244=1,'Debt Tracker'!$P$20&gt;0.01,INDEX('Debt Tracker'!$T$5:$AE$29,16,AC244-1)&gt;0.01))*('Recurring Items'!$H$23&lt;&gt;"Skip")*(DAY(AB244)='Recurring Items'!$F$23)*IFERROR(N('Recurring Items'!$D$23),0)+(IF(AC244=1,'Debt Tracker'!$P$21&gt;0.01,INDEX('Debt Tracker'!$T$5:$AE$29,17,AC244-1)&gt;0.01))*('Recurring Items'!$H$24&lt;&gt;"Skip")*(DAY(AB244)='Recurring Items'!$F$24)*IFERROR(N('Recurring Items'!$D$24),0)+(IF(AC244=1,'Debt Tracker'!$P$22&gt;0.01,INDEX('Debt Tracker'!$T$5:$AE$29,18,AC244-1)&gt;0.01))*('Recurring Items'!$H$25&lt;&gt;"Skip")*(DAY(AB244)='Recurring Items'!$F$25)*IFERROR(N('Recurring Items'!$D$25),0)+(IF(AC244=1,'Debt Tracker'!$P$23&gt;0.01,INDEX('Debt Tracker'!$T$5:$AE$29,19,AC244-1)&gt;0.01))*('Recurring Items'!$H$26&lt;&gt;"Skip")*(DAY(AB244)='Recurring Items'!$F$26)*IFERROR(N('Recurring Items'!$D$26),0)+(IF(AC244=1,'Debt Tracker'!$P$24&gt;0.01,INDEX('Debt Tracker'!$T$5:$AE$29,20,AC244-1)&gt;0.01))*('Recurring Items'!$H$27&lt;&gt;"Skip")*(DAY(AB244)='Recurring Items'!$F$27)*IFERROR(N('Recurring Items'!$D$27),0)+(IF(AC244=1,'Debt Tracker'!$P$25&gt;0.01,INDEX('Debt Tracker'!$T$5:$AE$29,21,AC244-1)&gt;0.01))*('Recurring Items'!$H$28&lt;&gt;"Skip")*(DAY(AB244)='Recurring Items'!$F$28)*IFERROR(N('Recurring Items'!$D$28),0)+(IF(AC244=1,'Debt Tracker'!$P$26&gt;0.01,INDEX('Debt Tracker'!$T$5:$AE$29,22,AC244-1)&gt;0.01))*('Recurring Items'!$H$29&lt;&gt;"Skip")*(DAY(AB244)='Recurring Items'!$F$29)*IFERROR(N('Recurring Items'!$D$29),0)+(IF(AC244=1,'Debt Tracker'!$P$27&gt;0.01,INDEX('Debt Tracker'!$T$5:$AE$29,23,AC244-1)&gt;0.01))*('Recurring Items'!$H$30&lt;&gt;"Skip")*(DAY(AB244)='Recurring Items'!$F$30)*IFERROR(N('Recurring Items'!$D$30),0)+(IF(AC244=1,'Debt Tracker'!$P$28&gt;0.01,INDEX('Debt Tracker'!$T$5:$AE$29,24,AC244-1)&gt;0.01))*('Recurring Items'!$H$31&lt;&gt;"Skip")*(DAY(AB244)='Recurring Items'!$F$31)*IFERROR(N('Recurring Items'!$D$31),0)+(IF(AC244=1,'Debt Tracker'!$P$29&gt;0.01,INDEX('Debt Tracker'!$T$5:$AE$29,25,AC244-1)&gt;0.01))*('Recurring Items'!$H$32&lt;&gt;"Skip")*(DAY(AB244)='Recurring Items'!$F$32)*IFERROR(N('Recurring Items'!$D$32),0)</f>
        <v>95.51</v>
      </c>
      <c r="AG244" s="1" t="n">
        <f aca="false">AD244-AE244-AF244</f>
        <v>-95.51</v>
      </c>
      <c r="AH244" s="1" t="n">
        <f aca="false">AH243+AG244</f>
        <v>6665.67</v>
      </c>
    </row>
    <row r="245" customFormat="false" ht="15" hidden="false" customHeight="true" outlineLevel="0" collapsed="false">
      <c r="AA245" s="1" t="n">
        <v>45</v>
      </c>
      <c r="AB245" s="145" t="n">
        <f aca="false">$D$3+45</f>
        <v>46188</v>
      </c>
      <c r="AC245" s="1" t="n">
        <f aca="false">MIN(12,1+DATEDIF($D$3,AB245,"M"))</f>
        <v>2</v>
      </c>
      <c r="AD245" s="1" t="n">
        <f aca="false">SUMPRODUCT(('Recurring Items'!$C$6:$C$56="Income")*('Recurring Items'!$H$6:$H$56&lt;&gt;"Skip")*IFERROR(N('Recurring Items'!$D$6:$D$56),0)*(('Recurring Items'!$E$6:$E$56="Monthly")*(DAY(AB245)='Recurring Items'!$F$6:$F$56)+('Recurring Items'!$E$6:$E$56="Bi-weekly")*(WEEKDAY(AB245)=IFERROR(WEEKDAY('Recurring Items'!$G$6:$G$56),0))*(MOD(AB245-IFERROR('Recurring Items'!$G$6:$G$56,0),14)=0)*(AB245&gt;=IFERROR('Recurring Items'!$G$6:$G$56,9000000000))+('Recurring Items'!$E$6:$E$56="Weekly")*(WEEKDAY(AB245)=IFERROR(WEEKDAY('Recurring Items'!$G$6:$G$56),0))*(AB245&gt;=IFERROR('Recurring Items'!$G$6:$G$56,9000000000))+('Recurring Items'!$E$6:$E$56="One-time")*(AB245='Recurring Items'!$G$6:$G$56)))</f>
        <v>0</v>
      </c>
      <c r="AE245" s="1" t="n">
        <f aca="false">SUMPRODUCT(('Recurring Items'!$C$6:$C$56="Expense")*('Recurring Items'!$H$6:$H$56&lt;&gt;"Skip")*IFERROR(N('Recurring Items'!$D$6:$D$56),0)*(('Recurring Items'!$E$6:$E$56="Monthly")*(DAY(AB245)='Recurring Items'!$F$6:$F$56)+('Recurring Items'!$E$6:$E$56="Bi-weekly")*(WEEKDAY(AB245)=IFERROR(WEEKDAY('Recurring Items'!$G$6:$G$56),0))*(MOD(AB245-IFERROR('Recurring Items'!$G$6:$G$56,0),14)=0)*(AB245&gt;=IFERROR('Recurring Items'!$G$6:$G$56,9000000000))+('Recurring Items'!$E$6:$E$56="Weekly")*(WEEKDAY(AB245)=IFERROR(WEEKDAY('Recurring Items'!$G$6:$G$56),0))*(AB245&gt;=IFERROR('Recurring Items'!$G$6:$G$56,9000000000))+('Recurring Items'!$E$6:$E$56="One-time")*(AB245='Recurring Items'!$G$6:$G$56)))</f>
        <v>2990.57</v>
      </c>
      <c r="AF245" s="1" t="n">
        <f aca="false">(IF(AC245=1,'Debt Tracker'!$P$5&gt;0.01,INDEX('Debt Tracker'!$T$5:$AE$29,1,AC245-1)&gt;0.01))*('Recurring Items'!$H$8&lt;&gt;"Skip")*(DAY(AB245)='Recurring Items'!$F$8)*IFERROR(N('Recurring Items'!$D$8),0)+(IF(AC245=1,'Debt Tracker'!$P$6&gt;0.01,INDEX('Debt Tracker'!$T$5:$AE$29,2,AC245-1)&gt;0.01))*('Recurring Items'!$H$9&lt;&gt;"Skip")*(DAY(AB245)='Recurring Items'!$F$9)*IFERROR(N('Recurring Items'!$D$9),0)+(IF(AC245=1,'Debt Tracker'!$P$7&gt;0.01,INDEX('Debt Tracker'!$T$5:$AE$29,3,AC245-1)&gt;0.01))*('Recurring Items'!$H$10&lt;&gt;"Skip")*(DAY(AB245)='Recurring Items'!$F$10)*IFERROR(N('Recurring Items'!$D$10),0)+(IF(AC245=1,'Debt Tracker'!$P$8&gt;0.01,INDEX('Debt Tracker'!$T$5:$AE$29,4,AC245-1)&gt;0.01))*('Recurring Items'!$H$11&lt;&gt;"Skip")*(DAY(AB245)='Recurring Items'!$F$11)*IFERROR(N('Recurring Items'!$D$11),0)+(IF(AC245=1,'Debt Tracker'!$P$9&gt;0.01,INDEX('Debt Tracker'!$T$5:$AE$29,5,AC245-1)&gt;0.01))*('Recurring Items'!$H$12&lt;&gt;"Skip")*(DAY(AB245)='Recurring Items'!$F$12)*IFERROR(N('Recurring Items'!$D$12),0)+(IF(AC245=1,'Debt Tracker'!$P$10&gt;0.01,INDEX('Debt Tracker'!$T$5:$AE$29,6,AC245-1)&gt;0.01))*('Recurring Items'!$H$13&lt;&gt;"Skip")*(DAY(AB245)='Recurring Items'!$F$13)*IFERROR(N('Recurring Items'!$D$13),0)+(IF(AC245=1,'Debt Tracker'!$P$11&gt;0.01,INDEX('Debt Tracker'!$T$5:$AE$29,7,AC245-1)&gt;0.01))*('Recurring Items'!$H$14&lt;&gt;"Skip")*(DAY(AB245)='Recurring Items'!$F$14)*IFERROR(N('Recurring Items'!$D$14),0)+(IF(AC245=1,'Debt Tracker'!$P$12&gt;0.01,INDEX('Debt Tracker'!$T$5:$AE$29,8,AC245-1)&gt;0.01))*('Recurring Items'!$H$15&lt;&gt;"Skip")*(DAY(AB245)='Recurring Items'!$F$15)*IFERROR(N('Recurring Items'!$D$15),0)+(IF(AC245=1,'Debt Tracker'!$P$13&gt;0.01,INDEX('Debt Tracker'!$T$5:$AE$29,9,AC245-1)&gt;0.01))*('Recurring Items'!$H$16&lt;&gt;"Skip")*(DAY(AB245)='Recurring Items'!$F$16)*IFERROR(N('Recurring Items'!$D$16),0)+(IF(AC245=1,'Debt Tracker'!$P$14&gt;0.01,INDEX('Debt Tracker'!$T$5:$AE$29,10,AC245-1)&gt;0.01))*('Recurring Items'!$H$17&lt;&gt;"Skip")*(DAY(AB245)='Recurring Items'!$F$17)*IFERROR(N('Recurring Items'!$D$17),0)+(IF(AC245=1,'Debt Tracker'!$P$15&gt;0.01,INDEX('Debt Tracker'!$T$5:$AE$29,11,AC245-1)&gt;0.01))*('Recurring Items'!$H$18&lt;&gt;"Skip")*(DAY(AB245)='Recurring Items'!$F$18)*IFERROR(N('Recurring Items'!$D$18),0)+(IF(AC245=1,'Debt Tracker'!$P$16&gt;0.01,INDEX('Debt Tracker'!$T$5:$AE$29,12,AC245-1)&gt;0.01))*('Recurring Items'!$H$19&lt;&gt;"Skip")*(DAY(AB245)='Recurring Items'!$F$19)*IFERROR(N('Recurring Items'!$D$19),0)+(IF(AC245=1,'Debt Tracker'!$P$17&gt;0.01,INDEX('Debt Tracker'!$T$5:$AE$29,13,AC245-1)&gt;0.01))*('Recurring Items'!$H$20&lt;&gt;"Skip")*(DAY(AB245)='Recurring Items'!$F$20)*IFERROR(N('Recurring Items'!$D$20),0)+(IF(AC245=1,'Debt Tracker'!$P$18&gt;0.01,INDEX('Debt Tracker'!$T$5:$AE$29,14,AC245-1)&gt;0.01))*('Recurring Items'!$H$21&lt;&gt;"Skip")*(DAY(AB245)='Recurring Items'!$F$21)*IFERROR(N('Recurring Items'!$D$21),0)+(IF(AC245=1,'Debt Tracker'!$P$19&gt;0.01,INDEX('Debt Tracker'!$T$5:$AE$29,15,AC245-1)&gt;0.01))*('Recurring Items'!$H$22&lt;&gt;"Skip")*(DAY(AB245)='Recurring Items'!$F$22)*IFERROR(N('Recurring Items'!$D$22),0)+(IF(AC245=1,'Debt Tracker'!$P$20&gt;0.01,INDEX('Debt Tracker'!$T$5:$AE$29,16,AC245-1)&gt;0.01))*('Recurring Items'!$H$23&lt;&gt;"Skip")*(DAY(AB245)='Recurring Items'!$F$23)*IFERROR(N('Recurring Items'!$D$23),0)+(IF(AC245=1,'Debt Tracker'!$P$21&gt;0.01,INDEX('Debt Tracker'!$T$5:$AE$29,17,AC245-1)&gt;0.01))*('Recurring Items'!$H$24&lt;&gt;"Skip")*(DAY(AB245)='Recurring Items'!$F$24)*IFERROR(N('Recurring Items'!$D$24),0)+(IF(AC245=1,'Debt Tracker'!$P$22&gt;0.01,INDEX('Debt Tracker'!$T$5:$AE$29,18,AC245-1)&gt;0.01))*('Recurring Items'!$H$25&lt;&gt;"Skip")*(DAY(AB245)='Recurring Items'!$F$25)*IFERROR(N('Recurring Items'!$D$25),0)+(IF(AC245=1,'Debt Tracker'!$P$23&gt;0.01,INDEX('Debt Tracker'!$T$5:$AE$29,19,AC245-1)&gt;0.01))*('Recurring Items'!$H$26&lt;&gt;"Skip")*(DAY(AB245)='Recurring Items'!$F$26)*IFERROR(N('Recurring Items'!$D$26),0)+(IF(AC245=1,'Debt Tracker'!$P$24&gt;0.01,INDEX('Debt Tracker'!$T$5:$AE$29,20,AC245-1)&gt;0.01))*('Recurring Items'!$H$27&lt;&gt;"Skip")*(DAY(AB245)='Recurring Items'!$F$27)*IFERROR(N('Recurring Items'!$D$27),0)+(IF(AC245=1,'Debt Tracker'!$P$25&gt;0.01,INDEX('Debt Tracker'!$T$5:$AE$29,21,AC245-1)&gt;0.01))*('Recurring Items'!$H$28&lt;&gt;"Skip")*(DAY(AB245)='Recurring Items'!$F$28)*IFERROR(N('Recurring Items'!$D$28),0)+(IF(AC245=1,'Debt Tracker'!$P$26&gt;0.01,INDEX('Debt Tracker'!$T$5:$AE$29,22,AC245-1)&gt;0.01))*('Recurring Items'!$H$29&lt;&gt;"Skip")*(DAY(AB245)='Recurring Items'!$F$29)*IFERROR(N('Recurring Items'!$D$29),0)+(IF(AC245=1,'Debt Tracker'!$P$27&gt;0.01,INDEX('Debt Tracker'!$T$5:$AE$29,23,AC245-1)&gt;0.01))*('Recurring Items'!$H$30&lt;&gt;"Skip")*(DAY(AB245)='Recurring Items'!$F$30)*IFERROR(N('Recurring Items'!$D$30),0)+(IF(AC245=1,'Debt Tracker'!$P$28&gt;0.01,INDEX('Debt Tracker'!$T$5:$AE$29,24,AC245-1)&gt;0.01))*('Recurring Items'!$H$31&lt;&gt;"Skip")*(DAY(AB245)='Recurring Items'!$F$31)*IFERROR(N('Recurring Items'!$D$31),0)+(IF(AC245=1,'Debt Tracker'!$P$29&gt;0.01,INDEX('Debt Tracker'!$T$5:$AE$29,25,AC245-1)&gt;0.01))*('Recurring Items'!$H$32&lt;&gt;"Skip")*(DAY(AB245)='Recurring Items'!$F$32)*IFERROR(N('Recurring Items'!$D$32),0)</f>
        <v>107.75</v>
      </c>
      <c r="AG245" s="1" t="n">
        <f aca="false">AD245-AE245-AF245</f>
        <v>-3098.32</v>
      </c>
      <c r="AH245" s="1" t="n">
        <f aca="false">AH244+AG245</f>
        <v>3567.35</v>
      </c>
    </row>
    <row r="246" customFormat="false" ht="15" hidden="false" customHeight="true" outlineLevel="0" collapsed="false">
      <c r="AA246" s="1" t="n">
        <v>46</v>
      </c>
      <c r="AB246" s="145" t="n">
        <f aca="false">$D$3+46</f>
        <v>46189</v>
      </c>
      <c r="AC246" s="1" t="n">
        <f aca="false">MIN(12,1+DATEDIF($D$3,AB246,"M"))</f>
        <v>2</v>
      </c>
      <c r="AD246" s="1" t="n">
        <f aca="false">SUMPRODUCT(('Recurring Items'!$C$6:$C$56="Income")*('Recurring Items'!$H$6:$H$56&lt;&gt;"Skip")*IFERROR(N('Recurring Items'!$D$6:$D$56),0)*(('Recurring Items'!$E$6:$E$56="Monthly")*(DAY(AB246)='Recurring Items'!$F$6:$F$56)+('Recurring Items'!$E$6:$E$56="Bi-weekly")*(WEEKDAY(AB246)=IFERROR(WEEKDAY('Recurring Items'!$G$6:$G$56),0))*(MOD(AB246-IFERROR('Recurring Items'!$G$6:$G$56,0),14)=0)*(AB246&gt;=IFERROR('Recurring Items'!$G$6:$G$56,9000000000))+('Recurring Items'!$E$6:$E$56="Weekly")*(WEEKDAY(AB246)=IFERROR(WEEKDAY('Recurring Items'!$G$6:$G$56),0))*(AB246&gt;=IFERROR('Recurring Items'!$G$6:$G$56,9000000000))+('Recurring Items'!$E$6:$E$56="One-time")*(AB246='Recurring Items'!$G$6:$G$56)))</f>
        <v>0</v>
      </c>
      <c r="AE246" s="1" t="n">
        <f aca="false">SUMPRODUCT(('Recurring Items'!$C$6:$C$56="Expense")*('Recurring Items'!$H$6:$H$56&lt;&gt;"Skip")*IFERROR(N('Recurring Items'!$D$6:$D$56),0)*(('Recurring Items'!$E$6:$E$56="Monthly")*(DAY(AB246)='Recurring Items'!$F$6:$F$56)+('Recurring Items'!$E$6:$E$56="Bi-weekly")*(WEEKDAY(AB246)=IFERROR(WEEKDAY('Recurring Items'!$G$6:$G$56),0))*(MOD(AB246-IFERROR('Recurring Items'!$G$6:$G$56,0),14)=0)*(AB246&gt;=IFERROR('Recurring Items'!$G$6:$G$56,9000000000))+('Recurring Items'!$E$6:$E$56="Weekly")*(WEEKDAY(AB246)=IFERROR(WEEKDAY('Recurring Items'!$G$6:$G$56),0))*(AB246&gt;=IFERROR('Recurring Items'!$G$6:$G$56,9000000000))+('Recurring Items'!$E$6:$E$56="One-time")*(AB246='Recurring Items'!$G$6:$G$56)))</f>
        <v>342</v>
      </c>
      <c r="AF246" s="1" t="n">
        <f aca="false">(IF(AC246=1,'Debt Tracker'!$P$5&gt;0.01,INDEX('Debt Tracker'!$T$5:$AE$29,1,AC246-1)&gt;0.01))*('Recurring Items'!$H$8&lt;&gt;"Skip")*(DAY(AB246)='Recurring Items'!$F$8)*IFERROR(N('Recurring Items'!$D$8),0)+(IF(AC246=1,'Debt Tracker'!$P$6&gt;0.01,INDEX('Debt Tracker'!$T$5:$AE$29,2,AC246-1)&gt;0.01))*('Recurring Items'!$H$9&lt;&gt;"Skip")*(DAY(AB246)='Recurring Items'!$F$9)*IFERROR(N('Recurring Items'!$D$9),0)+(IF(AC246=1,'Debt Tracker'!$P$7&gt;0.01,INDEX('Debt Tracker'!$T$5:$AE$29,3,AC246-1)&gt;0.01))*('Recurring Items'!$H$10&lt;&gt;"Skip")*(DAY(AB246)='Recurring Items'!$F$10)*IFERROR(N('Recurring Items'!$D$10),0)+(IF(AC246=1,'Debt Tracker'!$P$8&gt;0.01,INDEX('Debt Tracker'!$T$5:$AE$29,4,AC246-1)&gt;0.01))*('Recurring Items'!$H$11&lt;&gt;"Skip")*(DAY(AB246)='Recurring Items'!$F$11)*IFERROR(N('Recurring Items'!$D$11),0)+(IF(AC246=1,'Debt Tracker'!$P$9&gt;0.01,INDEX('Debt Tracker'!$T$5:$AE$29,5,AC246-1)&gt;0.01))*('Recurring Items'!$H$12&lt;&gt;"Skip")*(DAY(AB246)='Recurring Items'!$F$12)*IFERROR(N('Recurring Items'!$D$12),0)+(IF(AC246=1,'Debt Tracker'!$P$10&gt;0.01,INDEX('Debt Tracker'!$T$5:$AE$29,6,AC246-1)&gt;0.01))*('Recurring Items'!$H$13&lt;&gt;"Skip")*(DAY(AB246)='Recurring Items'!$F$13)*IFERROR(N('Recurring Items'!$D$13),0)+(IF(AC246=1,'Debt Tracker'!$P$11&gt;0.01,INDEX('Debt Tracker'!$T$5:$AE$29,7,AC246-1)&gt;0.01))*('Recurring Items'!$H$14&lt;&gt;"Skip")*(DAY(AB246)='Recurring Items'!$F$14)*IFERROR(N('Recurring Items'!$D$14),0)+(IF(AC246=1,'Debt Tracker'!$P$12&gt;0.01,INDEX('Debt Tracker'!$T$5:$AE$29,8,AC246-1)&gt;0.01))*('Recurring Items'!$H$15&lt;&gt;"Skip")*(DAY(AB246)='Recurring Items'!$F$15)*IFERROR(N('Recurring Items'!$D$15),0)+(IF(AC246=1,'Debt Tracker'!$P$13&gt;0.01,INDEX('Debt Tracker'!$T$5:$AE$29,9,AC246-1)&gt;0.01))*('Recurring Items'!$H$16&lt;&gt;"Skip")*(DAY(AB246)='Recurring Items'!$F$16)*IFERROR(N('Recurring Items'!$D$16),0)+(IF(AC246=1,'Debt Tracker'!$P$14&gt;0.01,INDEX('Debt Tracker'!$T$5:$AE$29,10,AC246-1)&gt;0.01))*('Recurring Items'!$H$17&lt;&gt;"Skip")*(DAY(AB246)='Recurring Items'!$F$17)*IFERROR(N('Recurring Items'!$D$17),0)+(IF(AC246=1,'Debt Tracker'!$P$15&gt;0.01,INDEX('Debt Tracker'!$T$5:$AE$29,11,AC246-1)&gt;0.01))*('Recurring Items'!$H$18&lt;&gt;"Skip")*(DAY(AB246)='Recurring Items'!$F$18)*IFERROR(N('Recurring Items'!$D$18),0)+(IF(AC246=1,'Debt Tracker'!$P$16&gt;0.01,INDEX('Debt Tracker'!$T$5:$AE$29,12,AC246-1)&gt;0.01))*('Recurring Items'!$H$19&lt;&gt;"Skip")*(DAY(AB246)='Recurring Items'!$F$19)*IFERROR(N('Recurring Items'!$D$19),0)+(IF(AC246=1,'Debt Tracker'!$P$17&gt;0.01,INDEX('Debt Tracker'!$T$5:$AE$29,13,AC246-1)&gt;0.01))*('Recurring Items'!$H$20&lt;&gt;"Skip")*(DAY(AB246)='Recurring Items'!$F$20)*IFERROR(N('Recurring Items'!$D$20),0)+(IF(AC246=1,'Debt Tracker'!$P$18&gt;0.01,INDEX('Debt Tracker'!$T$5:$AE$29,14,AC246-1)&gt;0.01))*('Recurring Items'!$H$21&lt;&gt;"Skip")*(DAY(AB246)='Recurring Items'!$F$21)*IFERROR(N('Recurring Items'!$D$21),0)+(IF(AC246=1,'Debt Tracker'!$P$19&gt;0.01,INDEX('Debt Tracker'!$T$5:$AE$29,15,AC246-1)&gt;0.01))*('Recurring Items'!$H$22&lt;&gt;"Skip")*(DAY(AB246)='Recurring Items'!$F$22)*IFERROR(N('Recurring Items'!$D$22),0)+(IF(AC246=1,'Debt Tracker'!$P$20&gt;0.01,INDEX('Debt Tracker'!$T$5:$AE$29,16,AC246-1)&gt;0.01))*('Recurring Items'!$H$23&lt;&gt;"Skip")*(DAY(AB246)='Recurring Items'!$F$23)*IFERROR(N('Recurring Items'!$D$23),0)+(IF(AC246=1,'Debt Tracker'!$P$21&gt;0.01,INDEX('Debt Tracker'!$T$5:$AE$29,17,AC246-1)&gt;0.01))*('Recurring Items'!$H$24&lt;&gt;"Skip")*(DAY(AB246)='Recurring Items'!$F$24)*IFERROR(N('Recurring Items'!$D$24),0)+(IF(AC246=1,'Debt Tracker'!$P$22&gt;0.01,INDEX('Debt Tracker'!$T$5:$AE$29,18,AC246-1)&gt;0.01))*('Recurring Items'!$H$25&lt;&gt;"Skip")*(DAY(AB246)='Recurring Items'!$F$25)*IFERROR(N('Recurring Items'!$D$25),0)+(IF(AC246=1,'Debt Tracker'!$P$23&gt;0.01,INDEX('Debt Tracker'!$T$5:$AE$29,19,AC246-1)&gt;0.01))*('Recurring Items'!$H$26&lt;&gt;"Skip")*(DAY(AB246)='Recurring Items'!$F$26)*IFERROR(N('Recurring Items'!$D$26),0)+(IF(AC246=1,'Debt Tracker'!$P$24&gt;0.01,INDEX('Debt Tracker'!$T$5:$AE$29,20,AC246-1)&gt;0.01))*('Recurring Items'!$H$27&lt;&gt;"Skip")*(DAY(AB246)='Recurring Items'!$F$27)*IFERROR(N('Recurring Items'!$D$27),0)+(IF(AC246=1,'Debt Tracker'!$P$25&gt;0.01,INDEX('Debt Tracker'!$T$5:$AE$29,21,AC246-1)&gt;0.01))*('Recurring Items'!$H$28&lt;&gt;"Skip")*(DAY(AB246)='Recurring Items'!$F$28)*IFERROR(N('Recurring Items'!$D$28),0)+(IF(AC246=1,'Debt Tracker'!$P$26&gt;0.01,INDEX('Debt Tracker'!$T$5:$AE$29,22,AC246-1)&gt;0.01))*('Recurring Items'!$H$29&lt;&gt;"Skip")*(DAY(AB246)='Recurring Items'!$F$29)*IFERROR(N('Recurring Items'!$D$29),0)+(IF(AC246=1,'Debt Tracker'!$P$27&gt;0.01,INDEX('Debt Tracker'!$T$5:$AE$29,23,AC246-1)&gt;0.01))*('Recurring Items'!$H$30&lt;&gt;"Skip")*(DAY(AB246)='Recurring Items'!$F$30)*IFERROR(N('Recurring Items'!$D$30),0)+(IF(AC246=1,'Debt Tracker'!$P$28&gt;0.01,INDEX('Debt Tracker'!$T$5:$AE$29,24,AC246-1)&gt;0.01))*('Recurring Items'!$H$31&lt;&gt;"Skip")*(DAY(AB246)='Recurring Items'!$F$31)*IFERROR(N('Recurring Items'!$D$31),0)+(IF(AC246=1,'Debt Tracker'!$P$29&gt;0.01,INDEX('Debt Tracker'!$T$5:$AE$29,25,AC246-1)&gt;0.01))*('Recurring Items'!$H$32&lt;&gt;"Skip")*(DAY(AB246)='Recurring Items'!$F$32)*IFERROR(N('Recurring Items'!$D$32),0)</f>
        <v>143</v>
      </c>
      <c r="AG246" s="1" t="n">
        <f aca="false">AD246-AE246-AF246</f>
        <v>-485</v>
      </c>
      <c r="AH246" s="1" t="n">
        <f aca="false">AH245+AG246</f>
        <v>3082.35</v>
      </c>
    </row>
    <row r="247" customFormat="false" ht="15" hidden="false" customHeight="true" outlineLevel="0" collapsed="false">
      <c r="AA247" s="1" t="n">
        <v>47</v>
      </c>
      <c r="AB247" s="145" t="n">
        <f aca="false">$D$3+47</f>
        <v>46190</v>
      </c>
      <c r="AC247" s="1" t="n">
        <f aca="false">MIN(12,1+DATEDIF($D$3,AB247,"M"))</f>
        <v>2</v>
      </c>
      <c r="AD247" s="1" t="n">
        <f aca="false">SUMPRODUCT(('Recurring Items'!$C$6:$C$56="Income")*('Recurring Items'!$H$6:$H$56&lt;&gt;"Skip")*IFERROR(N('Recurring Items'!$D$6:$D$56),0)*(('Recurring Items'!$E$6:$E$56="Monthly")*(DAY(AB247)='Recurring Items'!$F$6:$F$56)+('Recurring Items'!$E$6:$E$56="Bi-weekly")*(WEEKDAY(AB247)=IFERROR(WEEKDAY('Recurring Items'!$G$6:$G$56),0))*(MOD(AB247-IFERROR('Recurring Items'!$G$6:$G$56,0),14)=0)*(AB247&gt;=IFERROR('Recurring Items'!$G$6:$G$56,9000000000))+('Recurring Items'!$E$6:$E$56="Weekly")*(WEEKDAY(AB247)=IFERROR(WEEKDAY('Recurring Items'!$G$6:$G$56),0))*(AB247&gt;=IFERROR('Recurring Items'!$G$6:$G$56,9000000000))+('Recurring Items'!$E$6:$E$56="One-time")*(AB247='Recurring Items'!$G$6:$G$56)))</f>
        <v>0</v>
      </c>
      <c r="AE247" s="1" t="n">
        <f aca="false">SUMPRODUCT(('Recurring Items'!$C$6:$C$56="Expense")*('Recurring Items'!$H$6:$H$56&lt;&gt;"Skip")*IFERROR(N('Recurring Items'!$D$6:$D$56),0)*(('Recurring Items'!$E$6:$E$56="Monthly")*(DAY(AB247)='Recurring Items'!$F$6:$F$56)+('Recurring Items'!$E$6:$E$56="Bi-weekly")*(WEEKDAY(AB247)=IFERROR(WEEKDAY('Recurring Items'!$G$6:$G$56),0))*(MOD(AB247-IFERROR('Recurring Items'!$G$6:$G$56,0),14)=0)*(AB247&gt;=IFERROR('Recurring Items'!$G$6:$G$56,9000000000))+('Recurring Items'!$E$6:$E$56="Weekly")*(WEEKDAY(AB247)=IFERROR(WEEKDAY('Recurring Items'!$G$6:$G$56),0))*(AB247&gt;=IFERROR('Recurring Items'!$G$6:$G$56,9000000000))+('Recurring Items'!$E$6:$E$56="One-time")*(AB247='Recurring Items'!$G$6:$G$56)))</f>
        <v>0</v>
      </c>
      <c r="AF247" s="1" t="n">
        <f aca="false">(IF(AC247=1,'Debt Tracker'!$P$5&gt;0.01,INDEX('Debt Tracker'!$T$5:$AE$29,1,AC247-1)&gt;0.01))*('Recurring Items'!$H$8&lt;&gt;"Skip")*(DAY(AB247)='Recurring Items'!$F$8)*IFERROR(N('Recurring Items'!$D$8),0)+(IF(AC247=1,'Debt Tracker'!$P$6&gt;0.01,INDEX('Debt Tracker'!$T$5:$AE$29,2,AC247-1)&gt;0.01))*('Recurring Items'!$H$9&lt;&gt;"Skip")*(DAY(AB247)='Recurring Items'!$F$9)*IFERROR(N('Recurring Items'!$D$9),0)+(IF(AC247=1,'Debt Tracker'!$P$7&gt;0.01,INDEX('Debt Tracker'!$T$5:$AE$29,3,AC247-1)&gt;0.01))*('Recurring Items'!$H$10&lt;&gt;"Skip")*(DAY(AB247)='Recurring Items'!$F$10)*IFERROR(N('Recurring Items'!$D$10),0)+(IF(AC247=1,'Debt Tracker'!$P$8&gt;0.01,INDEX('Debt Tracker'!$T$5:$AE$29,4,AC247-1)&gt;0.01))*('Recurring Items'!$H$11&lt;&gt;"Skip")*(DAY(AB247)='Recurring Items'!$F$11)*IFERROR(N('Recurring Items'!$D$11),0)+(IF(AC247=1,'Debt Tracker'!$P$9&gt;0.01,INDEX('Debt Tracker'!$T$5:$AE$29,5,AC247-1)&gt;0.01))*('Recurring Items'!$H$12&lt;&gt;"Skip")*(DAY(AB247)='Recurring Items'!$F$12)*IFERROR(N('Recurring Items'!$D$12),0)+(IF(AC247=1,'Debt Tracker'!$P$10&gt;0.01,INDEX('Debt Tracker'!$T$5:$AE$29,6,AC247-1)&gt;0.01))*('Recurring Items'!$H$13&lt;&gt;"Skip")*(DAY(AB247)='Recurring Items'!$F$13)*IFERROR(N('Recurring Items'!$D$13),0)+(IF(AC247=1,'Debt Tracker'!$P$11&gt;0.01,INDEX('Debt Tracker'!$T$5:$AE$29,7,AC247-1)&gt;0.01))*('Recurring Items'!$H$14&lt;&gt;"Skip")*(DAY(AB247)='Recurring Items'!$F$14)*IFERROR(N('Recurring Items'!$D$14),0)+(IF(AC247=1,'Debt Tracker'!$P$12&gt;0.01,INDEX('Debt Tracker'!$T$5:$AE$29,8,AC247-1)&gt;0.01))*('Recurring Items'!$H$15&lt;&gt;"Skip")*(DAY(AB247)='Recurring Items'!$F$15)*IFERROR(N('Recurring Items'!$D$15),0)+(IF(AC247=1,'Debt Tracker'!$P$13&gt;0.01,INDEX('Debt Tracker'!$T$5:$AE$29,9,AC247-1)&gt;0.01))*('Recurring Items'!$H$16&lt;&gt;"Skip")*(DAY(AB247)='Recurring Items'!$F$16)*IFERROR(N('Recurring Items'!$D$16),0)+(IF(AC247=1,'Debt Tracker'!$P$14&gt;0.01,INDEX('Debt Tracker'!$T$5:$AE$29,10,AC247-1)&gt;0.01))*('Recurring Items'!$H$17&lt;&gt;"Skip")*(DAY(AB247)='Recurring Items'!$F$17)*IFERROR(N('Recurring Items'!$D$17),0)+(IF(AC247=1,'Debt Tracker'!$P$15&gt;0.01,INDEX('Debt Tracker'!$T$5:$AE$29,11,AC247-1)&gt;0.01))*('Recurring Items'!$H$18&lt;&gt;"Skip")*(DAY(AB247)='Recurring Items'!$F$18)*IFERROR(N('Recurring Items'!$D$18),0)+(IF(AC247=1,'Debt Tracker'!$P$16&gt;0.01,INDEX('Debt Tracker'!$T$5:$AE$29,12,AC247-1)&gt;0.01))*('Recurring Items'!$H$19&lt;&gt;"Skip")*(DAY(AB247)='Recurring Items'!$F$19)*IFERROR(N('Recurring Items'!$D$19),0)+(IF(AC247=1,'Debt Tracker'!$P$17&gt;0.01,INDEX('Debt Tracker'!$T$5:$AE$29,13,AC247-1)&gt;0.01))*('Recurring Items'!$H$20&lt;&gt;"Skip")*(DAY(AB247)='Recurring Items'!$F$20)*IFERROR(N('Recurring Items'!$D$20),0)+(IF(AC247=1,'Debt Tracker'!$P$18&gt;0.01,INDEX('Debt Tracker'!$T$5:$AE$29,14,AC247-1)&gt;0.01))*('Recurring Items'!$H$21&lt;&gt;"Skip")*(DAY(AB247)='Recurring Items'!$F$21)*IFERROR(N('Recurring Items'!$D$21),0)+(IF(AC247=1,'Debt Tracker'!$P$19&gt;0.01,INDEX('Debt Tracker'!$T$5:$AE$29,15,AC247-1)&gt;0.01))*('Recurring Items'!$H$22&lt;&gt;"Skip")*(DAY(AB247)='Recurring Items'!$F$22)*IFERROR(N('Recurring Items'!$D$22),0)+(IF(AC247=1,'Debt Tracker'!$P$20&gt;0.01,INDEX('Debt Tracker'!$T$5:$AE$29,16,AC247-1)&gt;0.01))*('Recurring Items'!$H$23&lt;&gt;"Skip")*(DAY(AB247)='Recurring Items'!$F$23)*IFERROR(N('Recurring Items'!$D$23),0)+(IF(AC247=1,'Debt Tracker'!$P$21&gt;0.01,INDEX('Debt Tracker'!$T$5:$AE$29,17,AC247-1)&gt;0.01))*('Recurring Items'!$H$24&lt;&gt;"Skip")*(DAY(AB247)='Recurring Items'!$F$24)*IFERROR(N('Recurring Items'!$D$24),0)+(IF(AC247=1,'Debt Tracker'!$P$22&gt;0.01,INDEX('Debt Tracker'!$T$5:$AE$29,18,AC247-1)&gt;0.01))*('Recurring Items'!$H$25&lt;&gt;"Skip")*(DAY(AB247)='Recurring Items'!$F$25)*IFERROR(N('Recurring Items'!$D$25),0)+(IF(AC247=1,'Debt Tracker'!$P$23&gt;0.01,INDEX('Debt Tracker'!$T$5:$AE$29,19,AC247-1)&gt;0.01))*('Recurring Items'!$H$26&lt;&gt;"Skip")*(DAY(AB247)='Recurring Items'!$F$26)*IFERROR(N('Recurring Items'!$D$26),0)+(IF(AC247=1,'Debt Tracker'!$P$24&gt;0.01,INDEX('Debt Tracker'!$T$5:$AE$29,20,AC247-1)&gt;0.01))*('Recurring Items'!$H$27&lt;&gt;"Skip")*(DAY(AB247)='Recurring Items'!$F$27)*IFERROR(N('Recurring Items'!$D$27),0)+(IF(AC247=1,'Debt Tracker'!$P$25&gt;0.01,INDEX('Debt Tracker'!$T$5:$AE$29,21,AC247-1)&gt;0.01))*('Recurring Items'!$H$28&lt;&gt;"Skip")*(DAY(AB247)='Recurring Items'!$F$28)*IFERROR(N('Recurring Items'!$D$28),0)+(IF(AC247=1,'Debt Tracker'!$P$26&gt;0.01,INDEX('Debt Tracker'!$T$5:$AE$29,22,AC247-1)&gt;0.01))*('Recurring Items'!$H$29&lt;&gt;"Skip")*(DAY(AB247)='Recurring Items'!$F$29)*IFERROR(N('Recurring Items'!$D$29),0)+(IF(AC247=1,'Debt Tracker'!$P$27&gt;0.01,INDEX('Debt Tracker'!$T$5:$AE$29,23,AC247-1)&gt;0.01))*('Recurring Items'!$H$30&lt;&gt;"Skip")*(DAY(AB247)='Recurring Items'!$F$30)*IFERROR(N('Recurring Items'!$D$30),0)+(IF(AC247=1,'Debt Tracker'!$P$28&gt;0.01,INDEX('Debt Tracker'!$T$5:$AE$29,24,AC247-1)&gt;0.01))*('Recurring Items'!$H$31&lt;&gt;"Skip")*(DAY(AB247)='Recurring Items'!$F$31)*IFERROR(N('Recurring Items'!$D$31),0)+(IF(AC247=1,'Debt Tracker'!$P$29&gt;0.01,INDEX('Debt Tracker'!$T$5:$AE$29,25,AC247-1)&gt;0.01))*('Recurring Items'!$H$32&lt;&gt;"Skip")*(DAY(AB247)='Recurring Items'!$F$32)*IFERROR(N('Recurring Items'!$D$32),0)</f>
        <v>0</v>
      </c>
      <c r="AG247" s="1" t="n">
        <f aca="false">AD247-AE247-AF247</f>
        <v>0</v>
      </c>
      <c r="AH247" s="1" t="n">
        <f aca="false">AH246+AG247</f>
        <v>3082.35</v>
      </c>
    </row>
    <row r="248" customFormat="false" ht="15" hidden="false" customHeight="true" outlineLevel="0" collapsed="false">
      <c r="AA248" s="1" t="n">
        <v>48</v>
      </c>
      <c r="AB248" s="145" t="n">
        <f aca="false">$D$3+48</f>
        <v>46191</v>
      </c>
      <c r="AC248" s="1" t="n">
        <f aca="false">MIN(12,1+DATEDIF($D$3,AB248,"M"))</f>
        <v>2</v>
      </c>
      <c r="AD248" s="1" t="n">
        <f aca="false">SUMPRODUCT(('Recurring Items'!$C$6:$C$56="Income")*('Recurring Items'!$H$6:$H$56&lt;&gt;"Skip")*IFERROR(N('Recurring Items'!$D$6:$D$56),0)*(('Recurring Items'!$E$6:$E$56="Monthly")*(DAY(AB248)='Recurring Items'!$F$6:$F$56)+('Recurring Items'!$E$6:$E$56="Bi-weekly")*(WEEKDAY(AB248)=IFERROR(WEEKDAY('Recurring Items'!$G$6:$G$56),0))*(MOD(AB248-IFERROR('Recurring Items'!$G$6:$G$56,0),14)=0)*(AB248&gt;=IFERROR('Recurring Items'!$G$6:$G$56,9000000000))+('Recurring Items'!$E$6:$E$56="Weekly")*(WEEKDAY(AB248)=IFERROR(WEEKDAY('Recurring Items'!$G$6:$G$56),0))*(AB248&gt;=IFERROR('Recurring Items'!$G$6:$G$56,9000000000))+('Recurring Items'!$E$6:$E$56="One-time")*(AB248='Recurring Items'!$G$6:$G$56)))</f>
        <v>2274.42</v>
      </c>
      <c r="AE248" s="1" t="n">
        <f aca="false">SUMPRODUCT(('Recurring Items'!$C$6:$C$56="Expense")*('Recurring Items'!$H$6:$H$56&lt;&gt;"Skip")*IFERROR(N('Recurring Items'!$D$6:$D$56),0)*(('Recurring Items'!$E$6:$E$56="Monthly")*(DAY(AB248)='Recurring Items'!$F$6:$F$56)+('Recurring Items'!$E$6:$E$56="Bi-weekly")*(WEEKDAY(AB248)=IFERROR(WEEKDAY('Recurring Items'!$G$6:$G$56),0))*(MOD(AB248-IFERROR('Recurring Items'!$G$6:$G$56,0),14)=0)*(AB248&gt;=IFERROR('Recurring Items'!$G$6:$G$56,9000000000))+('Recurring Items'!$E$6:$E$56="Weekly")*(WEEKDAY(AB248)=IFERROR(WEEKDAY('Recurring Items'!$G$6:$G$56),0))*(AB248&gt;=IFERROR('Recurring Items'!$G$6:$G$56,9000000000))+('Recurring Items'!$E$6:$E$56="One-time")*(AB248='Recurring Items'!$G$6:$G$56)))</f>
        <v>0</v>
      </c>
      <c r="AF248" s="1" t="n">
        <f aca="false">(IF(AC248=1,'Debt Tracker'!$P$5&gt;0.01,INDEX('Debt Tracker'!$T$5:$AE$29,1,AC248-1)&gt;0.01))*('Recurring Items'!$H$8&lt;&gt;"Skip")*(DAY(AB248)='Recurring Items'!$F$8)*IFERROR(N('Recurring Items'!$D$8),0)+(IF(AC248=1,'Debt Tracker'!$P$6&gt;0.01,INDEX('Debt Tracker'!$T$5:$AE$29,2,AC248-1)&gt;0.01))*('Recurring Items'!$H$9&lt;&gt;"Skip")*(DAY(AB248)='Recurring Items'!$F$9)*IFERROR(N('Recurring Items'!$D$9),0)+(IF(AC248=1,'Debt Tracker'!$P$7&gt;0.01,INDEX('Debt Tracker'!$T$5:$AE$29,3,AC248-1)&gt;0.01))*('Recurring Items'!$H$10&lt;&gt;"Skip")*(DAY(AB248)='Recurring Items'!$F$10)*IFERROR(N('Recurring Items'!$D$10),0)+(IF(AC248=1,'Debt Tracker'!$P$8&gt;0.01,INDEX('Debt Tracker'!$T$5:$AE$29,4,AC248-1)&gt;0.01))*('Recurring Items'!$H$11&lt;&gt;"Skip")*(DAY(AB248)='Recurring Items'!$F$11)*IFERROR(N('Recurring Items'!$D$11),0)+(IF(AC248=1,'Debt Tracker'!$P$9&gt;0.01,INDEX('Debt Tracker'!$T$5:$AE$29,5,AC248-1)&gt;0.01))*('Recurring Items'!$H$12&lt;&gt;"Skip")*(DAY(AB248)='Recurring Items'!$F$12)*IFERROR(N('Recurring Items'!$D$12),0)+(IF(AC248=1,'Debt Tracker'!$P$10&gt;0.01,INDEX('Debt Tracker'!$T$5:$AE$29,6,AC248-1)&gt;0.01))*('Recurring Items'!$H$13&lt;&gt;"Skip")*(DAY(AB248)='Recurring Items'!$F$13)*IFERROR(N('Recurring Items'!$D$13),0)+(IF(AC248=1,'Debt Tracker'!$P$11&gt;0.01,INDEX('Debt Tracker'!$T$5:$AE$29,7,AC248-1)&gt;0.01))*('Recurring Items'!$H$14&lt;&gt;"Skip")*(DAY(AB248)='Recurring Items'!$F$14)*IFERROR(N('Recurring Items'!$D$14),0)+(IF(AC248=1,'Debt Tracker'!$P$12&gt;0.01,INDEX('Debt Tracker'!$T$5:$AE$29,8,AC248-1)&gt;0.01))*('Recurring Items'!$H$15&lt;&gt;"Skip")*(DAY(AB248)='Recurring Items'!$F$15)*IFERROR(N('Recurring Items'!$D$15),0)+(IF(AC248=1,'Debt Tracker'!$P$13&gt;0.01,INDEX('Debt Tracker'!$T$5:$AE$29,9,AC248-1)&gt;0.01))*('Recurring Items'!$H$16&lt;&gt;"Skip")*(DAY(AB248)='Recurring Items'!$F$16)*IFERROR(N('Recurring Items'!$D$16),0)+(IF(AC248=1,'Debt Tracker'!$P$14&gt;0.01,INDEX('Debt Tracker'!$T$5:$AE$29,10,AC248-1)&gt;0.01))*('Recurring Items'!$H$17&lt;&gt;"Skip")*(DAY(AB248)='Recurring Items'!$F$17)*IFERROR(N('Recurring Items'!$D$17),0)+(IF(AC248=1,'Debt Tracker'!$P$15&gt;0.01,INDEX('Debt Tracker'!$T$5:$AE$29,11,AC248-1)&gt;0.01))*('Recurring Items'!$H$18&lt;&gt;"Skip")*(DAY(AB248)='Recurring Items'!$F$18)*IFERROR(N('Recurring Items'!$D$18),0)+(IF(AC248=1,'Debt Tracker'!$P$16&gt;0.01,INDEX('Debt Tracker'!$T$5:$AE$29,12,AC248-1)&gt;0.01))*('Recurring Items'!$H$19&lt;&gt;"Skip")*(DAY(AB248)='Recurring Items'!$F$19)*IFERROR(N('Recurring Items'!$D$19),0)+(IF(AC248=1,'Debt Tracker'!$P$17&gt;0.01,INDEX('Debt Tracker'!$T$5:$AE$29,13,AC248-1)&gt;0.01))*('Recurring Items'!$H$20&lt;&gt;"Skip")*(DAY(AB248)='Recurring Items'!$F$20)*IFERROR(N('Recurring Items'!$D$20),0)+(IF(AC248=1,'Debt Tracker'!$P$18&gt;0.01,INDEX('Debt Tracker'!$T$5:$AE$29,14,AC248-1)&gt;0.01))*('Recurring Items'!$H$21&lt;&gt;"Skip")*(DAY(AB248)='Recurring Items'!$F$21)*IFERROR(N('Recurring Items'!$D$21),0)+(IF(AC248=1,'Debt Tracker'!$P$19&gt;0.01,INDEX('Debt Tracker'!$T$5:$AE$29,15,AC248-1)&gt;0.01))*('Recurring Items'!$H$22&lt;&gt;"Skip")*(DAY(AB248)='Recurring Items'!$F$22)*IFERROR(N('Recurring Items'!$D$22),0)+(IF(AC248=1,'Debt Tracker'!$P$20&gt;0.01,INDEX('Debt Tracker'!$T$5:$AE$29,16,AC248-1)&gt;0.01))*('Recurring Items'!$H$23&lt;&gt;"Skip")*(DAY(AB248)='Recurring Items'!$F$23)*IFERROR(N('Recurring Items'!$D$23),0)+(IF(AC248=1,'Debt Tracker'!$P$21&gt;0.01,INDEX('Debt Tracker'!$T$5:$AE$29,17,AC248-1)&gt;0.01))*('Recurring Items'!$H$24&lt;&gt;"Skip")*(DAY(AB248)='Recurring Items'!$F$24)*IFERROR(N('Recurring Items'!$D$24),0)+(IF(AC248=1,'Debt Tracker'!$P$22&gt;0.01,INDEX('Debt Tracker'!$T$5:$AE$29,18,AC248-1)&gt;0.01))*('Recurring Items'!$H$25&lt;&gt;"Skip")*(DAY(AB248)='Recurring Items'!$F$25)*IFERROR(N('Recurring Items'!$D$25),0)+(IF(AC248=1,'Debt Tracker'!$P$23&gt;0.01,INDEX('Debt Tracker'!$T$5:$AE$29,19,AC248-1)&gt;0.01))*('Recurring Items'!$H$26&lt;&gt;"Skip")*(DAY(AB248)='Recurring Items'!$F$26)*IFERROR(N('Recurring Items'!$D$26),0)+(IF(AC248=1,'Debt Tracker'!$P$24&gt;0.01,INDEX('Debt Tracker'!$T$5:$AE$29,20,AC248-1)&gt;0.01))*('Recurring Items'!$H$27&lt;&gt;"Skip")*(DAY(AB248)='Recurring Items'!$F$27)*IFERROR(N('Recurring Items'!$D$27),0)+(IF(AC248=1,'Debt Tracker'!$P$25&gt;0.01,INDEX('Debt Tracker'!$T$5:$AE$29,21,AC248-1)&gt;0.01))*('Recurring Items'!$H$28&lt;&gt;"Skip")*(DAY(AB248)='Recurring Items'!$F$28)*IFERROR(N('Recurring Items'!$D$28),0)+(IF(AC248=1,'Debt Tracker'!$P$26&gt;0.01,INDEX('Debt Tracker'!$T$5:$AE$29,22,AC248-1)&gt;0.01))*('Recurring Items'!$H$29&lt;&gt;"Skip")*(DAY(AB248)='Recurring Items'!$F$29)*IFERROR(N('Recurring Items'!$D$29),0)+(IF(AC248=1,'Debt Tracker'!$P$27&gt;0.01,INDEX('Debt Tracker'!$T$5:$AE$29,23,AC248-1)&gt;0.01))*('Recurring Items'!$H$30&lt;&gt;"Skip")*(DAY(AB248)='Recurring Items'!$F$30)*IFERROR(N('Recurring Items'!$D$30),0)+(IF(AC248=1,'Debt Tracker'!$P$28&gt;0.01,INDEX('Debt Tracker'!$T$5:$AE$29,24,AC248-1)&gt;0.01))*('Recurring Items'!$H$31&lt;&gt;"Skip")*(DAY(AB248)='Recurring Items'!$F$31)*IFERROR(N('Recurring Items'!$D$31),0)+(IF(AC248=1,'Debt Tracker'!$P$29&gt;0.01,INDEX('Debt Tracker'!$T$5:$AE$29,25,AC248-1)&gt;0.01))*('Recurring Items'!$H$32&lt;&gt;"Skip")*(DAY(AB248)='Recurring Items'!$F$32)*IFERROR(N('Recurring Items'!$D$32),0)</f>
        <v>0</v>
      </c>
      <c r="AG248" s="1" t="n">
        <f aca="false">AD248-AE248-AF248</f>
        <v>2274.42</v>
      </c>
      <c r="AH248" s="1" t="n">
        <f aca="false">AH247+AG248</f>
        <v>5356.77</v>
      </c>
    </row>
    <row r="249" customFormat="false" ht="15" hidden="false" customHeight="true" outlineLevel="0" collapsed="false">
      <c r="AA249" s="1" t="n">
        <v>49</v>
      </c>
      <c r="AB249" s="145" t="n">
        <f aca="false">$D$3+49</f>
        <v>46192</v>
      </c>
      <c r="AC249" s="1" t="n">
        <f aca="false">MIN(12,1+DATEDIF($D$3,AB249,"M"))</f>
        <v>2</v>
      </c>
      <c r="AD249" s="1" t="n">
        <f aca="false">SUMPRODUCT(('Recurring Items'!$C$6:$C$56="Income")*('Recurring Items'!$H$6:$H$56&lt;&gt;"Skip")*IFERROR(N('Recurring Items'!$D$6:$D$56),0)*(('Recurring Items'!$E$6:$E$56="Monthly")*(DAY(AB249)='Recurring Items'!$F$6:$F$56)+('Recurring Items'!$E$6:$E$56="Bi-weekly")*(WEEKDAY(AB249)=IFERROR(WEEKDAY('Recurring Items'!$G$6:$G$56),0))*(MOD(AB249-IFERROR('Recurring Items'!$G$6:$G$56,0),14)=0)*(AB249&gt;=IFERROR('Recurring Items'!$G$6:$G$56,9000000000))+('Recurring Items'!$E$6:$E$56="Weekly")*(WEEKDAY(AB249)=IFERROR(WEEKDAY('Recurring Items'!$G$6:$G$56),0))*(AB249&gt;=IFERROR('Recurring Items'!$G$6:$G$56,9000000000))+('Recurring Items'!$E$6:$E$56="One-time")*(AB249='Recurring Items'!$G$6:$G$56)))</f>
        <v>0</v>
      </c>
      <c r="AE249" s="1" t="n">
        <f aca="false">SUMPRODUCT(('Recurring Items'!$C$6:$C$56="Expense")*('Recurring Items'!$H$6:$H$56&lt;&gt;"Skip")*IFERROR(N('Recurring Items'!$D$6:$D$56),0)*(('Recurring Items'!$E$6:$E$56="Monthly")*(DAY(AB249)='Recurring Items'!$F$6:$F$56)+('Recurring Items'!$E$6:$E$56="Bi-weekly")*(WEEKDAY(AB249)=IFERROR(WEEKDAY('Recurring Items'!$G$6:$G$56),0))*(MOD(AB249-IFERROR('Recurring Items'!$G$6:$G$56,0),14)=0)*(AB249&gt;=IFERROR('Recurring Items'!$G$6:$G$56,9000000000))+('Recurring Items'!$E$6:$E$56="Weekly")*(WEEKDAY(AB249)=IFERROR(WEEKDAY('Recurring Items'!$G$6:$G$56),0))*(AB249&gt;=IFERROR('Recurring Items'!$G$6:$G$56,9000000000))+('Recurring Items'!$E$6:$E$56="One-time")*(AB249='Recurring Items'!$G$6:$G$56)))</f>
        <v>460</v>
      </c>
      <c r="AF249" s="1" t="n">
        <f aca="false">(IF(AC249=1,'Debt Tracker'!$P$5&gt;0.01,INDEX('Debt Tracker'!$T$5:$AE$29,1,AC249-1)&gt;0.01))*('Recurring Items'!$H$8&lt;&gt;"Skip")*(DAY(AB249)='Recurring Items'!$F$8)*IFERROR(N('Recurring Items'!$D$8),0)+(IF(AC249=1,'Debt Tracker'!$P$6&gt;0.01,INDEX('Debt Tracker'!$T$5:$AE$29,2,AC249-1)&gt;0.01))*('Recurring Items'!$H$9&lt;&gt;"Skip")*(DAY(AB249)='Recurring Items'!$F$9)*IFERROR(N('Recurring Items'!$D$9),0)+(IF(AC249=1,'Debt Tracker'!$P$7&gt;0.01,INDEX('Debt Tracker'!$T$5:$AE$29,3,AC249-1)&gt;0.01))*('Recurring Items'!$H$10&lt;&gt;"Skip")*(DAY(AB249)='Recurring Items'!$F$10)*IFERROR(N('Recurring Items'!$D$10),0)+(IF(AC249=1,'Debt Tracker'!$P$8&gt;0.01,INDEX('Debt Tracker'!$T$5:$AE$29,4,AC249-1)&gt;0.01))*('Recurring Items'!$H$11&lt;&gt;"Skip")*(DAY(AB249)='Recurring Items'!$F$11)*IFERROR(N('Recurring Items'!$D$11),0)+(IF(AC249=1,'Debt Tracker'!$P$9&gt;0.01,INDEX('Debt Tracker'!$T$5:$AE$29,5,AC249-1)&gt;0.01))*('Recurring Items'!$H$12&lt;&gt;"Skip")*(DAY(AB249)='Recurring Items'!$F$12)*IFERROR(N('Recurring Items'!$D$12),0)+(IF(AC249=1,'Debt Tracker'!$P$10&gt;0.01,INDEX('Debt Tracker'!$T$5:$AE$29,6,AC249-1)&gt;0.01))*('Recurring Items'!$H$13&lt;&gt;"Skip")*(DAY(AB249)='Recurring Items'!$F$13)*IFERROR(N('Recurring Items'!$D$13),0)+(IF(AC249=1,'Debt Tracker'!$P$11&gt;0.01,INDEX('Debt Tracker'!$T$5:$AE$29,7,AC249-1)&gt;0.01))*('Recurring Items'!$H$14&lt;&gt;"Skip")*(DAY(AB249)='Recurring Items'!$F$14)*IFERROR(N('Recurring Items'!$D$14),0)+(IF(AC249=1,'Debt Tracker'!$P$12&gt;0.01,INDEX('Debt Tracker'!$T$5:$AE$29,8,AC249-1)&gt;0.01))*('Recurring Items'!$H$15&lt;&gt;"Skip")*(DAY(AB249)='Recurring Items'!$F$15)*IFERROR(N('Recurring Items'!$D$15),0)+(IF(AC249=1,'Debt Tracker'!$P$13&gt;0.01,INDEX('Debt Tracker'!$T$5:$AE$29,9,AC249-1)&gt;0.01))*('Recurring Items'!$H$16&lt;&gt;"Skip")*(DAY(AB249)='Recurring Items'!$F$16)*IFERROR(N('Recurring Items'!$D$16),0)+(IF(AC249=1,'Debt Tracker'!$P$14&gt;0.01,INDEX('Debt Tracker'!$T$5:$AE$29,10,AC249-1)&gt;0.01))*('Recurring Items'!$H$17&lt;&gt;"Skip")*(DAY(AB249)='Recurring Items'!$F$17)*IFERROR(N('Recurring Items'!$D$17),0)+(IF(AC249=1,'Debt Tracker'!$P$15&gt;0.01,INDEX('Debt Tracker'!$T$5:$AE$29,11,AC249-1)&gt;0.01))*('Recurring Items'!$H$18&lt;&gt;"Skip")*(DAY(AB249)='Recurring Items'!$F$18)*IFERROR(N('Recurring Items'!$D$18),0)+(IF(AC249=1,'Debt Tracker'!$P$16&gt;0.01,INDEX('Debt Tracker'!$T$5:$AE$29,12,AC249-1)&gt;0.01))*('Recurring Items'!$H$19&lt;&gt;"Skip")*(DAY(AB249)='Recurring Items'!$F$19)*IFERROR(N('Recurring Items'!$D$19),0)+(IF(AC249=1,'Debt Tracker'!$P$17&gt;0.01,INDEX('Debt Tracker'!$T$5:$AE$29,13,AC249-1)&gt;0.01))*('Recurring Items'!$H$20&lt;&gt;"Skip")*(DAY(AB249)='Recurring Items'!$F$20)*IFERROR(N('Recurring Items'!$D$20),0)+(IF(AC249=1,'Debt Tracker'!$P$18&gt;0.01,INDEX('Debt Tracker'!$T$5:$AE$29,14,AC249-1)&gt;0.01))*('Recurring Items'!$H$21&lt;&gt;"Skip")*(DAY(AB249)='Recurring Items'!$F$21)*IFERROR(N('Recurring Items'!$D$21),0)+(IF(AC249=1,'Debt Tracker'!$P$19&gt;0.01,INDEX('Debt Tracker'!$T$5:$AE$29,15,AC249-1)&gt;0.01))*('Recurring Items'!$H$22&lt;&gt;"Skip")*(DAY(AB249)='Recurring Items'!$F$22)*IFERROR(N('Recurring Items'!$D$22),0)+(IF(AC249=1,'Debt Tracker'!$P$20&gt;0.01,INDEX('Debt Tracker'!$T$5:$AE$29,16,AC249-1)&gt;0.01))*('Recurring Items'!$H$23&lt;&gt;"Skip")*(DAY(AB249)='Recurring Items'!$F$23)*IFERROR(N('Recurring Items'!$D$23),0)+(IF(AC249=1,'Debt Tracker'!$P$21&gt;0.01,INDEX('Debt Tracker'!$T$5:$AE$29,17,AC249-1)&gt;0.01))*('Recurring Items'!$H$24&lt;&gt;"Skip")*(DAY(AB249)='Recurring Items'!$F$24)*IFERROR(N('Recurring Items'!$D$24),0)+(IF(AC249=1,'Debt Tracker'!$P$22&gt;0.01,INDEX('Debt Tracker'!$T$5:$AE$29,18,AC249-1)&gt;0.01))*('Recurring Items'!$H$25&lt;&gt;"Skip")*(DAY(AB249)='Recurring Items'!$F$25)*IFERROR(N('Recurring Items'!$D$25),0)+(IF(AC249=1,'Debt Tracker'!$P$23&gt;0.01,INDEX('Debt Tracker'!$T$5:$AE$29,19,AC249-1)&gt;0.01))*('Recurring Items'!$H$26&lt;&gt;"Skip")*(DAY(AB249)='Recurring Items'!$F$26)*IFERROR(N('Recurring Items'!$D$26),0)+(IF(AC249=1,'Debt Tracker'!$P$24&gt;0.01,INDEX('Debt Tracker'!$T$5:$AE$29,20,AC249-1)&gt;0.01))*('Recurring Items'!$H$27&lt;&gt;"Skip")*(DAY(AB249)='Recurring Items'!$F$27)*IFERROR(N('Recurring Items'!$D$27),0)+(IF(AC249=1,'Debt Tracker'!$P$25&gt;0.01,INDEX('Debt Tracker'!$T$5:$AE$29,21,AC249-1)&gt;0.01))*('Recurring Items'!$H$28&lt;&gt;"Skip")*(DAY(AB249)='Recurring Items'!$F$28)*IFERROR(N('Recurring Items'!$D$28),0)+(IF(AC249=1,'Debt Tracker'!$P$26&gt;0.01,INDEX('Debt Tracker'!$T$5:$AE$29,22,AC249-1)&gt;0.01))*('Recurring Items'!$H$29&lt;&gt;"Skip")*(DAY(AB249)='Recurring Items'!$F$29)*IFERROR(N('Recurring Items'!$D$29),0)+(IF(AC249=1,'Debt Tracker'!$P$27&gt;0.01,INDEX('Debt Tracker'!$T$5:$AE$29,23,AC249-1)&gt;0.01))*('Recurring Items'!$H$30&lt;&gt;"Skip")*(DAY(AB249)='Recurring Items'!$F$30)*IFERROR(N('Recurring Items'!$D$30),0)+(IF(AC249=1,'Debt Tracker'!$P$28&gt;0.01,INDEX('Debt Tracker'!$T$5:$AE$29,24,AC249-1)&gt;0.01))*('Recurring Items'!$H$31&lt;&gt;"Skip")*(DAY(AB249)='Recurring Items'!$F$31)*IFERROR(N('Recurring Items'!$D$31),0)+(IF(AC249=1,'Debt Tracker'!$P$29&gt;0.01,INDEX('Debt Tracker'!$T$5:$AE$29,25,AC249-1)&gt;0.01))*('Recurring Items'!$H$32&lt;&gt;"Skip")*(DAY(AB249)='Recurring Items'!$F$32)*IFERROR(N('Recurring Items'!$D$32),0)</f>
        <v>0</v>
      </c>
      <c r="AG249" s="1" t="n">
        <f aca="false">AD249-AE249-AF249</f>
        <v>-460</v>
      </c>
      <c r="AH249" s="1" t="n">
        <f aca="false">AH248+AG249</f>
        <v>4896.77</v>
      </c>
    </row>
    <row r="250" customFormat="false" ht="15" hidden="false" customHeight="true" outlineLevel="0" collapsed="false">
      <c r="AA250" s="1" t="n">
        <v>50</v>
      </c>
      <c r="AB250" s="145" t="n">
        <f aca="false">$D$3+50</f>
        <v>46193</v>
      </c>
      <c r="AC250" s="1" t="n">
        <f aca="false">MIN(12,1+DATEDIF($D$3,AB250,"M"))</f>
        <v>2</v>
      </c>
      <c r="AD250" s="1" t="n">
        <f aca="false">SUMPRODUCT(('Recurring Items'!$C$6:$C$56="Income")*('Recurring Items'!$H$6:$H$56&lt;&gt;"Skip")*IFERROR(N('Recurring Items'!$D$6:$D$56),0)*(('Recurring Items'!$E$6:$E$56="Monthly")*(DAY(AB250)='Recurring Items'!$F$6:$F$56)+('Recurring Items'!$E$6:$E$56="Bi-weekly")*(WEEKDAY(AB250)=IFERROR(WEEKDAY('Recurring Items'!$G$6:$G$56),0))*(MOD(AB250-IFERROR('Recurring Items'!$G$6:$G$56,0),14)=0)*(AB250&gt;=IFERROR('Recurring Items'!$G$6:$G$56,9000000000))+('Recurring Items'!$E$6:$E$56="Weekly")*(WEEKDAY(AB250)=IFERROR(WEEKDAY('Recurring Items'!$G$6:$G$56),0))*(AB250&gt;=IFERROR('Recurring Items'!$G$6:$G$56,9000000000))+('Recurring Items'!$E$6:$E$56="One-time")*(AB250='Recurring Items'!$G$6:$G$56)))</f>
        <v>0</v>
      </c>
      <c r="AE250" s="1" t="n">
        <f aca="false">SUMPRODUCT(('Recurring Items'!$C$6:$C$56="Expense")*('Recurring Items'!$H$6:$H$56&lt;&gt;"Skip")*IFERROR(N('Recurring Items'!$D$6:$D$56),0)*(('Recurring Items'!$E$6:$E$56="Monthly")*(DAY(AB250)='Recurring Items'!$F$6:$F$56)+('Recurring Items'!$E$6:$E$56="Bi-weekly")*(WEEKDAY(AB250)=IFERROR(WEEKDAY('Recurring Items'!$G$6:$G$56),0))*(MOD(AB250-IFERROR('Recurring Items'!$G$6:$G$56,0),14)=0)*(AB250&gt;=IFERROR('Recurring Items'!$G$6:$G$56,9000000000))+('Recurring Items'!$E$6:$E$56="Weekly")*(WEEKDAY(AB250)=IFERROR(WEEKDAY('Recurring Items'!$G$6:$G$56),0))*(AB250&gt;=IFERROR('Recurring Items'!$G$6:$G$56,9000000000))+('Recurring Items'!$E$6:$E$56="One-time")*(AB250='Recurring Items'!$G$6:$G$56)))</f>
        <v>0</v>
      </c>
      <c r="AF250" s="1" t="n">
        <f aca="false">(IF(AC250=1,'Debt Tracker'!$P$5&gt;0.01,INDEX('Debt Tracker'!$T$5:$AE$29,1,AC250-1)&gt;0.01))*('Recurring Items'!$H$8&lt;&gt;"Skip")*(DAY(AB250)='Recurring Items'!$F$8)*IFERROR(N('Recurring Items'!$D$8),0)+(IF(AC250=1,'Debt Tracker'!$P$6&gt;0.01,INDEX('Debt Tracker'!$T$5:$AE$29,2,AC250-1)&gt;0.01))*('Recurring Items'!$H$9&lt;&gt;"Skip")*(DAY(AB250)='Recurring Items'!$F$9)*IFERROR(N('Recurring Items'!$D$9),0)+(IF(AC250=1,'Debt Tracker'!$P$7&gt;0.01,INDEX('Debt Tracker'!$T$5:$AE$29,3,AC250-1)&gt;0.01))*('Recurring Items'!$H$10&lt;&gt;"Skip")*(DAY(AB250)='Recurring Items'!$F$10)*IFERROR(N('Recurring Items'!$D$10),0)+(IF(AC250=1,'Debt Tracker'!$P$8&gt;0.01,INDEX('Debt Tracker'!$T$5:$AE$29,4,AC250-1)&gt;0.01))*('Recurring Items'!$H$11&lt;&gt;"Skip")*(DAY(AB250)='Recurring Items'!$F$11)*IFERROR(N('Recurring Items'!$D$11),0)+(IF(AC250=1,'Debt Tracker'!$P$9&gt;0.01,INDEX('Debt Tracker'!$T$5:$AE$29,5,AC250-1)&gt;0.01))*('Recurring Items'!$H$12&lt;&gt;"Skip")*(DAY(AB250)='Recurring Items'!$F$12)*IFERROR(N('Recurring Items'!$D$12),0)+(IF(AC250=1,'Debt Tracker'!$P$10&gt;0.01,INDEX('Debt Tracker'!$T$5:$AE$29,6,AC250-1)&gt;0.01))*('Recurring Items'!$H$13&lt;&gt;"Skip")*(DAY(AB250)='Recurring Items'!$F$13)*IFERROR(N('Recurring Items'!$D$13),0)+(IF(AC250=1,'Debt Tracker'!$P$11&gt;0.01,INDEX('Debt Tracker'!$T$5:$AE$29,7,AC250-1)&gt;0.01))*('Recurring Items'!$H$14&lt;&gt;"Skip")*(DAY(AB250)='Recurring Items'!$F$14)*IFERROR(N('Recurring Items'!$D$14),0)+(IF(AC250=1,'Debt Tracker'!$P$12&gt;0.01,INDEX('Debt Tracker'!$T$5:$AE$29,8,AC250-1)&gt;0.01))*('Recurring Items'!$H$15&lt;&gt;"Skip")*(DAY(AB250)='Recurring Items'!$F$15)*IFERROR(N('Recurring Items'!$D$15),0)+(IF(AC250=1,'Debt Tracker'!$P$13&gt;0.01,INDEX('Debt Tracker'!$T$5:$AE$29,9,AC250-1)&gt;0.01))*('Recurring Items'!$H$16&lt;&gt;"Skip")*(DAY(AB250)='Recurring Items'!$F$16)*IFERROR(N('Recurring Items'!$D$16),0)+(IF(AC250=1,'Debt Tracker'!$P$14&gt;0.01,INDEX('Debt Tracker'!$T$5:$AE$29,10,AC250-1)&gt;0.01))*('Recurring Items'!$H$17&lt;&gt;"Skip")*(DAY(AB250)='Recurring Items'!$F$17)*IFERROR(N('Recurring Items'!$D$17),0)+(IF(AC250=1,'Debt Tracker'!$P$15&gt;0.01,INDEX('Debt Tracker'!$T$5:$AE$29,11,AC250-1)&gt;0.01))*('Recurring Items'!$H$18&lt;&gt;"Skip")*(DAY(AB250)='Recurring Items'!$F$18)*IFERROR(N('Recurring Items'!$D$18),0)+(IF(AC250=1,'Debt Tracker'!$P$16&gt;0.01,INDEX('Debt Tracker'!$T$5:$AE$29,12,AC250-1)&gt;0.01))*('Recurring Items'!$H$19&lt;&gt;"Skip")*(DAY(AB250)='Recurring Items'!$F$19)*IFERROR(N('Recurring Items'!$D$19),0)+(IF(AC250=1,'Debt Tracker'!$P$17&gt;0.01,INDEX('Debt Tracker'!$T$5:$AE$29,13,AC250-1)&gt;0.01))*('Recurring Items'!$H$20&lt;&gt;"Skip")*(DAY(AB250)='Recurring Items'!$F$20)*IFERROR(N('Recurring Items'!$D$20),0)+(IF(AC250=1,'Debt Tracker'!$P$18&gt;0.01,INDEX('Debt Tracker'!$T$5:$AE$29,14,AC250-1)&gt;0.01))*('Recurring Items'!$H$21&lt;&gt;"Skip")*(DAY(AB250)='Recurring Items'!$F$21)*IFERROR(N('Recurring Items'!$D$21),0)+(IF(AC250=1,'Debt Tracker'!$P$19&gt;0.01,INDEX('Debt Tracker'!$T$5:$AE$29,15,AC250-1)&gt;0.01))*('Recurring Items'!$H$22&lt;&gt;"Skip")*(DAY(AB250)='Recurring Items'!$F$22)*IFERROR(N('Recurring Items'!$D$22),0)+(IF(AC250=1,'Debt Tracker'!$P$20&gt;0.01,INDEX('Debt Tracker'!$T$5:$AE$29,16,AC250-1)&gt;0.01))*('Recurring Items'!$H$23&lt;&gt;"Skip")*(DAY(AB250)='Recurring Items'!$F$23)*IFERROR(N('Recurring Items'!$D$23),0)+(IF(AC250=1,'Debt Tracker'!$P$21&gt;0.01,INDEX('Debt Tracker'!$T$5:$AE$29,17,AC250-1)&gt;0.01))*('Recurring Items'!$H$24&lt;&gt;"Skip")*(DAY(AB250)='Recurring Items'!$F$24)*IFERROR(N('Recurring Items'!$D$24),0)+(IF(AC250=1,'Debt Tracker'!$P$22&gt;0.01,INDEX('Debt Tracker'!$T$5:$AE$29,18,AC250-1)&gt;0.01))*('Recurring Items'!$H$25&lt;&gt;"Skip")*(DAY(AB250)='Recurring Items'!$F$25)*IFERROR(N('Recurring Items'!$D$25),0)+(IF(AC250=1,'Debt Tracker'!$P$23&gt;0.01,INDEX('Debt Tracker'!$T$5:$AE$29,19,AC250-1)&gt;0.01))*('Recurring Items'!$H$26&lt;&gt;"Skip")*(DAY(AB250)='Recurring Items'!$F$26)*IFERROR(N('Recurring Items'!$D$26),0)+(IF(AC250=1,'Debt Tracker'!$P$24&gt;0.01,INDEX('Debt Tracker'!$T$5:$AE$29,20,AC250-1)&gt;0.01))*('Recurring Items'!$H$27&lt;&gt;"Skip")*(DAY(AB250)='Recurring Items'!$F$27)*IFERROR(N('Recurring Items'!$D$27),0)+(IF(AC250=1,'Debt Tracker'!$P$25&gt;0.01,INDEX('Debt Tracker'!$T$5:$AE$29,21,AC250-1)&gt;0.01))*('Recurring Items'!$H$28&lt;&gt;"Skip")*(DAY(AB250)='Recurring Items'!$F$28)*IFERROR(N('Recurring Items'!$D$28),0)+(IF(AC250=1,'Debt Tracker'!$P$26&gt;0.01,INDEX('Debt Tracker'!$T$5:$AE$29,22,AC250-1)&gt;0.01))*('Recurring Items'!$H$29&lt;&gt;"Skip")*(DAY(AB250)='Recurring Items'!$F$29)*IFERROR(N('Recurring Items'!$D$29),0)+(IF(AC250=1,'Debt Tracker'!$P$27&gt;0.01,INDEX('Debt Tracker'!$T$5:$AE$29,23,AC250-1)&gt;0.01))*('Recurring Items'!$H$30&lt;&gt;"Skip")*(DAY(AB250)='Recurring Items'!$F$30)*IFERROR(N('Recurring Items'!$D$30),0)+(IF(AC250=1,'Debt Tracker'!$P$28&gt;0.01,INDEX('Debt Tracker'!$T$5:$AE$29,24,AC250-1)&gt;0.01))*('Recurring Items'!$H$31&lt;&gt;"Skip")*(DAY(AB250)='Recurring Items'!$F$31)*IFERROR(N('Recurring Items'!$D$31),0)+(IF(AC250=1,'Debt Tracker'!$P$29&gt;0.01,INDEX('Debt Tracker'!$T$5:$AE$29,25,AC250-1)&gt;0.01))*('Recurring Items'!$H$32&lt;&gt;"Skip")*(DAY(AB250)='Recurring Items'!$F$32)*IFERROR(N('Recurring Items'!$D$32),0)</f>
        <v>207.23</v>
      </c>
      <c r="AG250" s="1" t="n">
        <f aca="false">AD250-AE250-AF250</f>
        <v>-207.23</v>
      </c>
      <c r="AH250" s="1" t="n">
        <f aca="false">AH249+AG250</f>
        <v>4689.54</v>
      </c>
    </row>
    <row r="251" customFormat="false" ht="15" hidden="false" customHeight="true" outlineLevel="0" collapsed="false">
      <c r="AA251" s="1" t="n">
        <v>51</v>
      </c>
      <c r="AB251" s="145" t="n">
        <f aca="false">$D$3+51</f>
        <v>46194</v>
      </c>
      <c r="AC251" s="1" t="n">
        <f aca="false">MIN(12,1+DATEDIF($D$3,AB251,"M"))</f>
        <v>2</v>
      </c>
      <c r="AD251" s="1" t="n">
        <f aca="false">SUMPRODUCT(('Recurring Items'!$C$6:$C$56="Income")*('Recurring Items'!$H$6:$H$56&lt;&gt;"Skip")*IFERROR(N('Recurring Items'!$D$6:$D$56),0)*(('Recurring Items'!$E$6:$E$56="Monthly")*(DAY(AB251)='Recurring Items'!$F$6:$F$56)+('Recurring Items'!$E$6:$E$56="Bi-weekly")*(WEEKDAY(AB251)=IFERROR(WEEKDAY('Recurring Items'!$G$6:$G$56),0))*(MOD(AB251-IFERROR('Recurring Items'!$G$6:$G$56,0),14)=0)*(AB251&gt;=IFERROR('Recurring Items'!$G$6:$G$56,9000000000))+('Recurring Items'!$E$6:$E$56="Weekly")*(WEEKDAY(AB251)=IFERROR(WEEKDAY('Recurring Items'!$G$6:$G$56),0))*(AB251&gt;=IFERROR('Recurring Items'!$G$6:$G$56,9000000000))+('Recurring Items'!$E$6:$E$56="One-time")*(AB251='Recurring Items'!$G$6:$G$56)))</f>
        <v>0</v>
      </c>
      <c r="AE251" s="1" t="n">
        <f aca="false">SUMPRODUCT(('Recurring Items'!$C$6:$C$56="Expense")*('Recurring Items'!$H$6:$H$56&lt;&gt;"Skip")*IFERROR(N('Recurring Items'!$D$6:$D$56),0)*(('Recurring Items'!$E$6:$E$56="Monthly")*(DAY(AB251)='Recurring Items'!$F$6:$F$56)+('Recurring Items'!$E$6:$E$56="Bi-weekly")*(WEEKDAY(AB251)=IFERROR(WEEKDAY('Recurring Items'!$G$6:$G$56),0))*(MOD(AB251-IFERROR('Recurring Items'!$G$6:$G$56,0),14)=0)*(AB251&gt;=IFERROR('Recurring Items'!$G$6:$G$56,9000000000))+('Recurring Items'!$E$6:$E$56="Weekly")*(WEEKDAY(AB251)=IFERROR(WEEKDAY('Recurring Items'!$G$6:$G$56),0))*(AB251&gt;=IFERROR('Recurring Items'!$G$6:$G$56,9000000000))+('Recurring Items'!$E$6:$E$56="One-time")*(AB251='Recurring Items'!$G$6:$G$56)))</f>
        <v>241</v>
      </c>
      <c r="AF251" s="1" t="n">
        <f aca="false">(IF(AC251=1,'Debt Tracker'!$P$5&gt;0.01,INDEX('Debt Tracker'!$T$5:$AE$29,1,AC251-1)&gt;0.01))*('Recurring Items'!$H$8&lt;&gt;"Skip")*(DAY(AB251)='Recurring Items'!$F$8)*IFERROR(N('Recurring Items'!$D$8),0)+(IF(AC251=1,'Debt Tracker'!$P$6&gt;0.01,INDEX('Debt Tracker'!$T$5:$AE$29,2,AC251-1)&gt;0.01))*('Recurring Items'!$H$9&lt;&gt;"Skip")*(DAY(AB251)='Recurring Items'!$F$9)*IFERROR(N('Recurring Items'!$D$9),0)+(IF(AC251=1,'Debt Tracker'!$P$7&gt;0.01,INDEX('Debt Tracker'!$T$5:$AE$29,3,AC251-1)&gt;0.01))*('Recurring Items'!$H$10&lt;&gt;"Skip")*(DAY(AB251)='Recurring Items'!$F$10)*IFERROR(N('Recurring Items'!$D$10),0)+(IF(AC251=1,'Debt Tracker'!$P$8&gt;0.01,INDEX('Debt Tracker'!$T$5:$AE$29,4,AC251-1)&gt;0.01))*('Recurring Items'!$H$11&lt;&gt;"Skip")*(DAY(AB251)='Recurring Items'!$F$11)*IFERROR(N('Recurring Items'!$D$11),0)+(IF(AC251=1,'Debt Tracker'!$P$9&gt;0.01,INDEX('Debt Tracker'!$T$5:$AE$29,5,AC251-1)&gt;0.01))*('Recurring Items'!$H$12&lt;&gt;"Skip")*(DAY(AB251)='Recurring Items'!$F$12)*IFERROR(N('Recurring Items'!$D$12),0)+(IF(AC251=1,'Debt Tracker'!$P$10&gt;0.01,INDEX('Debt Tracker'!$T$5:$AE$29,6,AC251-1)&gt;0.01))*('Recurring Items'!$H$13&lt;&gt;"Skip")*(DAY(AB251)='Recurring Items'!$F$13)*IFERROR(N('Recurring Items'!$D$13),0)+(IF(AC251=1,'Debt Tracker'!$P$11&gt;0.01,INDEX('Debt Tracker'!$T$5:$AE$29,7,AC251-1)&gt;0.01))*('Recurring Items'!$H$14&lt;&gt;"Skip")*(DAY(AB251)='Recurring Items'!$F$14)*IFERROR(N('Recurring Items'!$D$14),0)+(IF(AC251=1,'Debt Tracker'!$P$12&gt;0.01,INDEX('Debt Tracker'!$T$5:$AE$29,8,AC251-1)&gt;0.01))*('Recurring Items'!$H$15&lt;&gt;"Skip")*(DAY(AB251)='Recurring Items'!$F$15)*IFERROR(N('Recurring Items'!$D$15),0)+(IF(AC251=1,'Debt Tracker'!$P$13&gt;0.01,INDEX('Debt Tracker'!$T$5:$AE$29,9,AC251-1)&gt;0.01))*('Recurring Items'!$H$16&lt;&gt;"Skip")*(DAY(AB251)='Recurring Items'!$F$16)*IFERROR(N('Recurring Items'!$D$16),0)+(IF(AC251=1,'Debt Tracker'!$P$14&gt;0.01,INDEX('Debt Tracker'!$T$5:$AE$29,10,AC251-1)&gt;0.01))*('Recurring Items'!$H$17&lt;&gt;"Skip")*(DAY(AB251)='Recurring Items'!$F$17)*IFERROR(N('Recurring Items'!$D$17),0)+(IF(AC251=1,'Debt Tracker'!$P$15&gt;0.01,INDEX('Debt Tracker'!$T$5:$AE$29,11,AC251-1)&gt;0.01))*('Recurring Items'!$H$18&lt;&gt;"Skip")*(DAY(AB251)='Recurring Items'!$F$18)*IFERROR(N('Recurring Items'!$D$18),0)+(IF(AC251=1,'Debt Tracker'!$P$16&gt;0.01,INDEX('Debt Tracker'!$T$5:$AE$29,12,AC251-1)&gt;0.01))*('Recurring Items'!$H$19&lt;&gt;"Skip")*(DAY(AB251)='Recurring Items'!$F$19)*IFERROR(N('Recurring Items'!$D$19),0)+(IF(AC251=1,'Debt Tracker'!$P$17&gt;0.01,INDEX('Debt Tracker'!$T$5:$AE$29,13,AC251-1)&gt;0.01))*('Recurring Items'!$H$20&lt;&gt;"Skip")*(DAY(AB251)='Recurring Items'!$F$20)*IFERROR(N('Recurring Items'!$D$20),0)+(IF(AC251=1,'Debt Tracker'!$P$18&gt;0.01,INDEX('Debt Tracker'!$T$5:$AE$29,14,AC251-1)&gt;0.01))*('Recurring Items'!$H$21&lt;&gt;"Skip")*(DAY(AB251)='Recurring Items'!$F$21)*IFERROR(N('Recurring Items'!$D$21),0)+(IF(AC251=1,'Debt Tracker'!$P$19&gt;0.01,INDEX('Debt Tracker'!$T$5:$AE$29,15,AC251-1)&gt;0.01))*('Recurring Items'!$H$22&lt;&gt;"Skip")*(DAY(AB251)='Recurring Items'!$F$22)*IFERROR(N('Recurring Items'!$D$22),0)+(IF(AC251=1,'Debt Tracker'!$P$20&gt;0.01,INDEX('Debt Tracker'!$T$5:$AE$29,16,AC251-1)&gt;0.01))*('Recurring Items'!$H$23&lt;&gt;"Skip")*(DAY(AB251)='Recurring Items'!$F$23)*IFERROR(N('Recurring Items'!$D$23),0)+(IF(AC251=1,'Debt Tracker'!$P$21&gt;0.01,INDEX('Debt Tracker'!$T$5:$AE$29,17,AC251-1)&gt;0.01))*('Recurring Items'!$H$24&lt;&gt;"Skip")*(DAY(AB251)='Recurring Items'!$F$24)*IFERROR(N('Recurring Items'!$D$24),0)+(IF(AC251=1,'Debt Tracker'!$P$22&gt;0.01,INDEX('Debt Tracker'!$T$5:$AE$29,18,AC251-1)&gt;0.01))*('Recurring Items'!$H$25&lt;&gt;"Skip")*(DAY(AB251)='Recurring Items'!$F$25)*IFERROR(N('Recurring Items'!$D$25),0)+(IF(AC251=1,'Debt Tracker'!$P$23&gt;0.01,INDEX('Debt Tracker'!$T$5:$AE$29,19,AC251-1)&gt;0.01))*('Recurring Items'!$H$26&lt;&gt;"Skip")*(DAY(AB251)='Recurring Items'!$F$26)*IFERROR(N('Recurring Items'!$D$26),0)+(IF(AC251=1,'Debt Tracker'!$P$24&gt;0.01,INDEX('Debt Tracker'!$T$5:$AE$29,20,AC251-1)&gt;0.01))*('Recurring Items'!$H$27&lt;&gt;"Skip")*(DAY(AB251)='Recurring Items'!$F$27)*IFERROR(N('Recurring Items'!$D$27),0)+(IF(AC251=1,'Debt Tracker'!$P$25&gt;0.01,INDEX('Debt Tracker'!$T$5:$AE$29,21,AC251-1)&gt;0.01))*('Recurring Items'!$H$28&lt;&gt;"Skip")*(DAY(AB251)='Recurring Items'!$F$28)*IFERROR(N('Recurring Items'!$D$28),0)+(IF(AC251=1,'Debt Tracker'!$P$26&gt;0.01,INDEX('Debt Tracker'!$T$5:$AE$29,22,AC251-1)&gt;0.01))*('Recurring Items'!$H$29&lt;&gt;"Skip")*(DAY(AB251)='Recurring Items'!$F$29)*IFERROR(N('Recurring Items'!$D$29),0)+(IF(AC251=1,'Debt Tracker'!$P$27&gt;0.01,INDEX('Debt Tracker'!$T$5:$AE$29,23,AC251-1)&gt;0.01))*('Recurring Items'!$H$30&lt;&gt;"Skip")*(DAY(AB251)='Recurring Items'!$F$30)*IFERROR(N('Recurring Items'!$D$30),0)+(IF(AC251=1,'Debt Tracker'!$P$28&gt;0.01,INDEX('Debt Tracker'!$T$5:$AE$29,24,AC251-1)&gt;0.01))*('Recurring Items'!$H$31&lt;&gt;"Skip")*(DAY(AB251)='Recurring Items'!$F$31)*IFERROR(N('Recurring Items'!$D$31),0)+(IF(AC251=1,'Debt Tracker'!$P$29&gt;0.01,INDEX('Debt Tracker'!$T$5:$AE$29,25,AC251-1)&gt;0.01))*('Recurring Items'!$H$32&lt;&gt;"Skip")*(DAY(AB251)='Recurring Items'!$F$32)*IFERROR(N('Recurring Items'!$D$32),0)</f>
        <v>80</v>
      </c>
      <c r="AG251" s="1" t="n">
        <f aca="false">AD251-AE251-AF251</f>
        <v>-321</v>
      </c>
      <c r="AH251" s="1" t="n">
        <f aca="false">AH250+AG251</f>
        <v>4368.54</v>
      </c>
    </row>
    <row r="252" customFormat="false" ht="15" hidden="false" customHeight="true" outlineLevel="0" collapsed="false">
      <c r="AA252" s="1" t="n">
        <v>52</v>
      </c>
      <c r="AB252" s="145" t="n">
        <f aca="false">$D$3+52</f>
        <v>46195</v>
      </c>
      <c r="AC252" s="1" t="n">
        <f aca="false">MIN(12,1+DATEDIF($D$3,AB252,"M"))</f>
        <v>2</v>
      </c>
      <c r="AD252" s="1" t="n">
        <f aca="false">SUMPRODUCT(('Recurring Items'!$C$6:$C$56="Income")*('Recurring Items'!$H$6:$H$56&lt;&gt;"Skip")*IFERROR(N('Recurring Items'!$D$6:$D$56),0)*(('Recurring Items'!$E$6:$E$56="Monthly")*(DAY(AB252)='Recurring Items'!$F$6:$F$56)+('Recurring Items'!$E$6:$E$56="Bi-weekly")*(WEEKDAY(AB252)=IFERROR(WEEKDAY('Recurring Items'!$G$6:$G$56),0))*(MOD(AB252-IFERROR('Recurring Items'!$G$6:$G$56,0),14)=0)*(AB252&gt;=IFERROR('Recurring Items'!$G$6:$G$56,9000000000))+('Recurring Items'!$E$6:$E$56="Weekly")*(WEEKDAY(AB252)=IFERROR(WEEKDAY('Recurring Items'!$G$6:$G$56),0))*(AB252&gt;=IFERROR('Recurring Items'!$G$6:$G$56,9000000000))+('Recurring Items'!$E$6:$E$56="One-time")*(AB252='Recurring Items'!$G$6:$G$56)))</f>
        <v>0</v>
      </c>
      <c r="AE252" s="1" t="n">
        <f aca="false">SUMPRODUCT(('Recurring Items'!$C$6:$C$56="Expense")*('Recurring Items'!$H$6:$H$56&lt;&gt;"Skip")*IFERROR(N('Recurring Items'!$D$6:$D$56),0)*(('Recurring Items'!$E$6:$E$56="Monthly")*(DAY(AB252)='Recurring Items'!$F$6:$F$56)+('Recurring Items'!$E$6:$E$56="Bi-weekly")*(WEEKDAY(AB252)=IFERROR(WEEKDAY('Recurring Items'!$G$6:$G$56),0))*(MOD(AB252-IFERROR('Recurring Items'!$G$6:$G$56,0),14)=0)*(AB252&gt;=IFERROR('Recurring Items'!$G$6:$G$56,9000000000))+('Recurring Items'!$E$6:$E$56="Weekly")*(WEEKDAY(AB252)=IFERROR(WEEKDAY('Recurring Items'!$G$6:$G$56),0))*(AB252&gt;=IFERROR('Recurring Items'!$G$6:$G$56,9000000000))+('Recurring Items'!$E$6:$E$56="One-time")*(AB252='Recurring Items'!$G$6:$G$56)))</f>
        <v>0</v>
      </c>
      <c r="AF252" s="1" t="n">
        <f aca="false">(IF(AC252=1,'Debt Tracker'!$P$5&gt;0.01,INDEX('Debt Tracker'!$T$5:$AE$29,1,AC252-1)&gt;0.01))*('Recurring Items'!$H$8&lt;&gt;"Skip")*(DAY(AB252)='Recurring Items'!$F$8)*IFERROR(N('Recurring Items'!$D$8),0)+(IF(AC252=1,'Debt Tracker'!$P$6&gt;0.01,INDEX('Debt Tracker'!$T$5:$AE$29,2,AC252-1)&gt;0.01))*('Recurring Items'!$H$9&lt;&gt;"Skip")*(DAY(AB252)='Recurring Items'!$F$9)*IFERROR(N('Recurring Items'!$D$9),0)+(IF(AC252=1,'Debt Tracker'!$P$7&gt;0.01,INDEX('Debt Tracker'!$T$5:$AE$29,3,AC252-1)&gt;0.01))*('Recurring Items'!$H$10&lt;&gt;"Skip")*(DAY(AB252)='Recurring Items'!$F$10)*IFERROR(N('Recurring Items'!$D$10),0)+(IF(AC252=1,'Debt Tracker'!$P$8&gt;0.01,INDEX('Debt Tracker'!$T$5:$AE$29,4,AC252-1)&gt;0.01))*('Recurring Items'!$H$11&lt;&gt;"Skip")*(DAY(AB252)='Recurring Items'!$F$11)*IFERROR(N('Recurring Items'!$D$11),0)+(IF(AC252=1,'Debt Tracker'!$P$9&gt;0.01,INDEX('Debt Tracker'!$T$5:$AE$29,5,AC252-1)&gt;0.01))*('Recurring Items'!$H$12&lt;&gt;"Skip")*(DAY(AB252)='Recurring Items'!$F$12)*IFERROR(N('Recurring Items'!$D$12),0)+(IF(AC252=1,'Debt Tracker'!$P$10&gt;0.01,INDEX('Debt Tracker'!$T$5:$AE$29,6,AC252-1)&gt;0.01))*('Recurring Items'!$H$13&lt;&gt;"Skip")*(DAY(AB252)='Recurring Items'!$F$13)*IFERROR(N('Recurring Items'!$D$13),0)+(IF(AC252=1,'Debt Tracker'!$P$11&gt;0.01,INDEX('Debt Tracker'!$T$5:$AE$29,7,AC252-1)&gt;0.01))*('Recurring Items'!$H$14&lt;&gt;"Skip")*(DAY(AB252)='Recurring Items'!$F$14)*IFERROR(N('Recurring Items'!$D$14),0)+(IF(AC252=1,'Debt Tracker'!$P$12&gt;0.01,INDEX('Debt Tracker'!$T$5:$AE$29,8,AC252-1)&gt;0.01))*('Recurring Items'!$H$15&lt;&gt;"Skip")*(DAY(AB252)='Recurring Items'!$F$15)*IFERROR(N('Recurring Items'!$D$15),0)+(IF(AC252=1,'Debt Tracker'!$P$13&gt;0.01,INDEX('Debt Tracker'!$T$5:$AE$29,9,AC252-1)&gt;0.01))*('Recurring Items'!$H$16&lt;&gt;"Skip")*(DAY(AB252)='Recurring Items'!$F$16)*IFERROR(N('Recurring Items'!$D$16),0)+(IF(AC252=1,'Debt Tracker'!$P$14&gt;0.01,INDEX('Debt Tracker'!$T$5:$AE$29,10,AC252-1)&gt;0.01))*('Recurring Items'!$H$17&lt;&gt;"Skip")*(DAY(AB252)='Recurring Items'!$F$17)*IFERROR(N('Recurring Items'!$D$17),0)+(IF(AC252=1,'Debt Tracker'!$P$15&gt;0.01,INDEX('Debt Tracker'!$T$5:$AE$29,11,AC252-1)&gt;0.01))*('Recurring Items'!$H$18&lt;&gt;"Skip")*(DAY(AB252)='Recurring Items'!$F$18)*IFERROR(N('Recurring Items'!$D$18),0)+(IF(AC252=1,'Debt Tracker'!$P$16&gt;0.01,INDEX('Debt Tracker'!$T$5:$AE$29,12,AC252-1)&gt;0.01))*('Recurring Items'!$H$19&lt;&gt;"Skip")*(DAY(AB252)='Recurring Items'!$F$19)*IFERROR(N('Recurring Items'!$D$19),0)+(IF(AC252=1,'Debt Tracker'!$P$17&gt;0.01,INDEX('Debt Tracker'!$T$5:$AE$29,13,AC252-1)&gt;0.01))*('Recurring Items'!$H$20&lt;&gt;"Skip")*(DAY(AB252)='Recurring Items'!$F$20)*IFERROR(N('Recurring Items'!$D$20),0)+(IF(AC252=1,'Debt Tracker'!$P$18&gt;0.01,INDEX('Debt Tracker'!$T$5:$AE$29,14,AC252-1)&gt;0.01))*('Recurring Items'!$H$21&lt;&gt;"Skip")*(DAY(AB252)='Recurring Items'!$F$21)*IFERROR(N('Recurring Items'!$D$21),0)+(IF(AC252=1,'Debt Tracker'!$P$19&gt;0.01,INDEX('Debt Tracker'!$T$5:$AE$29,15,AC252-1)&gt;0.01))*('Recurring Items'!$H$22&lt;&gt;"Skip")*(DAY(AB252)='Recurring Items'!$F$22)*IFERROR(N('Recurring Items'!$D$22),0)+(IF(AC252=1,'Debt Tracker'!$P$20&gt;0.01,INDEX('Debt Tracker'!$T$5:$AE$29,16,AC252-1)&gt;0.01))*('Recurring Items'!$H$23&lt;&gt;"Skip")*(DAY(AB252)='Recurring Items'!$F$23)*IFERROR(N('Recurring Items'!$D$23),0)+(IF(AC252=1,'Debt Tracker'!$P$21&gt;0.01,INDEX('Debt Tracker'!$T$5:$AE$29,17,AC252-1)&gt;0.01))*('Recurring Items'!$H$24&lt;&gt;"Skip")*(DAY(AB252)='Recurring Items'!$F$24)*IFERROR(N('Recurring Items'!$D$24),0)+(IF(AC252=1,'Debt Tracker'!$P$22&gt;0.01,INDEX('Debt Tracker'!$T$5:$AE$29,18,AC252-1)&gt;0.01))*('Recurring Items'!$H$25&lt;&gt;"Skip")*(DAY(AB252)='Recurring Items'!$F$25)*IFERROR(N('Recurring Items'!$D$25),0)+(IF(AC252=1,'Debt Tracker'!$P$23&gt;0.01,INDEX('Debt Tracker'!$T$5:$AE$29,19,AC252-1)&gt;0.01))*('Recurring Items'!$H$26&lt;&gt;"Skip")*(DAY(AB252)='Recurring Items'!$F$26)*IFERROR(N('Recurring Items'!$D$26),0)+(IF(AC252=1,'Debt Tracker'!$P$24&gt;0.01,INDEX('Debt Tracker'!$T$5:$AE$29,20,AC252-1)&gt;0.01))*('Recurring Items'!$H$27&lt;&gt;"Skip")*(DAY(AB252)='Recurring Items'!$F$27)*IFERROR(N('Recurring Items'!$D$27),0)+(IF(AC252=1,'Debt Tracker'!$P$25&gt;0.01,INDEX('Debt Tracker'!$T$5:$AE$29,21,AC252-1)&gt;0.01))*('Recurring Items'!$H$28&lt;&gt;"Skip")*(DAY(AB252)='Recurring Items'!$F$28)*IFERROR(N('Recurring Items'!$D$28),0)+(IF(AC252=1,'Debt Tracker'!$P$26&gt;0.01,INDEX('Debt Tracker'!$T$5:$AE$29,22,AC252-1)&gt;0.01))*('Recurring Items'!$H$29&lt;&gt;"Skip")*(DAY(AB252)='Recurring Items'!$F$29)*IFERROR(N('Recurring Items'!$D$29),0)+(IF(AC252=1,'Debt Tracker'!$P$27&gt;0.01,INDEX('Debt Tracker'!$T$5:$AE$29,23,AC252-1)&gt;0.01))*('Recurring Items'!$H$30&lt;&gt;"Skip")*(DAY(AB252)='Recurring Items'!$F$30)*IFERROR(N('Recurring Items'!$D$30),0)+(IF(AC252=1,'Debt Tracker'!$P$28&gt;0.01,INDEX('Debt Tracker'!$T$5:$AE$29,24,AC252-1)&gt;0.01))*('Recurring Items'!$H$31&lt;&gt;"Skip")*(DAY(AB252)='Recurring Items'!$F$31)*IFERROR(N('Recurring Items'!$D$31),0)+(IF(AC252=1,'Debt Tracker'!$P$29&gt;0.01,INDEX('Debt Tracker'!$T$5:$AE$29,25,AC252-1)&gt;0.01))*('Recurring Items'!$H$32&lt;&gt;"Skip")*(DAY(AB252)='Recurring Items'!$F$32)*IFERROR(N('Recurring Items'!$D$32),0)</f>
        <v>0</v>
      </c>
      <c r="AG252" s="1" t="n">
        <f aca="false">AD252-AE252-AF252</f>
        <v>0</v>
      </c>
      <c r="AH252" s="1" t="n">
        <f aca="false">AH251+AG252</f>
        <v>4368.54</v>
      </c>
    </row>
    <row r="253" customFormat="false" ht="15" hidden="false" customHeight="true" outlineLevel="0" collapsed="false">
      <c r="AA253" s="1" t="n">
        <v>53</v>
      </c>
      <c r="AB253" s="145" t="n">
        <f aca="false">$D$3+53</f>
        <v>46196</v>
      </c>
      <c r="AC253" s="1" t="n">
        <f aca="false">MIN(12,1+DATEDIF($D$3,AB253,"M"))</f>
        <v>2</v>
      </c>
      <c r="AD253" s="1" t="n">
        <f aca="false">SUMPRODUCT(('Recurring Items'!$C$6:$C$56="Income")*('Recurring Items'!$H$6:$H$56&lt;&gt;"Skip")*IFERROR(N('Recurring Items'!$D$6:$D$56),0)*(('Recurring Items'!$E$6:$E$56="Monthly")*(DAY(AB253)='Recurring Items'!$F$6:$F$56)+('Recurring Items'!$E$6:$E$56="Bi-weekly")*(WEEKDAY(AB253)=IFERROR(WEEKDAY('Recurring Items'!$G$6:$G$56),0))*(MOD(AB253-IFERROR('Recurring Items'!$G$6:$G$56,0),14)=0)*(AB253&gt;=IFERROR('Recurring Items'!$G$6:$G$56,9000000000))+('Recurring Items'!$E$6:$E$56="Weekly")*(WEEKDAY(AB253)=IFERROR(WEEKDAY('Recurring Items'!$G$6:$G$56),0))*(AB253&gt;=IFERROR('Recurring Items'!$G$6:$G$56,9000000000))+('Recurring Items'!$E$6:$E$56="One-time")*(AB253='Recurring Items'!$G$6:$G$56)))</f>
        <v>0</v>
      </c>
      <c r="AE253" s="1" t="n">
        <f aca="false">SUMPRODUCT(('Recurring Items'!$C$6:$C$56="Expense")*('Recurring Items'!$H$6:$H$56&lt;&gt;"Skip")*IFERROR(N('Recurring Items'!$D$6:$D$56),0)*(('Recurring Items'!$E$6:$E$56="Monthly")*(DAY(AB253)='Recurring Items'!$F$6:$F$56)+('Recurring Items'!$E$6:$E$56="Bi-weekly")*(WEEKDAY(AB253)=IFERROR(WEEKDAY('Recurring Items'!$G$6:$G$56),0))*(MOD(AB253-IFERROR('Recurring Items'!$G$6:$G$56,0),14)=0)*(AB253&gt;=IFERROR('Recurring Items'!$G$6:$G$56,9000000000))+('Recurring Items'!$E$6:$E$56="Weekly")*(WEEKDAY(AB253)=IFERROR(WEEKDAY('Recurring Items'!$G$6:$G$56),0))*(AB253&gt;=IFERROR('Recurring Items'!$G$6:$G$56,9000000000))+('Recurring Items'!$E$6:$E$56="One-time")*(AB253='Recurring Items'!$G$6:$G$56)))</f>
        <v>0</v>
      </c>
      <c r="AF253" s="1" t="n">
        <f aca="false">(IF(AC253=1,'Debt Tracker'!$P$5&gt;0.01,INDEX('Debt Tracker'!$T$5:$AE$29,1,AC253-1)&gt;0.01))*('Recurring Items'!$H$8&lt;&gt;"Skip")*(DAY(AB253)='Recurring Items'!$F$8)*IFERROR(N('Recurring Items'!$D$8),0)+(IF(AC253=1,'Debt Tracker'!$P$6&gt;0.01,INDEX('Debt Tracker'!$T$5:$AE$29,2,AC253-1)&gt;0.01))*('Recurring Items'!$H$9&lt;&gt;"Skip")*(DAY(AB253)='Recurring Items'!$F$9)*IFERROR(N('Recurring Items'!$D$9),0)+(IF(AC253=1,'Debt Tracker'!$P$7&gt;0.01,INDEX('Debt Tracker'!$T$5:$AE$29,3,AC253-1)&gt;0.01))*('Recurring Items'!$H$10&lt;&gt;"Skip")*(DAY(AB253)='Recurring Items'!$F$10)*IFERROR(N('Recurring Items'!$D$10),0)+(IF(AC253=1,'Debt Tracker'!$P$8&gt;0.01,INDEX('Debt Tracker'!$T$5:$AE$29,4,AC253-1)&gt;0.01))*('Recurring Items'!$H$11&lt;&gt;"Skip")*(DAY(AB253)='Recurring Items'!$F$11)*IFERROR(N('Recurring Items'!$D$11),0)+(IF(AC253=1,'Debt Tracker'!$P$9&gt;0.01,INDEX('Debt Tracker'!$T$5:$AE$29,5,AC253-1)&gt;0.01))*('Recurring Items'!$H$12&lt;&gt;"Skip")*(DAY(AB253)='Recurring Items'!$F$12)*IFERROR(N('Recurring Items'!$D$12),0)+(IF(AC253=1,'Debt Tracker'!$P$10&gt;0.01,INDEX('Debt Tracker'!$T$5:$AE$29,6,AC253-1)&gt;0.01))*('Recurring Items'!$H$13&lt;&gt;"Skip")*(DAY(AB253)='Recurring Items'!$F$13)*IFERROR(N('Recurring Items'!$D$13),0)+(IF(AC253=1,'Debt Tracker'!$P$11&gt;0.01,INDEX('Debt Tracker'!$T$5:$AE$29,7,AC253-1)&gt;0.01))*('Recurring Items'!$H$14&lt;&gt;"Skip")*(DAY(AB253)='Recurring Items'!$F$14)*IFERROR(N('Recurring Items'!$D$14),0)+(IF(AC253=1,'Debt Tracker'!$P$12&gt;0.01,INDEX('Debt Tracker'!$T$5:$AE$29,8,AC253-1)&gt;0.01))*('Recurring Items'!$H$15&lt;&gt;"Skip")*(DAY(AB253)='Recurring Items'!$F$15)*IFERROR(N('Recurring Items'!$D$15),0)+(IF(AC253=1,'Debt Tracker'!$P$13&gt;0.01,INDEX('Debt Tracker'!$T$5:$AE$29,9,AC253-1)&gt;0.01))*('Recurring Items'!$H$16&lt;&gt;"Skip")*(DAY(AB253)='Recurring Items'!$F$16)*IFERROR(N('Recurring Items'!$D$16),0)+(IF(AC253=1,'Debt Tracker'!$P$14&gt;0.01,INDEX('Debt Tracker'!$T$5:$AE$29,10,AC253-1)&gt;0.01))*('Recurring Items'!$H$17&lt;&gt;"Skip")*(DAY(AB253)='Recurring Items'!$F$17)*IFERROR(N('Recurring Items'!$D$17),0)+(IF(AC253=1,'Debt Tracker'!$P$15&gt;0.01,INDEX('Debt Tracker'!$T$5:$AE$29,11,AC253-1)&gt;0.01))*('Recurring Items'!$H$18&lt;&gt;"Skip")*(DAY(AB253)='Recurring Items'!$F$18)*IFERROR(N('Recurring Items'!$D$18),0)+(IF(AC253=1,'Debt Tracker'!$P$16&gt;0.01,INDEX('Debt Tracker'!$T$5:$AE$29,12,AC253-1)&gt;0.01))*('Recurring Items'!$H$19&lt;&gt;"Skip")*(DAY(AB253)='Recurring Items'!$F$19)*IFERROR(N('Recurring Items'!$D$19),0)+(IF(AC253=1,'Debt Tracker'!$P$17&gt;0.01,INDEX('Debt Tracker'!$T$5:$AE$29,13,AC253-1)&gt;0.01))*('Recurring Items'!$H$20&lt;&gt;"Skip")*(DAY(AB253)='Recurring Items'!$F$20)*IFERROR(N('Recurring Items'!$D$20),0)+(IF(AC253=1,'Debt Tracker'!$P$18&gt;0.01,INDEX('Debt Tracker'!$T$5:$AE$29,14,AC253-1)&gt;0.01))*('Recurring Items'!$H$21&lt;&gt;"Skip")*(DAY(AB253)='Recurring Items'!$F$21)*IFERROR(N('Recurring Items'!$D$21),0)+(IF(AC253=1,'Debt Tracker'!$P$19&gt;0.01,INDEX('Debt Tracker'!$T$5:$AE$29,15,AC253-1)&gt;0.01))*('Recurring Items'!$H$22&lt;&gt;"Skip")*(DAY(AB253)='Recurring Items'!$F$22)*IFERROR(N('Recurring Items'!$D$22),0)+(IF(AC253=1,'Debt Tracker'!$P$20&gt;0.01,INDEX('Debt Tracker'!$T$5:$AE$29,16,AC253-1)&gt;0.01))*('Recurring Items'!$H$23&lt;&gt;"Skip")*(DAY(AB253)='Recurring Items'!$F$23)*IFERROR(N('Recurring Items'!$D$23),0)+(IF(AC253=1,'Debt Tracker'!$P$21&gt;0.01,INDEX('Debt Tracker'!$T$5:$AE$29,17,AC253-1)&gt;0.01))*('Recurring Items'!$H$24&lt;&gt;"Skip")*(DAY(AB253)='Recurring Items'!$F$24)*IFERROR(N('Recurring Items'!$D$24),0)+(IF(AC253=1,'Debt Tracker'!$P$22&gt;0.01,INDEX('Debt Tracker'!$T$5:$AE$29,18,AC253-1)&gt;0.01))*('Recurring Items'!$H$25&lt;&gt;"Skip")*(DAY(AB253)='Recurring Items'!$F$25)*IFERROR(N('Recurring Items'!$D$25),0)+(IF(AC253=1,'Debt Tracker'!$P$23&gt;0.01,INDEX('Debt Tracker'!$T$5:$AE$29,19,AC253-1)&gt;0.01))*('Recurring Items'!$H$26&lt;&gt;"Skip")*(DAY(AB253)='Recurring Items'!$F$26)*IFERROR(N('Recurring Items'!$D$26),0)+(IF(AC253=1,'Debt Tracker'!$P$24&gt;0.01,INDEX('Debt Tracker'!$T$5:$AE$29,20,AC253-1)&gt;0.01))*('Recurring Items'!$H$27&lt;&gt;"Skip")*(DAY(AB253)='Recurring Items'!$F$27)*IFERROR(N('Recurring Items'!$D$27),0)+(IF(AC253=1,'Debt Tracker'!$P$25&gt;0.01,INDEX('Debt Tracker'!$T$5:$AE$29,21,AC253-1)&gt;0.01))*('Recurring Items'!$H$28&lt;&gt;"Skip")*(DAY(AB253)='Recurring Items'!$F$28)*IFERROR(N('Recurring Items'!$D$28),0)+(IF(AC253=1,'Debt Tracker'!$P$26&gt;0.01,INDEX('Debt Tracker'!$T$5:$AE$29,22,AC253-1)&gt;0.01))*('Recurring Items'!$H$29&lt;&gt;"Skip")*(DAY(AB253)='Recurring Items'!$F$29)*IFERROR(N('Recurring Items'!$D$29),0)+(IF(AC253=1,'Debt Tracker'!$P$27&gt;0.01,INDEX('Debt Tracker'!$T$5:$AE$29,23,AC253-1)&gt;0.01))*('Recurring Items'!$H$30&lt;&gt;"Skip")*(DAY(AB253)='Recurring Items'!$F$30)*IFERROR(N('Recurring Items'!$D$30),0)+(IF(AC253=1,'Debt Tracker'!$P$28&gt;0.01,INDEX('Debt Tracker'!$T$5:$AE$29,24,AC253-1)&gt;0.01))*('Recurring Items'!$H$31&lt;&gt;"Skip")*(DAY(AB253)='Recurring Items'!$F$31)*IFERROR(N('Recurring Items'!$D$31),0)+(IF(AC253=1,'Debt Tracker'!$P$29&gt;0.01,INDEX('Debt Tracker'!$T$5:$AE$29,25,AC253-1)&gt;0.01))*('Recurring Items'!$H$32&lt;&gt;"Skip")*(DAY(AB253)='Recurring Items'!$F$32)*IFERROR(N('Recurring Items'!$D$32),0)</f>
        <v>0</v>
      </c>
      <c r="AG253" s="1" t="n">
        <f aca="false">AD253-AE253-AF253</f>
        <v>0</v>
      </c>
      <c r="AH253" s="1" t="n">
        <f aca="false">AH252+AG253</f>
        <v>4368.54</v>
      </c>
    </row>
    <row r="254" customFormat="false" ht="15" hidden="false" customHeight="true" outlineLevel="0" collapsed="false">
      <c r="AA254" s="1" t="n">
        <v>54</v>
      </c>
      <c r="AB254" s="145" t="n">
        <f aca="false">$D$3+54</f>
        <v>46197</v>
      </c>
      <c r="AC254" s="1" t="n">
        <f aca="false">MIN(12,1+DATEDIF($D$3,AB254,"M"))</f>
        <v>2</v>
      </c>
      <c r="AD254" s="1" t="n">
        <f aca="false">SUMPRODUCT(('Recurring Items'!$C$6:$C$56="Income")*('Recurring Items'!$H$6:$H$56&lt;&gt;"Skip")*IFERROR(N('Recurring Items'!$D$6:$D$56),0)*(('Recurring Items'!$E$6:$E$56="Monthly")*(DAY(AB254)='Recurring Items'!$F$6:$F$56)+('Recurring Items'!$E$6:$E$56="Bi-weekly")*(WEEKDAY(AB254)=IFERROR(WEEKDAY('Recurring Items'!$G$6:$G$56),0))*(MOD(AB254-IFERROR('Recurring Items'!$G$6:$G$56,0),14)=0)*(AB254&gt;=IFERROR('Recurring Items'!$G$6:$G$56,9000000000))+('Recurring Items'!$E$6:$E$56="Weekly")*(WEEKDAY(AB254)=IFERROR(WEEKDAY('Recurring Items'!$G$6:$G$56),0))*(AB254&gt;=IFERROR('Recurring Items'!$G$6:$G$56,9000000000))+('Recurring Items'!$E$6:$E$56="One-time")*(AB254='Recurring Items'!$G$6:$G$56)))</f>
        <v>0</v>
      </c>
      <c r="AE254" s="1" t="n">
        <f aca="false">SUMPRODUCT(('Recurring Items'!$C$6:$C$56="Expense")*('Recurring Items'!$H$6:$H$56&lt;&gt;"Skip")*IFERROR(N('Recurring Items'!$D$6:$D$56),0)*(('Recurring Items'!$E$6:$E$56="Monthly")*(DAY(AB254)='Recurring Items'!$F$6:$F$56)+('Recurring Items'!$E$6:$E$56="Bi-weekly")*(WEEKDAY(AB254)=IFERROR(WEEKDAY('Recurring Items'!$G$6:$G$56),0))*(MOD(AB254-IFERROR('Recurring Items'!$G$6:$G$56,0),14)=0)*(AB254&gt;=IFERROR('Recurring Items'!$G$6:$G$56,9000000000))+('Recurring Items'!$E$6:$E$56="Weekly")*(WEEKDAY(AB254)=IFERROR(WEEKDAY('Recurring Items'!$G$6:$G$56),0))*(AB254&gt;=IFERROR('Recurring Items'!$G$6:$G$56,9000000000))+('Recurring Items'!$E$6:$E$56="One-time")*(AB254='Recurring Items'!$G$6:$G$56)))</f>
        <v>101.02</v>
      </c>
      <c r="AF254" s="1" t="n">
        <f aca="false">(IF(AC254=1,'Debt Tracker'!$P$5&gt;0.01,INDEX('Debt Tracker'!$T$5:$AE$29,1,AC254-1)&gt;0.01))*('Recurring Items'!$H$8&lt;&gt;"Skip")*(DAY(AB254)='Recurring Items'!$F$8)*IFERROR(N('Recurring Items'!$D$8),0)+(IF(AC254=1,'Debt Tracker'!$P$6&gt;0.01,INDEX('Debt Tracker'!$T$5:$AE$29,2,AC254-1)&gt;0.01))*('Recurring Items'!$H$9&lt;&gt;"Skip")*(DAY(AB254)='Recurring Items'!$F$9)*IFERROR(N('Recurring Items'!$D$9),0)+(IF(AC254=1,'Debt Tracker'!$P$7&gt;0.01,INDEX('Debt Tracker'!$T$5:$AE$29,3,AC254-1)&gt;0.01))*('Recurring Items'!$H$10&lt;&gt;"Skip")*(DAY(AB254)='Recurring Items'!$F$10)*IFERROR(N('Recurring Items'!$D$10),0)+(IF(AC254=1,'Debt Tracker'!$P$8&gt;0.01,INDEX('Debt Tracker'!$T$5:$AE$29,4,AC254-1)&gt;0.01))*('Recurring Items'!$H$11&lt;&gt;"Skip")*(DAY(AB254)='Recurring Items'!$F$11)*IFERROR(N('Recurring Items'!$D$11),0)+(IF(AC254=1,'Debt Tracker'!$P$9&gt;0.01,INDEX('Debt Tracker'!$T$5:$AE$29,5,AC254-1)&gt;0.01))*('Recurring Items'!$H$12&lt;&gt;"Skip")*(DAY(AB254)='Recurring Items'!$F$12)*IFERROR(N('Recurring Items'!$D$12),0)+(IF(AC254=1,'Debt Tracker'!$P$10&gt;0.01,INDEX('Debt Tracker'!$T$5:$AE$29,6,AC254-1)&gt;0.01))*('Recurring Items'!$H$13&lt;&gt;"Skip")*(DAY(AB254)='Recurring Items'!$F$13)*IFERROR(N('Recurring Items'!$D$13),0)+(IF(AC254=1,'Debt Tracker'!$P$11&gt;0.01,INDEX('Debt Tracker'!$T$5:$AE$29,7,AC254-1)&gt;0.01))*('Recurring Items'!$H$14&lt;&gt;"Skip")*(DAY(AB254)='Recurring Items'!$F$14)*IFERROR(N('Recurring Items'!$D$14),0)+(IF(AC254=1,'Debt Tracker'!$P$12&gt;0.01,INDEX('Debt Tracker'!$T$5:$AE$29,8,AC254-1)&gt;0.01))*('Recurring Items'!$H$15&lt;&gt;"Skip")*(DAY(AB254)='Recurring Items'!$F$15)*IFERROR(N('Recurring Items'!$D$15),0)+(IF(AC254=1,'Debt Tracker'!$P$13&gt;0.01,INDEX('Debt Tracker'!$T$5:$AE$29,9,AC254-1)&gt;0.01))*('Recurring Items'!$H$16&lt;&gt;"Skip")*(DAY(AB254)='Recurring Items'!$F$16)*IFERROR(N('Recurring Items'!$D$16),0)+(IF(AC254=1,'Debt Tracker'!$P$14&gt;0.01,INDEX('Debt Tracker'!$T$5:$AE$29,10,AC254-1)&gt;0.01))*('Recurring Items'!$H$17&lt;&gt;"Skip")*(DAY(AB254)='Recurring Items'!$F$17)*IFERROR(N('Recurring Items'!$D$17),0)+(IF(AC254=1,'Debt Tracker'!$P$15&gt;0.01,INDEX('Debt Tracker'!$T$5:$AE$29,11,AC254-1)&gt;0.01))*('Recurring Items'!$H$18&lt;&gt;"Skip")*(DAY(AB254)='Recurring Items'!$F$18)*IFERROR(N('Recurring Items'!$D$18),0)+(IF(AC254=1,'Debt Tracker'!$P$16&gt;0.01,INDEX('Debt Tracker'!$T$5:$AE$29,12,AC254-1)&gt;0.01))*('Recurring Items'!$H$19&lt;&gt;"Skip")*(DAY(AB254)='Recurring Items'!$F$19)*IFERROR(N('Recurring Items'!$D$19),0)+(IF(AC254=1,'Debt Tracker'!$P$17&gt;0.01,INDEX('Debt Tracker'!$T$5:$AE$29,13,AC254-1)&gt;0.01))*('Recurring Items'!$H$20&lt;&gt;"Skip")*(DAY(AB254)='Recurring Items'!$F$20)*IFERROR(N('Recurring Items'!$D$20),0)+(IF(AC254=1,'Debt Tracker'!$P$18&gt;0.01,INDEX('Debt Tracker'!$T$5:$AE$29,14,AC254-1)&gt;0.01))*('Recurring Items'!$H$21&lt;&gt;"Skip")*(DAY(AB254)='Recurring Items'!$F$21)*IFERROR(N('Recurring Items'!$D$21),0)+(IF(AC254=1,'Debt Tracker'!$P$19&gt;0.01,INDEX('Debt Tracker'!$T$5:$AE$29,15,AC254-1)&gt;0.01))*('Recurring Items'!$H$22&lt;&gt;"Skip")*(DAY(AB254)='Recurring Items'!$F$22)*IFERROR(N('Recurring Items'!$D$22),0)+(IF(AC254=1,'Debt Tracker'!$P$20&gt;0.01,INDEX('Debt Tracker'!$T$5:$AE$29,16,AC254-1)&gt;0.01))*('Recurring Items'!$H$23&lt;&gt;"Skip")*(DAY(AB254)='Recurring Items'!$F$23)*IFERROR(N('Recurring Items'!$D$23),0)+(IF(AC254=1,'Debt Tracker'!$P$21&gt;0.01,INDEX('Debt Tracker'!$T$5:$AE$29,17,AC254-1)&gt;0.01))*('Recurring Items'!$H$24&lt;&gt;"Skip")*(DAY(AB254)='Recurring Items'!$F$24)*IFERROR(N('Recurring Items'!$D$24),0)+(IF(AC254=1,'Debt Tracker'!$P$22&gt;0.01,INDEX('Debt Tracker'!$T$5:$AE$29,18,AC254-1)&gt;0.01))*('Recurring Items'!$H$25&lt;&gt;"Skip")*(DAY(AB254)='Recurring Items'!$F$25)*IFERROR(N('Recurring Items'!$D$25),0)+(IF(AC254=1,'Debt Tracker'!$P$23&gt;0.01,INDEX('Debt Tracker'!$T$5:$AE$29,19,AC254-1)&gt;0.01))*('Recurring Items'!$H$26&lt;&gt;"Skip")*(DAY(AB254)='Recurring Items'!$F$26)*IFERROR(N('Recurring Items'!$D$26),0)+(IF(AC254=1,'Debt Tracker'!$P$24&gt;0.01,INDEX('Debt Tracker'!$T$5:$AE$29,20,AC254-1)&gt;0.01))*('Recurring Items'!$H$27&lt;&gt;"Skip")*(DAY(AB254)='Recurring Items'!$F$27)*IFERROR(N('Recurring Items'!$D$27),0)+(IF(AC254=1,'Debt Tracker'!$P$25&gt;0.01,INDEX('Debt Tracker'!$T$5:$AE$29,21,AC254-1)&gt;0.01))*('Recurring Items'!$H$28&lt;&gt;"Skip")*(DAY(AB254)='Recurring Items'!$F$28)*IFERROR(N('Recurring Items'!$D$28),0)+(IF(AC254=1,'Debt Tracker'!$P$26&gt;0.01,INDEX('Debt Tracker'!$T$5:$AE$29,22,AC254-1)&gt;0.01))*('Recurring Items'!$H$29&lt;&gt;"Skip")*(DAY(AB254)='Recurring Items'!$F$29)*IFERROR(N('Recurring Items'!$D$29),0)+(IF(AC254=1,'Debt Tracker'!$P$27&gt;0.01,INDEX('Debt Tracker'!$T$5:$AE$29,23,AC254-1)&gt;0.01))*('Recurring Items'!$H$30&lt;&gt;"Skip")*(DAY(AB254)='Recurring Items'!$F$30)*IFERROR(N('Recurring Items'!$D$30),0)+(IF(AC254=1,'Debt Tracker'!$P$28&gt;0.01,INDEX('Debt Tracker'!$T$5:$AE$29,24,AC254-1)&gt;0.01))*('Recurring Items'!$H$31&lt;&gt;"Skip")*(DAY(AB254)='Recurring Items'!$F$31)*IFERROR(N('Recurring Items'!$D$31),0)+(IF(AC254=1,'Debt Tracker'!$P$29&gt;0.01,INDEX('Debt Tracker'!$T$5:$AE$29,25,AC254-1)&gt;0.01))*('Recurring Items'!$H$32&lt;&gt;"Skip")*(DAY(AB254)='Recurring Items'!$F$32)*IFERROR(N('Recurring Items'!$D$32),0)</f>
        <v>0</v>
      </c>
      <c r="AG254" s="1" t="n">
        <f aca="false">AD254-AE254-AF254</f>
        <v>-101.02</v>
      </c>
      <c r="AH254" s="1" t="n">
        <f aca="false">AH253+AG254</f>
        <v>4267.52</v>
      </c>
    </row>
    <row r="255" customFormat="false" ht="15" hidden="false" customHeight="true" outlineLevel="0" collapsed="false">
      <c r="AA255" s="1" t="n">
        <v>55</v>
      </c>
      <c r="AB255" s="145" t="n">
        <f aca="false">$D$3+55</f>
        <v>46198</v>
      </c>
      <c r="AC255" s="1" t="n">
        <f aca="false">MIN(12,1+DATEDIF($D$3,AB255,"M"))</f>
        <v>2</v>
      </c>
      <c r="AD255" s="1" t="n">
        <f aca="false">SUMPRODUCT(('Recurring Items'!$C$6:$C$56="Income")*('Recurring Items'!$H$6:$H$56&lt;&gt;"Skip")*IFERROR(N('Recurring Items'!$D$6:$D$56),0)*(('Recurring Items'!$E$6:$E$56="Monthly")*(DAY(AB255)='Recurring Items'!$F$6:$F$56)+('Recurring Items'!$E$6:$E$56="Bi-weekly")*(WEEKDAY(AB255)=IFERROR(WEEKDAY('Recurring Items'!$G$6:$G$56),0))*(MOD(AB255-IFERROR('Recurring Items'!$G$6:$G$56,0),14)=0)*(AB255&gt;=IFERROR('Recurring Items'!$G$6:$G$56,9000000000))+('Recurring Items'!$E$6:$E$56="Weekly")*(WEEKDAY(AB255)=IFERROR(WEEKDAY('Recurring Items'!$G$6:$G$56),0))*(AB255&gt;=IFERROR('Recurring Items'!$G$6:$G$56,9000000000))+('Recurring Items'!$E$6:$E$56="One-time")*(AB255='Recurring Items'!$G$6:$G$56)))</f>
        <v>0</v>
      </c>
      <c r="AE255" s="1" t="n">
        <f aca="false">SUMPRODUCT(('Recurring Items'!$C$6:$C$56="Expense")*('Recurring Items'!$H$6:$H$56&lt;&gt;"Skip")*IFERROR(N('Recurring Items'!$D$6:$D$56),0)*(('Recurring Items'!$E$6:$E$56="Monthly")*(DAY(AB255)='Recurring Items'!$F$6:$F$56)+('Recurring Items'!$E$6:$E$56="Bi-weekly")*(WEEKDAY(AB255)=IFERROR(WEEKDAY('Recurring Items'!$G$6:$G$56),0))*(MOD(AB255-IFERROR('Recurring Items'!$G$6:$G$56,0),14)=0)*(AB255&gt;=IFERROR('Recurring Items'!$G$6:$G$56,9000000000))+('Recurring Items'!$E$6:$E$56="Weekly")*(WEEKDAY(AB255)=IFERROR(WEEKDAY('Recurring Items'!$G$6:$G$56),0))*(AB255&gt;=IFERROR('Recurring Items'!$G$6:$G$56,9000000000))+('Recurring Items'!$E$6:$E$56="One-time")*(AB255='Recurring Items'!$G$6:$G$56)))</f>
        <v>0</v>
      </c>
      <c r="AF255" s="1" t="n">
        <f aca="false">(IF(AC255=1,'Debt Tracker'!$P$5&gt;0.01,INDEX('Debt Tracker'!$T$5:$AE$29,1,AC255-1)&gt;0.01))*('Recurring Items'!$H$8&lt;&gt;"Skip")*(DAY(AB255)='Recurring Items'!$F$8)*IFERROR(N('Recurring Items'!$D$8),0)+(IF(AC255=1,'Debt Tracker'!$P$6&gt;0.01,INDEX('Debt Tracker'!$T$5:$AE$29,2,AC255-1)&gt;0.01))*('Recurring Items'!$H$9&lt;&gt;"Skip")*(DAY(AB255)='Recurring Items'!$F$9)*IFERROR(N('Recurring Items'!$D$9),0)+(IF(AC255=1,'Debt Tracker'!$P$7&gt;0.01,INDEX('Debt Tracker'!$T$5:$AE$29,3,AC255-1)&gt;0.01))*('Recurring Items'!$H$10&lt;&gt;"Skip")*(DAY(AB255)='Recurring Items'!$F$10)*IFERROR(N('Recurring Items'!$D$10),0)+(IF(AC255=1,'Debt Tracker'!$P$8&gt;0.01,INDEX('Debt Tracker'!$T$5:$AE$29,4,AC255-1)&gt;0.01))*('Recurring Items'!$H$11&lt;&gt;"Skip")*(DAY(AB255)='Recurring Items'!$F$11)*IFERROR(N('Recurring Items'!$D$11),0)+(IF(AC255=1,'Debt Tracker'!$P$9&gt;0.01,INDEX('Debt Tracker'!$T$5:$AE$29,5,AC255-1)&gt;0.01))*('Recurring Items'!$H$12&lt;&gt;"Skip")*(DAY(AB255)='Recurring Items'!$F$12)*IFERROR(N('Recurring Items'!$D$12),0)+(IF(AC255=1,'Debt Tracker'!$P$10&gt;0.01,INDEX('Debt Tracker'!$T$5:$AE$29,6,AC255-1)&gt;0.01))*('Recurring Items'!$H$13&lt;&gt;"Skip")*(DAY(AB255)='Recurring Items'!$F$13)*IFERROR(N('Recurring Items'!$D$13),0)+(IF(AC255=1,'Debt Tracker'!$P$11&gt;0.01,INDEX('Debt Tracker'!$T$5:$AE$29,7,AC255-1)&gt;0.01))*('Recurring Items'!$H$14&lt;&gt;"Skip")*(DAY(AB255)='Recurring Items'!$F$14)*IFERROR(N('Recurring Items'!$D$14),0)+(IF(AC255=1,'Debt Tracker'!$P$12&gt;0.01,INDEX('Debt Tracker'!$T$5:$AE$29,8,AC255-1)&gt;0.01))*('Recurring Items'!$H$15&lt;&gt;"Skip")*(DAY(AB255)='Recurring Items'!$F$15)*IFERROR(N('Recurring Items'!$D$15),0)+(IF(AC255=1,'Debt Tracker'!$P$13&gt;0.01,INDEX('Debt Tracker'!$T$5:$AE$29,9,AC255-1)&gt;0.01))*('Recurring Items'!$H$16&lt;&gt;"Skip")*(DAY(AB255)='Recurring Items'!$F$16)*IFERROR(N('Recurring Items'!$D$16),0)+(IF(AC255=1,'Debt Tracker'!$P$14&gt;0.01,INDEX('Debt Tracker'!$T$5:$AE$29,10,AC255-1)&gt;0.01))*('Recurring Items'!$H$17&lt;&gt;"Skip")*(DAY(AB255)='Recurring Items'!$F$17)*IFERROR(N('Recurring Items'!$D$17),0)+(IF(AC255=1,'Debt Tracker'!$P$15&gt;0.01,INDEX('Debt Tracker'!$T$5:$AE$29,11,AC255-1)&gt;0.01))*('Recurring Items'!$H$18&lt;&gt;"Skip")*(DAY(AB255)='Recurring Items'!$F$18)*IFERROR(N('Recurring Items'!$D$18),0)+(IF(AC255=1,'Debt Tracker'!$P$16&gt;0.01,INDEX('Debt Tracker'!$T$5:$AE$29,12,AC255-1)&gt;0.01))*('Recurring Items'!$H$19&lt;&gt;"Skip")*(DAY(AB255)='Recurring Items'!$F$19)*IFERROR(N('Recurring Items'!$D$19),0)+(IF(AC255=1,'Debt Tracker'!$P$17&gt;0.01,INDEX('Debt Tracker'!$T$5:$AE$29,13,AC255-1)&gt;0.01))*('Recurring Items'!$H$20&lt;&gt;"Skip")*(DAY(AB255)='Recurring Items'!$F$20)*IFERROR(N('Recurring Items'!$D$20),0)+(IF(AC255=1,'Debt Tracker'!$P$18&gt;0.01,INDEX('Debt Tracker'!$T$5:$AE$29,14,AC255-1)&gt;0.01))*('Recurring Items'!$H$21&lt;&gt;"Skip")*(DAY(AB255)='Recurring Items'!$F$21)*IFERROR(N('Recurring Items'!$D$21),0)+(IF(AC255=1,'Debt Tracker'!$P$19&gt;0.01,INDEX('Debt Tracker'!$T$5:$AE$29,15,AC255-1)&gt;0.01))*('Recurring Items'!$H$22&lt;&gt;"Skip")*(DAY(AB255)='Recurring Items'!$F$22)*IFERROR(N('Recurring Items'!$D$22),0)+(IF(AC255=1,'Debt Tracker'!$P$20&gt;0.01,INDEX('Debt Tracker'!$T$5:$AE$29,16,AC255-1)&gt;0.01))*('Recurring Items'!$H$23&lt;&gt;"Skip")*(DAY(AB255)='Recurring Items'!$F$23)*IFERROR(N('Recurring Items'!$D$23),0)+(IF(AC255=1,'Debt Tracker'!$P$21&gt;0.01,INDEX('Debt Tracker'!$T$5:$AE$29,17,AC255-1)&gt;0.01))*('Recurring Items'!$H$24&lt;&gt;"Skip")*(DAY(AB255)='Recurring Items'!$F$24)*IFERROR(N('Recurring Items'!$D$24),0)+(IF(AC255=1,'Debt Tracker'!$P$22&gt;0.01,INDEX('Debt Tracker'!$T$5:$AE$29,18,AC255-1)&gt;0.01))*('Recurring Items'!$H$25&lt;&gt;"Skip")*(DAY(AB255)='Recurring Items'!$F$25)*IFERROR(N('Recurring Items'!$D$25),0)+(IF(AC255=1,'Debt Tracker'!$P$23&gt;0.01,INDEX('Debt Tracker'!$T$5:$AE$29,19,AC255-1)&gt;0.01))*('Recurring Items'!$H$26&lt;&gt;"Skip")*(DAY(AB255)='Recurring Items'!$F$26)*IFERROR(N('Recurring Items'!$D$26),0)+(IF(AC255=1,'Debt Tracker'!$P$24&gt;0.01,INDEX('Debt Tracker'!$T$5:$AE$29,20,AC255-1)&gt;0.01))*('Recurring Items'!$H$27&lt;&gt;"Skip")*(DAY(AB255)='Recurring Items'!$F$27)*IFERROR(N('Recurring Items'!$D$27),0)+(IF(AC255=1,'Debt Tracker'!$P$25&gt;0.01,INDEX('Debt Tracker'!$T$5:$AE$29,21,AC255-1)&gt;0.01))*('Recurring Items'!$H$28&lt;&gt;"Skip")*(DAY(AB255)='Recurring Items'!$F$28)*IFERROR(N('Recurring Items'!$D$28),0)+(IF(AC255=1,'Debt Tracker'!$P$26&gt;0.01,INDEX('Debt Tracker'!$T$5:$AE$29,22,AC255-1)&gt;0.01))*('Recurring Items'!$H$29&lt;&gt;"Skip")*(DAY(AB255)='Recurring Items'!$F$29)*IFERROR(N('Recurring Items'!$D$29),0)+(IF(AC255=1,'Debt Tracker'!$P$27&gt;0.01,INDEX('Debt Tracker'!$T$5:$AE$29,23,AC255-1)&gt;0.01))*('Recurring Items'!$H$30&lt;&gt;"Skip")*(DAY(AB255)='Recurring Items'!$F$30)*IFERROR(N('Recurring Items'!$D$30),0)+(IF(AC255=1,'Debt Tracker'!$P$28&gt;0.01,INDEX('Debt Tracker'!$T$5:$AE$29,24,AC255-1)&gt;0.01))*('Recurring Items'!$H$31&lt;&gt;"Skip")*(DAY(AB255)='Recurring Items'!$F$31)*IFERROR(N('Recurring Items'!$D$31),0)+(IF(AC255=1,'Debt Tracker'!$P$29&gt;0.01,INDEX('Debt Tracker'!$T$5:$AE$29,25,AC255-1)&gt;0.01))*('Recurring Items'!$H$32&lt;&gt;"Skip")*(DAY(AB255)='Recurring Items'!$F$32)*IFERROR(N('Recurring Items'!$D$32),0)</f>
        <v>0</v>
      </c>
      <c r="AG255" s="1" t="n">
        <f aca="false">AD255-AE255-AF255</f>
        <v>0</v>
      </c>
      <c r="AH255" s="1" t="n">
        <f aca="false">AH254+AG255</f>
        <v>4267.52</v>
      </c>
    </row>
    <row r="256" customFormat="false" ht="15" hidden="false" customHeight="true" outlineLevel="0" collapsed="false">
      <c r="AA256" s="1" t="n">
        <v>56</v>
      </c>
      <c r="AB256" s="145" t="n">
        <f aca="false">$D$3+56</f>
        <v>46199</v>
      </c>
      <c r="AC256" s="1" t="n">
        <f aca="false">MIN(12,1+DATEDIF($D$3,AB256,"M"))</f>
        <v>2</v>
      </c>
      <c r="AD256" s="1" t="n">
        <f aca="false">SUMPRODUCT(('Recurring Items'!$C$6:$C$56="Income")*('Recurring Items'!$H$6:$H$56&lt;&gt;"Skip")*IFERROR(N('Recurring Items'!$D$6:$D$56),0)*(('Recurring Items'!$E$6:$E$56="Monthly")*(DAY(AB256)='Recurring Items'!$F$6:$F$56)+('Recurring Items'!$E$6:$E$56="Bi-weekly")*(WEEKDAY(AB256)=IFERROR(WEEKDAY('Recurring Items'!$G$6:$G$56),0))*(MOD(AB256-IFERROR('Recurring Items'!$G$6:$G$56,0),14)=0)*(AB256&gt;=IFERROR('Recurring Items'!$G$6:$G$56,9000000000))+('Recurring Items'!$E$6:$E$56="Weekly")*(WEEKDAY(AB256)=IFERROR(WEEKDAY('Recurring Items'!$G$6:$G$56),0))*(AB256&gt;=IFERROR('Recurring Items'!$G$6:$G$56,9000000000))+('Recurring Items'!$E$6:$E$56="One-time")*(AB256='Recurring Items'!$G$6:$G$56)))</f>
        <v>3819.79</v>
      </c>
      <c r="AE256" s="1" t="n">
        <f aca="false">SUMPRODUCT(('Recurring Items'!$C$6:$C$56="Expense")*('Recurring Items'!$H$6:$H$56&lt;&gt;"Skip")*IFERROR(N('Recurring Items'!$D$6:$D$56),0)*(('Recurring Items'!$E$6:$E$56="Monthly")*(DAY(AB256)='Recurring Items'!$F$6:$F$56)+('Recurring Items'!$E$6:$E$56="Bi-weekly")*(WEEKDAY(AB256)=IFERROR(WEEKDAY('Recurring Items'!$G$6:$G$56),0))*(MOD(AB256-IFERROR('Recurring Items'!$G$6:$G$56,0),14)=0)*(AB256&gt;=IFERROR('Recurring Items'!$G$6:$G$56,9000000000))+('Recurring Items'!$E$6:$E$56="Weekly")*(WEEKDAY(AB256)=IFERROR(WEEKDAY('Recurring Items'!$G$6:$G$56),0))*(AB256&gt;=IFERROR('Recurring Items'!$G$6:$G$56,9000000000))+('Recurring Items'!$E$6:$E$56="One-time")*(AB256='Recurring Items'!$G$6:$G$56)))</f>
        <v>460</v>
      </c>
      <c r="AF256" s="1" t="n">
        <f aca="false">(IF(AC256=1,'Debt Tracker'!$P$5&gt;0.01,INDEX('Debt Tracker'!$T$5:$AE$29,1,AC256-1)&gt;0.01))*('Recurring Items'!$H$8&lt;&gt;"Skip")*(DAY(AB256)='Recurring Items'!$F$8)*IFERROR(N('Recurring Items'!$D$8),0)+(IF(AC256=1,'Debt Tracker'!$P$6&gt;0.01,INDEX('Debt Tracker'!$T$5:$AE$29,2,AC256-1)&gt;0.01))*('Recurring Items'!$H$9&lt;&gt;"Skip")*(DAY(AB256)='Recurring Items'!$F$9)*IFERROR(N('Recurring Items'!$D$9),0)+(IF(AC256=1,'Debt Tracker'!$P$7&gt;0.01,INDEX('Debt Tracker'!$T$5:$AE$29,3,AC256-1)&gt;0.01))*('Recurring Items'!$H$10&lt;&gt;"Skip")*(DAY(AB256)='Recurring Items'!$F$10)*IFERROR(N('Recurring Items'!$D$10),0)+(IF(AC256=1,'Debt Tracker'!$P$8&gt;0.01,INDEX('Debt Tracker'!$T$5:$AE$29,4,AC256-1)&gt;0.01))*('Recurring Items'!$H$11&lt;&gt;"Skip")*(DAY(AB256)='Recurring Items'!$F$11)*IFERROR(N('Recurring Items'!$D$11),0)+(IF(AC256=1,'Debt Tracker'!$P$9&gt;0.01,INDEX('Debt Tracker'!$T$5:$AE$29,5,AC256-1)&gt;0.01))*('Recurring Items'!$H$12&lt;&gt;"Skip")*(DAY(AB256)='Recurring Items'!$F$12)*IFERROR(N('Recurring Items'!$D$12),0)+(IF(AC256=1,'Debt Tracker'!$P$10&gt;0.01,INDEX('Debt Tracker'!$T$5:$AE$29,6,AC256-1)&gt;0.01))*('Recurring Items'!$H$13&lt;&gt;"Skip")*(DAY(AB256)='Recurring Items'!$F$13)*IFERROR(N('Recurring Items'!$D$13),0)+(IF(AC256=1,'Debt Tracker'!$P$11&gt;0.01,INDEX('Debt Tracker'!$T$5:$AE$29,7,AC256-1)&gt;0.01))*('Recurring Items'!$H$14&lt;&gt;"Skip")*(DAY(AB256)='Recurring Items'!$F$14)*IFERROR(N('Recurring Items'!$D$14),0)+(IF(AC256=1,'Debt Tracker'!$P$12&gt;0.01,INDEX('Debt Tracker'!$T$5:$AE$29,8,AC256-1)&gt;0.01))*('Recurring Items'!$H$15&lt;&gt;"Skip")*(DAY(AB256)='Recurring Items'!$F$15)*IFERROR(N('Recurring Items'!$D$15),0)+(IF(AC256=1,'Debt Tracker'!$P$13&gt;0.01,INDEX('Debt Tracker'!$T$5:$AE$29,9,AC256-1)&gt;0.01))*('Recurring Items'!$H$16&lt;&gt;"Skip")*(DAY(AB256)='Recurring Items'!$F$16)*IFERROR(N('Recurring Items'!$D$16),0)+(IF(AC256=1,'Debt Tracker'!$P$14&gt;0.01,INDEX('Debt Tracker'!$T$5:$AE$29,10,AC256-1)&gt;0.01))*('Recurring Items'!$H$17&lt;&gt;"Skip")*(DAY(AB256)='Recurring Items'!$F$17)*IFERROR(N('Recurring Items'!$D$17),0)+(IF(AC256=1,'Debt Tracker'!$P$15&gt;0.01,INDEX('Debt Tracker'!$T$5:$AE$29,11,AC256-1)&gt;0.01))*('Recurring Items'!$H$18&lt;&gt;"Skip")*(DAY(AB256)='Recurring Items'!$F$18)*IFERROR(N('Recurring Items'!$D$18),0)+(IF(AC256=1,'Debt Tracker'!$P$16&gt;0.01,INDEX('Debt Tracker'!$T$5:$AE$29,12,AC256-1)&gt;0.01))*('Recurring Items'!$H$19&lt;&gt;"Skip")*(DAY(AB256)='Recurring Items'!$F$19)*IFERROR(N('Recurring Items'!$D$19),0)+(IF(AC256=1,'Debt Tracker'!$P$17&gt;0.01,INDEX('Debt Tracker'!$T$5:$AE$29,13,AC256-1)&gt;0.01))*('Recurring Items'!$H$20&lt;&gt;"Skip")*(DAY(AB256)='Recurring Items'!$F$20)*IFERROR(N('Recurring Items'!$D$20),0)+(IF(AC256=1,'Debt Tracker'!$P$18&gt;0.01,INDEX('Debt Tracker'!$T$5:$AE$29,14,AC256-1)&gt;0.01))*('Recurring Items'!$H$21&lt;&gt;"Skip")*(DAY(AB256)='Recurring Items'!$F$21)*IFERROR(N('Recurring Items'!$D$21),0)+(IF(AC256=1,'Debt Tracker'!$P$19&gt;0.01,INDEX('Debt Tracker'!$T$5:$AE$29,15,AC256-1)&gt;0.01))*('Recurring Items'!$H$22&lt;&gt;"Skip")*(DAY(AB256)='Recurring Items'!$F$22)*IFERROR(N('Recurring Items'!$D$22),0)+(IF(AC256=1,'Debt Tracker'!$P$20&gt;0.01,INDEX('Debt Tracker'!$T$5:$AE$29,16,AC256-1)&gt;0.01))*('Recurring Items'!$H$23&lt;&gt;"Skip")*(DAY(AB256)='Recurring Items'!$F$23)*IFERROR(N('Recurring Items'!$D$23),0)+(IF(AC256=1,'Debt Tracker'!$P$21&gt;0.01,INDEX('Debt Tracker'!$T$5:$AE$29,17,AC256-1)&gt;0.01))*('Recurring Items'!$H$24&lt;&gt;"Skip")*(DAY(AB256)='Recurring Items'!$F$24)*IFERROR(N('Recurring Items'!$D$24),0)+(IF(AC256=1,'Debt Tracker'!$P$22&gt;0.01,INDEX('Debt Tracker'!$T$5:$AE$29,18,AC256-1)&gt;0.01))*('Recurring Items'!$H$25&lt;&gt;"Skip")*(DAY(AB256)='Recurring Items'!$F$25)*IFERROR(N('Recurring Items'!$D$25),0)+(IF(AC256=1,'Debt Tracker'!$P$23&gt;0.01,INDEX('Debt Tracker'!$T$5:$AE$29,19,AC256-1)&gt;0.01))*('Recurring Items'!$H$26&lt;&gt;"Skip")*(DAY(AB256)='Recurring Items'!$F$26)*IFERROR(N('Recurring Items'!$D$26),0)+(IF(AC256=1,'Debt Tracker'!$P$24&gt;0.01,INDEX('Debt Tracker'!$T$5:$AE$29,20,AC256-1)&gt;0.01))*('Recurring Items'!$H$27&lt;&gt;"Skip")*(DAY(AB256)='Recurring Items'!$F$27)*IFERROR(N('Recurring Items'!$D$27),0)+(IF(AC256=1,'Debt Tracker'!$P$25&gt;0.01,INDEX('Debt Tracker'!$T$5:$AE$29,21,AC256-1)&gt;0.01))*('Recurring Items'!$H$28&lt;&gt;"Skip")*(DAY(AB256)='Recurring Items'!$F$28)*IFERROR(N('Recurring Items'!$D$28),0)+(IF(AC256=1,'Debt Tracker'!$P$26&gt;0.01,INDEX('Debt Tracker'!$T$5:$AE$29,22,AC256-1)&gt;0.01))*('Recurring Items'!$H$29&lt;&gt;"Skip")*(DAY(AB256)='Recurring Items'!$F$29)*IFERROR(N('Recurring Items'!$D$29),0)+(IF(AC256=1,'Debt Tracker'!$P$27&gt;0.01,INDEX('Debt Tracker'!$T$5:$AE$29,23,AC256-1)&gt;0.01))*('Recurring Items'!$H$30&lt;&gt;"Skip")*(DAY(AB256)='Recurring Items'!$F$30)*IFERROR(N('Recurring Items'!$D$30),0)+(IF(AC256=1,'Debt Tracker'!$P$28&gt;0.01,INDEX('Debt Tracker'!$T$5:$AE$29,24,AC256-1)&gt;0.01))*('Recurring Items'!$H$31&lt;&gt;"Skip")*(DAY(AB256)='Recurring Items'!$F$31)*IFERROR(N('Recurring Items'!$D$31),0)+(IF(AC256=1,'Debt Tracker'!$P$29&gt;0.01,INDEX('Debt Tracker'!$T$5:$AE$29,25,AC256-1)&gt;0.01))*('Recurring Items'!$H$32&lt;&gt;"Skip")*(DAY(AB256)='Recurring Items'!$F$32)*IFERROR(N('Recurring Items'!$D$32),0)</f>
        <v>0</v>
      </c>
      <c r="AG256" s="1" t="n">
        <f aca="false">AD256-AE256-AF256</f>
        <v>3359.79</v>
      </c>
      <c r="AH256" s="1" t="n">
        <f aca="false">AH255+AG256</f>
        <v>7627.31</v>
      </c>
    </row>
    <row r="257" customFormat="false" ht="15" hidden="false" customHeight="true" outlineLevel="0" collapsed="false">
      <c r="AA257" s="1" t="n">
        <v>57</v>
      </c>
      <c r="AB257" s="145" t="n">
        <f aca="false">$D$3+57</f>
        <v>46200</v>
      </c>
      <c r="AC257" s="1" t="n">
        <f aca="false">MIN(12,1+DATEDIF($D$3,AB257,"M"))</f>
        <v>2</v>
      </c>
      <c r="AD257" s="1" t="n">
        <f aca="false">SUMPRODUCT(('Recurring Items'!$C$6:$C$56="Income")*('Recurring Items'!$H$6:$H$56&lt;&gt;"Skip")*IFERROR(N('Recurring Items'!$D$6:$D$56),0)*(('Recurring Items'!$E$6:$E$56="Monthly")*(DAY(AB257)='Recurring Items'!$F$6:$F$56)+('Recurring Items'!$E$6:$E$56="Bi-weekly")*(WEEKDAY(AB257)=IFERROR(WEEKDAY('Recurring Items'!$G$6:$G$56),0))*(MOD(AB257-IFERROR('Recurring Items'!$G$6:$G$56,0),14)=0)*(AB257&gt;=IFERROR('Recurring Items'!$G$6:$G$56,9000000000))+('Recurring Items'!$E$6:$E$56="Weekly")*(WEEKDAY(AB257)=IFERROR(WEEKDAY('Recurring Items'!$G$6:$G$56),0))*(AB257&gt;=IFERROR('Recurring Items'!$G$6:$G$56,9000000000))+('Recurring Items'!$E$6:$E$56="One-time")*(AB257='Recurring Items'!$G$6:$G$56)))</f>
        <v>0</v>
      </c>
      <c r="AE257" s="1" t="n">
        <f aca="false">SUMPRODUCT(('Recurring Items'!$C$6:$C$56="Expense")*('Recurring Items'!$H$6:$H$56&lt;&gt;"Skip")*IFERROR(N('Recurring Items'!$D$6:$D$56),0)*(('Recurring Items'!$E$6:$E$56="Monthly")*(DAY(AB257)='Recurring Items'!$F$6:$F$56)+('Recurring Items'!$E$6:$E$56="Bi-weekly")*(WEEKDAY(AB257)=IFERROR(WEEKDAY('Recurring Items'!$G$6:$G$56),0))*(MOD(AB257-IFERROR('Recurring Items'!$G$6:$G$56,0),14)=0)*(AB257&gt;=IFERROR('Recurring Items'!$G$6:$G$56,9000000000))+('Recurring Items'!$E$6:$E$56="Weekly")*(WEEKDAY(AB257)=IFERROR(WEEKDAY('Recurring Items'!$G$6:$G$56),0))*(AB257&gt;=IFERROR('Recurring Items'!$G$6:$G$56,9000000000))+('Recurring Items'!$E$6:$E$56="One-time")*(AB257='Recurring Items'!$G$6:$G$56)))</f>
        <v>0</v>
      </c>
      <c r="AF257" s="1" t="n">
        <f aca="false">(IF(AC257=1,'Debt Tracker'!$P$5&gt;0.01,INDEX('Debt Tracker'!$T$5:$AE$29,1,AC257-1)&gt;0.01))*('Recurring Items'!$H$8&lt;&gt;"Skip")*(DAY(AB257)='Recurring Items'!$F$8)*IFERROR(N('Recurring Items'!$D$8),0)+(IF(AC257=1,'Debt Tracker'!$P$6&gt;0.01,INDEX('Debt Tracker'!$T$5:$AE$29,2,AC257-1)&gt;0.01))*('Recurring Items'!$H$9&lt;&gt;"Skip")*(DAY(AB257)='Recurring Items'!$F$9)*IFERROR(N('Recurring Items'!$D$9),0)+(IF(AC257=1,'Debt Tracker'!$P$7&gt;0.01,INDEX('Debt Tracker'!$T$5:$AE$29,3,AC257-1)&gt;0.01))*('Recurring Items'!$H$10&lt;&gt;"Skip")*(DAY(AB257)='Recurring Items'!$F$10)*IFERROR(N('Recurring Items'!$D$10),0)+(IF(AC257=1,'Debt Tracker'!$P$8&gt;0.01,INDEX('Debt Tracker'!$T$5:$AE$29,4,AC257-1)&gt;0.01))*('Recurring Items'!$H$11&lt;&gt;"Skip")*(DAY(AB257)='Recurring Items'!$F$11)*IFERROR(N('Recurring Items'!$D$11),0)+(IF(AC257=1,'Debt Tracker'!$P$9&gt;0.01,INDEX('Debt Tracker'!$T$5:$AE$29,5,AC257-1)&gt;0.01))*('Recurring Items'!$H$12&lt;&gt;"Skip")*(DAY(AB257)='Recurring Items'!$F$12)*IFERROR(N('Recurring Items'!$D$12),0)+(IF(AC257=1,'Debt Tracker'!$P$10&gt;0.01,INDEX('Debt Tracker'!$T$5:$AE$29,6,AC257-1)&gt;0.01))*('Recurring Items'!$H$13&lt;&gt;"Skip")*(DAY(AB257)='Recurring Items'!$F$13)*IFERROR(N('Recurring Items'!$D$13),0)+(IF(AC257=1,'Debt Tracker'!$P$11&gt;0.01,INDEX('Debt Tracker'!$T$5:$AE$29,7,AC257-1)&gt;0.01))*('Recurring Items'!$H$14&lt;&gt;"Skip")*(DAY(AB257)='Recurring Items'!$F$14)*IFERROR(N('Recurring Items'!$D$14),0)+(IF(AC257=1,'Debt Tracker'!$P$12&gt;0.01,INDEX('Debt Tracker'!$T$5:$AE$29,8,AC257-1)&gt;0.01))*('Recurring Items'!$H$15&lt;&gt;"Skip")*(DAY(AB257)='Recurring Items'!$F$15)*IFERROR(N('Recurring Items'!$D$15),0)+(IF(AC257=1,'Debt Tracker'!$P$13&gt;0.01,INDEX('Debt Tracker'!$T$5:$AE$29,9,AC257-1)&gt;0.01))*('Recurring Items'!$H$16&lt;&gt;"Skip")*(DAY(AB257)='Recurring Items'!$F$16)*IFERROR(N('Recurring Items'!$D$16),0)+(IF(AC257=1,'Debt Tracker'!$P$14&gt;0.01,INDEX('Debt Tracker'!$T$5:$AE$29,10,AC257-1)&gt;0.01))*('Recurring Items'!$H$17&lt;&gt;"Skip")*(DAY(AB257)='Recurring Items'!$F$17)*IFERROR(N('Recurring Items'!$D$17),0)+(IF(AC257=1,'Debt Tracker'!$P$15&gt;0.01,INDEX('Debt Tracker'!$T$5:$AE$29,11,AC257-1)&gt;0.01))*('Recurring Items'!$H$18&lt;&gt;"Skip")*(DAY(AB257)='Recurring Items'!$F$18)*IFERROR(N('Recurring Items'!$D$18),0)+(IF(AC257=1,'Debt Tracker'!$P$16&gt;0.01,INDEX('Debt Tracker'!$T$5:$AE$29,12,AC257-1)&gt;0.01))*('Recurring Items'!$H$19&lt;&gt;"Skip")*(DAY(AB257)='Recurring Items'!$F$19)*IFERROR(N('Recurring Items'!$D$19),0)+(IF(AC257=1,'Debt Tracker'!$P$17&gt;0.01,INDEX('Debt Tracker'!$T$5:$AE$29,13,AC257-1)&gt;0.01))*('Recurring Items'!$H$20&lt;&gt;"Skip")*(DAY(AB257)='Recurring Items'!$F$20)*IFERROR(N('Recurring Items'!$D$20),0)+(IF(AC257=1,'Debt Tracker'!$P$18&gt;0.01,INDEX('Debt Tracker'!$T$5:$AE$29,14,AC257-1)&gt;0.01))*('Recurring Items'!$H$21&lt;&gt;"Skip")*(DAY(AB257)='Recurring Items'!$F$21)*IFERROR(N('Recurring Items'!$D$21),0)+(IF(AC257=1,'Debt Tracker'!$P$19&gt;0.01,INDEX('Debt Tracker'!$T$5:$AE$29,15,AC257-1)&gt;0.01))*('Recurring Items'!$H$22&lt;&gt;"Skip")*(DAY(AB257)='Recurring Items'!$F$22)*IFERROR(N('Recurring Items'!$D$22),0)+(IF(AC257=1,'Debt Tracker'!$P$20&gt;0.01,INDEX('Debt Tracker'!$T$5:$AE$29,16,AC257-1)&gt;0.01))*('Recurring Items'!$H$23&lt;&gt;"Skip")*(DAY(AB257)='Recurring Items'!$F$23)*IFERROR(N('Recurring Items'!$D$23),0)+(IF(AC257=1,'Debt Tracker'!$P$21&gt;0.01,INDEX('Debt Tracker'!$T$5:$AE$29,17,AC257-1)&gt;0.01))*('Recurring Items'!$H$24&lt;&gt;"Skip")*(DAY(AB257)='Recurring Items'!$F$24)*IFERROR(N('Recurring Items'!$D$24),0)+(IF(AC257=1,'Debt Tracker'!$P$22&gt;0.01,INDEX('Debt Tracker'!$T$5:$AE$29,18,AC257-1)&gt;0.01))*('Recurring Items'!$H$25&lt;&gt;"Skip")*(DAY(AB257)='Recurring Items'!$F$25)*IFERROR(N('Recurring Items'!$D$25),0)+(IF(AC257=1,'Debt Tracker'!$P$23&gt;0.01,INDEX('Debt Tracker'!$T$5:$AE$29,19,AC257-1)&gt;0.01))*('Recurring Items'!$H$26&lt;&gt;"Skip")*(DAY(AB257)='Recurring Items'!$F$26)*IFERROR(N('Recurring Items'!$D$26),0)+(IF(AC257=1,'Debt Tracker'!$P$24&gt;0.01,INDEX('Debt Tracker'!$T$5:$AE$29,20,AC257-1)&gt;0.01))*('Recurring Items'!$H$27&lt;&gt;"Skip")*(DAY(AB257)='Recurring Items'!$F$27)*IFERROR(N('Recurring Items'!$D$27),0)+(IF(AC257=1,'Debt Tracker'!$P$25&gt;0.01,INDEX('Debt Tracker'!$T$5:$AE$29,21,AC257-1)&gt;0.01))*('Recurring Items'!$H$28&lt;&gt;"Skip")*(DAY(AB257)='Recurring Items'!$F$28)*IFERROR(N('Recurring Items'!$D$28),0)+(IF(AC257=1,'Debt Tracker'!$P$26&gt;0.01,INDEX('Debt Tracker'!$T$5:$AE$29,22,AC257-1)&gt;0.01))*('Recurring Items'!$H$29&lt;&gt;"Skip")*(DAY(AB257)='Recurring Items'!$F$29)*IFERROR(N('Recurring Items'!$D$29),0)+(IF(AC257=1,'Debt Tracker'!$P$27&gt;0.01,INDEX('Debt Tracker'!$T$5:$AE$29,23,AC257-1)&gt;0.01))*('Recurring Items'!$H$30&lt;&gt;"Skip")*(DAY(AB257)='Recurring Items'!$F$30)*IFERROR(N('Recurring Items'!$D$30),0)+(IF(AC257=1,'Debt Tracker'!$P$28&gt;0.01,INDEX('Debt Tracker'!$T$5:$AE$29,24,AC257-1)&gt;0.01))*('Recurring Items'!$H$31&lt;&gt;"Skip")*(DAY(AB257)='Recurring Items'!$F$31)*IFERROR(N('Recurring Items'!$D$31),0)+(IF(AC257=1,'Debt Tracker'!$P$29&gt;0.01,INDEX('Debt Tracker'!$T$5:$AE$29,25,AC257-1)&gt;0.01))*('Recurring Items'!$H$32&lt;&gt;"Skip")*(DAY(AB257)='Recurring Items'!$F$32)*IFERROR(N('Recurring Items'!$D$32),0)</f>
        <v>0</v>
      </c>
      <c r="AG257" s="1" t="n">
        <f aca="false">AD257-AE257-AF257</f>
        <v>0</v>
      </c>
      <c r="AH257" s="1" t="n">
        <f aca="false">AH256+AG257</f>
        <v>7627.31</v>
      </c>
    </row>
    <row r="258" customFormat="false" ht="15" hidden="false" customHeight="true" outlineLevel="0" collapsed="false">
      <c r="AA258" s="1" t="n">
        <v>58</v>
      </c>
      <c r="AB258" s="145" t="n">
        <f aca="false">$D$3+58</f>
        <v>46201</v>
      </c>
      <c r="AC258" s="1" t="n">
        <f aca="false">MIN(12,1+DATEDIF($D$3,AB258,"M"))</f>
        <v>2</v>
      </c>
      <c r="AD258" s="1" t="n">
        <f aca="false">SUMPRODUCT(('Recurring Items'!$C$6:$C$56="Income")*('Recurring Items'!$H$6:$H$56&lt;&gt;"Skip")*IFERROR(N('Recurring Items'!$D$6:$D$56),0)*(('Recurring Items'!$E$6:$E$56="Monthly")*(DAY(AB258)='Recurring Items'!$F$6:$F$56)+('Recurring Items'!$E$6:$E$56="Bi-weekly")*(WEEKDAY(AB258)=IFERROR(WEEKDAY('Recurring Items'!$G$6:$G$56),0))*(MOD(AB258-IFERROR('Recurring Items'!$G$6:$G$56,0),14)=0)*(AB258&gt;=IFERROR('Recurring Items'!$G$6:$G$56,9000000000))+('Recurring Items'!$E$6:$E$56="Weekly")*(WEEKDAY(AB258)=IFERROR(WEEKDAY('Recurring Items'!$G$6:$G$56),0))*(AB258&gt;=IFERROR('Recurring Items'!$G$6:$G$56,9000000000))+('Recurring Items'!$E$6:$E$56="One-time")*(AB258='Recurring Items'!$G$6:$G$56)))</f>
        <v>0</v>
      </c>
      <c r="AE258" s="1" t="n">
        <f aca="false">SUMPRODUCT(('Recurring Items'!$C$6:$C$56="Expense")*('Recurring Items'!$H$6:$H$56&lt;&gt;"Skip")*IFERROR(N('Recurring Items'!$D$6:$D$56),0)*(('Recurring Items'!$E$6:$E$56="Monthly")*(DAY(AB258)='Recurring Items'!$F$6:$F$56)+('Recurring Items'!$E$6:$E$56="Bi-weekly")*(WEEKDAY(AB258)=IFERROR(WEEKDAY('Recurring Items'!$G$6:$G$56),0))*(MOD(AB258-IFERROR('Recurring Items'!$G$6:$G$56,0),14)=0)*(AB258&gt;=IFERROR('Recurring Items'!$G$6:$G$56,9000000000))+('Recurring Items'!$E$6:$E$56="Weekly")*(WEEKDAY(AB258)=IFERROR(WEEKDAY('Recurring Items'!$G$6:$G$56),0))*(AB258&gt;=IFERROR('Recurring Items'!$G$6:$G$56,9000000000))+('Recurring Items'!$E$6:$E$56="One-time")*(AB258='Recurring Items'!$G$6:$G$56)))</f>
        <v>0</v>
      </c>
      <c r="AF258" s="1" t="n">
        <f aca="false">(IF(AC258=1,'Debt Tracker'!$P$5&gt;0.01,INDEX('Debt Tracker'!$T$5:$AE$29,1,AC258-1)&gt;0.01))*('Recurring Items'!$H$8&lt;&gt;"Skip")*(DAY(AB258)='Recurring Items'!$F$8)*IFERROR(N('Recurring Items'!$D$8),0)+(IF(AC258=1,'Debt Tracker'!$P$6&gt;0.01,INDEX('Debt Tracker'!$T$5:$AE$29,2,AC258-1)&gt;0.01))*('Recurring Items'!$H$9&lt;&gt;"Skip")*(DAY(AB258)='Recurring Items'!$F$9)*IFERROR(N('Recurring Items'!$D$9),0)+(IF(AC258=1,'Debt Tracker'!$P$7&gt;0.01,INDEX('Debt Tracker'!$T$5:$AE$29,3,AC258-1)&gt;0.01))*('Recurring Items'!$H$10&lt;&gt;"Skip")*(DAY(AB258)='Recurring Items'!$F$10)*IFERROR(N('Recurring Items'!$D$10),0)+(IF(AC258=1,'Debt Tracker'!$P$8&gt;0.01,INDEX('Debt Tracker'!$T$5:$AE$29,4,AC258-1)&gt;0.01))*('Recurring Items'!$H$11&lt;&gt;"Skip")*(DAY(AB258)='Recurring Items'!$F$11)*IFERROR(N('Recurring Items'!$D$11),0)+(IF(AC258=1,'Debt Tracker'!$P$9&gt;0.01,INDEX('Debt Tracker'!$T$5:$AE$29,5,AC258-1)&gt;0.01))*('Recurring Items'!$H$12&lt;&gt;"Skip")*(DAY(AB258)='Recurring Items'!$F$12)*IFERROR(N('Recurring Items'!$D$12),0)+(IF(AC258=1,'Debt Tracker'!$P$10&gt;0.01,INDEX('Debt Tracker'!$T$5:$AE$29,6,AC258-1)&gt;0.01))*('Recurring Items'!$H$13&lt;&gt;"Skip")*(DAY(AB258)='Recurring Items'!$F$13)*IFERROR(N('Recurring Items'!$D$13),0)+(IF(AC258=1,'Debt Tracker'!$P$11&gt;0.01,INDEX('Debt Tracker'!$T$5:$AE$29,7,AC258-1)&gt;0.01))*('Recurring Items'!$H$14&lt;&gt;"Skip")*(DAY(AB258)='Recurring Items'!$F$14)*IFERROR(N('Recurring Items'!$D$14),0)+(IF(AC258=1,'Debt Tracker'!$P$12&gt;0.01,INDEX('Debt Tracker'!$T$5:$AE$29,8,AC258-1)&gt;0.01))*('Recurring Items'!$H$15&lt;&gt;"Skip")*(DAY(AB258)='Recurring Items'!$F$15)*IFERROR(N('Recurring Items'!$D$15),0)+(IF(AC258=1,'Debt Tracker'!$P$13&gt;0.01,INDEX('Debt Tracker'!$T$5:$AE$29,9,AC258-1)&gt;0.01))*('Recurring Items'!$H$16&lt;&gt;"Skip")*(DAY(AB258)='Recurring Items'!$F$16)*IFERROR(N('Recurring Items'!$D$16),0)+(IF(AC258=1,'Debt Tracker'!$P$14&gt;0.01,INDEX('Debt Tracker'!$T$5:$AE$29,10,AC258-1)&gt;0.01))*('Recurring Items'!$H$17&lt;&gt;"Skip")*(DAY(AB258)='Recurring Items'!$F$17)*IFERROR(N('Recurring Items'!$D$17),0)+(IF(AC258=1,'Debt Tracker'!$P$15&gt;0.01,INDEX('Debt Tracker'!$T$5:$AE$29,11,AC258-1)&gt;0.01))*('Recurring Items'!$H$18&lt;&gt;"Skip")*(DAY(AB258)='Recurring Items'!$F$18)*IFERROR(N('Recurring Items'!$D$18),0)+(IF(AC258=1,'Debt Tracker'!$P$16&gt;0.01,INDEX('Debt Tracker'!$T$5:$AE$29,12,AC258-1)&gt;0.01))*('Recurring Items'!$H$19&lt;&gt;"Skip")*(DAY(AB258)='Recurring Items'!$F$19)*IFERROR(N('Recurring Items'!$D$19),0)+(IF(AC258=1,'Debt Tracker'!$P$17&gt;0.01,INDEX('Debt Tracker'!$T$5:$AE$29,13,AC258-1)&gt;0.01))*('Recurring Items'!$H$20&lt;&gt;"Skip")*(DAY(AB258)='Recurring Items'!$F$20)*IFERROR(N('Recurring Items'!$D$20),0)+(IF(AC258=1,'Debt Tracker'!$P$18&gt;0.01,INDEX('Debt Tracker'!$T$5:$AE$29,14,AC258-1)&gt;0.01))*('Recurring Items'!$H$21&lt;&gt;"Skip")*(DAY(AB258)='Recurring Items'!$F$21)*IFERROR(N('Recurring Items'!$D$21),0)+(IF(AC258=1,'Debt Tracker'!$P$19&gt;0.01,INDEX('Debt Tracker'!$T$5:$AE$29,15,AC258-1)&gt;0.01))*('Recurring Items'!$H$22&lt;&gt;"Skip")*(DAY(AB258)='Recurring Items'!$F$22)*IFERROR(N('Recurring Items'!$D$22),0)+(IF(AC258=1,'Debt Tracker'!$P$20&gt;0.01,INDEX('Debt Tracker'!$T$5:$AE$29,16,AC258-1)&gt;0.01))*('Recurring Items'!$H$23&lt;&gt;"Skip")*(DAY(AB258)='Recurring Items'!$F$23)*IFERROR(N('Recurring Items'!$D$23),0)+(IF(AC258=1,'Debt Tracker'!$P$21&gt;0.01,INDEX('Debt Tracker'!$T$5:$AE$29,17,AC258-1)&gt;0.01))*('Recurring Items'!$H$24&lt;&gt;"Skip")*(DAY(AB258)='Recurring Items'!$F$24)*IFERROR(N('Recurring Items'!$D$24),0)+(IF(AC258=1,'Debt Tracker'!$P$22&gt;0.01,INDEX('Debt Tracker'!$T$5:$AE$29,18,AC258-1)&gt;0.01))*('Recurring Items'!$H$25&lt;&gt;"Skip")*(DAY(AB258)='Recurring Items'!$F$25)*IFERROR(N('Recurring Items'!$D$25),0)+(IF(AC258=1,'Debt Tracker'!$P$23&gt;0.01,INDEX('Debt Tracker'!$T$5:$AE$29,19,AC258-1)&gt;0.01))*('Recurring Items'!$H$26&lt;&gt;"Skip")*(DAY(AB258)='Recurring Items'!$F$26)*IFERROR(N('Recurring Items'!$D$26),0)+(IF(AC258=1,'Debt Tracker'!$P$24&gt;0.01,INDEX('Debt Tracker'!$T$5:$AE$29,20,AC258-1)&gt;0.01))*('Recurring Items'!$H$27&lt;&gt;"Skip")*(DAY(AB258)='Recurring Items'!$F$27)*IFERROR(N('Recurring Items'!$D$27),0)+(IF(AC258=1,'Debt Tracker'!$P$25&gt;0.01,INDEX('Debt Tracker'!$T$5:$AE$29,21,AC258-1)&gt;0.01))*('Recurring Items'!$H$28&lt;&gt;"Skip")*(DAY(AB258)='Recurring Items'!$F$28)*IFERROR(N('Recurring Items'!$D$28),0)+(IF(AC258=1,'Debt Tracker'!$P$26&gt;0.01,INDEX('Debt Tracker'!$T$5:$AE$29,22,AC258-1)&gt;0.01))*('Recurring Items'!$H$29&lt;&gt;"Skip")*(DAY(AB258)='Recurring Items'!$F$29)*IFERROR(N('Recurring Items'!$D$29),0)+(IF(AC258=1,'Debt Tracker'!$P$27&gt;0.01,INDEX('Debt Tracker'!$T$5:$AE$29,23,AC258-1)&gt;0.01))*('Recurring Items'!$H$30&lt;&gt;"Skip")*(DAY(AB258)='Recurring Items'!$F$30)*IFERROR(N('Recurring Items'!$D$30),0)+(IF(AC258=1,'Debt Tracker'!$P$28&gt;0.01,INDEX('Debt Tracker'!$T$5:$AE$29,24,AC258-1)&gt;0.01))*('Recurring Items'!$H$31&lt;&gt;"Skip")*(DAY(AB258)='Recurring Items'!$F$31)*IFERROR(N('Recurring Items'!$D$31),0)+(IF(AC258=1,'Debt Tracker'!$P$29&gt;0.01,INDEX('Debt Tracker'!$T$5:$AE$29,25,AC258-1)&gt;0.01))*('Recurring Items'!$H$32&lt;&gt;"Skip")*(DAY(AB258)='Recurring Items'!$F$32)*IFERROR(N('Recurring Items'!$D$32),0)</f>
        <v>0</v>
      </c>
      <c r="AG258" s="1" t="n">
        <f aca="false">AD258-AE258-AF258</f>
        <v>0</v>
      </c>
      <c r="AH258" s="1" t="n">
        <f aca="false">AH257+AG258</f>
        <v>7627.31</v>
      </c>
    </row>
    <row r="259" customFormat="false" ht="15" hidden="false" customHeight="true" outlineLevel="0" collapsed="false">
      <c r="AA259" s="1" t="n">
        <v>59</v>
      </c>
      <c r="AB259" s="145" t="n">
        <f aca="false">$D$3+59</f>
        <v>46202</v>
      </c>
      <c r="AC259" s="1" t="n">
        <f aca="false">MIN(12,1+DATEDIF($D$3,AB259,"M"))</f>
        <v>2</v>
      </c>
      <c r="AD259" s="1" t="n">
        <f aca="false">SUMPRODUCT(('Recurring Items'!$C$6:$C$56="Income")*('Recurring Items'!$H$6:$H$56&lt;&gt;"Skip")*IFERROR(N('Recurring Items'!$D$6:$D$56),0)*(('Recurring Items'!$E$6:$E$56="Monthly")*(DAY(AB259)='Recurring Items'!$F$6:$F$56)+('Recurring Items'!$E$6:$E$56="Bi-weekly")*(WEEKDAY(AB259)=IFERROR(WEEKDAY('Recurring Items'!$G$6:$G$56),0))*(MOD(AB259-IFERROR('Recurring Items'!$G$6:$G$56,0),14)=0)*(AB259&gt;=IFERROR('Recurring Items'!$G$6:$G$56,9000000000))+('Recurring Items'!$E$6:$E$56="Weekly")*(WEEKDAY(AB259)=IFERROR(WEEKDAY('Recurring Items'!$G$6:$G$56),0))*(AB259&gt;=IFERROR('Recurring Items'!$G$6:$G$56,9000000000))+('Recurring Items'!$E$6:$E$56="One-time")*(AB259='Recurring Items'!$G$6:$G$56)))</f>
        <v>0</v>
      </c>
      <c r="AE259" s="1" t="n">
        <f aca="false">SUMPRODUCT(('Recurring Items'!$C$6:$C$56="Expense")*('Recurring Items'!$H$6:$H$56&lt;&gt;"Skip")*IFERROR(N('Recurring Items'!$D$6:$D$56),0)*(('Recurring Items'!$E$6:$E$56="Monthly")*(DAY(AB259)='Recurring Items'!$F$6:$F$56)+('Recurring Items'!$E$6:$E$56="Bi-weekly")*(WEEKDAY(AB259)=IFERROR(WEEKDAY('Recurring Items'!$G$6:$G$56),0))*(MOD(AB259-IFERROR('Recurring Items'!$G$6:$G$56,0),14)=0)*(AB259&gt;=IFERROR('Recurring Items'!$G$6:$G$56,9000000000))+('Recurring Items'!$E$6:$E$56="Weekly")*(WEEKDAY(AB259)=IFERROR(WEEKDAY('Recurring Items'!$G$6:$G$56),0))*(AB259&gt;=IFERROR('Recurring Items'!$G$6:$G$56,9000000000))+('Recurring Items'!$E$6:$E$56="One-time")*(AB259='Recurring Items'!$G$6:$G$56)))</f>
        <v>237.58</v>
      </c>
      <c r="AF259" s="1" t="n">
        <f aca="false">(IF(AC259=1,'Debt Tracker'!$P$5&gt;0.01,INDEX('Debt Tracker'!$T$5:$AE$29,1,AC259-1)&gt;0.01))*('Recurring Items'!$H$8&lt;&gt;"Skip")*(DAY(AB259)='Recurring Items'!$F$8)*IFERROR(N('Recurring Items'!$D$8),0)+(IF(AC259=1,'Debt Tracker'!$P$6&gt;0.01,INDEX('Debt Tracker'!$T$5:$AE$29,2,AC259-1)&gt;0.01))*('Recurring Items'!$H$9&lt;&gt;"Skip")*(DAY(AB259)='Recurring Items'!$F$9)*IFERROR(N('Recurring Items'!$D$9),0)+(IF(AC259=1,'Debt Tracker'!$P$7&gt;0.01,INDEX('Debt Tracker'!$T$5:$AE$29,3,AC259-1)&gt;0.01))*('Recurring Items'!$H$10&lt;&gt;"Skip")*(DAY(AB259)='Recurring Items'!$F$10)*IFERROR(N('Recurring Items'!$D$10),0)+(IF(AC259=1,'Debt Tracker'!$P$8&gt;0.01,INDEX('Debt Tracker'!$T$5:$AE$29,4,AC259-1)&gt;0.01))*('Recurring Items'!$H$11&lt;&gt;"Skip")*(DAY(AB259)='Recurring Items'!$F$11)*IFERROR(N('Recurring Items'!$D$11),0)+(IF(AC259=1,'Debt Tracker'!$P$9&gt;0.01,INDEX('Debt Tracker'!$T$5:$AE$29,5,AC259-1)&gt;0.01))*('Recurring Items'!$H$12&lt;&gt;"Skip")*(DAY(AB259)='Recurring Items'!$F$12)*IFERROR(N('Recurring Items'!$D$12),0)+(IF(AC259=1,'Debt Tracker'!$P$10&gt;0.01,INDEX('Debt Tracker'!$T$5:$AE$29,6,AC259-1)&gt;0.01))*('Recurring Items'!$H$13&lt;&gt;"Skip")*(DAY(AB259)='Recurring Items'!$F$13)*IFERROR(N('Recurring Items'!$D$13),0)+(IF(AC259=1,'Debt Tracker'!$P$11&gt;0.01,INDEX('Debt Tracker'!$T$5:$AE$29,7,AC259-1)&gt;0.01))*('Recurring Items'!$H$14&lt;&gt;"Skip")*(DAY(AB259)='Recurring Items'!$F$14)*IFERROR(N('Recurring Items'!$D$14),0)+(IF(AC259=1,'Debt Tracker'!$P$12&gt;0.01,INDEX('Debt Tracker'!$T$5:$AE$29,8,AC259-1)&gt;0.01))*('Recurring Items'!$H$15&lt;&gt;"Skip")*(DAY(AB259)='Recurring Items'!$F$15)*IFERROR(N('Recurring Items'!$D$15),0)+(IF(AC259=1,'Debt Tracker'!$P$13&gt;0.01,INDEX('Debt Tracker'!$T$5:$AE$29,9,AC259-1)&gt;0.01))*('Recurring Items'!$H$16&lt;&gt;"Skip")*(DAY(AB259)='Recurring Items'!$F$16)*IFERROR(N('Recurring Items'!$D$16),0)+(IF(AC259=1,'Debt Tracker'!$P$14&gt;0.01,INDEX('Debt Tracker'!$T$5:$AE$29,10,AC259-1)&gt;0.01))*('Recurring Items'!$H$17&lt;&gt;"Skip")*(DAY(AB259)='Recurring Items'!$F$17)*IFERROR(N('Recurring Items'!$D$17),0)+(IF(AC259=1,'Debt Tracker'!$P$15&gt;0.01,INDEX('Debt Tracker'!$T$5:$AE$29,11,AC259-1)&gt;0.01))*('Recurring Items'!$H$18&lt;&gt;"Skip")*(DAY(AB259)='Recurring Items'!$F$18)*IFERROR(N('Recurring Items'!$D$18),0)+(IF(AC259=1,'Debt Tracker'!$P$16&gt;0.01,INDEX('Debt Tracker'!$T$5:$AE$29,12,AC259-1)&gt;0.01))*('Recurring Items'!$H$19&lt;&gt;"Skip")*(DAY(AB259)='Recurring Items'!$F$19)*IFERROR(N('Recurring Items'!$D$19),0)+(IF(AC259=1,'Debt Tracker'!$P$17&gt;0.01,INDEX('Debt Tracker'!$T$5:$AE$29,13,AC259-1)&gt;0.01))*('Recurring Items'!$H$20&lt;&gt;"Skip")*(DAY(AB259)='Recurring Items'!$F$20)*IFERROR(N('Recurring Items'!$D$20),0)+(IF(AC259=1,'Debt Tracker'!$P$18&gt;0.01,INDEX('Debt Tracker'!$T$5:$AE$29,14,AC259-1)&gt;0.01))*('Recurring Items'!$H$21&lt;&gt;"Skip")*(DAY(AB259)='Recurring Items'!$F$21)*IFERROR(N('Recurring Items'!$D$21),0)+(IF(AC259=1,'Debt Tracker'!$P$19&gt;0.01,INDEX('Debt Tracker'!$T$5:$AE$29,15,AC259-1)&gt;0.01))*('Recurring Items'!$H$22&lt;&gt;"Skip")*(DAY(AB259)='Recurring Items'!$F$22)*IFERROR(N('Recurring Items'!$D$22),0)+(IF(AC259=1,'Debt Tracker'!$P$20&gt;0.01,INDEX('Debt Tracker'!$T$5:$AE$29,16,AC259-1)&gt;0.01))*('Recurring Items'!$H$23&lt;&gt;"Skip")*(DAY(AB259)='Recurring Items'!$F$23)*IFERROR(N('Recurring Items'!$D$23),0)+(IF(AC259=1,'Debt Tracker'!$P$21&gt;0.01,INDEX('Debt Tracker'!$T$5:$AE$29,17,AC259-1)&gt;0.01))*('Recurring Items'!$H$24&lt;&gt;"Skip")*(DAY(AB259)='Recurring Items'!$F$24)*IFERROR(N('Recurring Items'!$D$24),0)+(IF(AC259=1,'Debt Tracker'!$P$22&gt;0.01,INDEX('Debt Tracker'!$T$5:$AE$29,18,AC259-1)&gt;0.01))*('Recurring Items'!$H$25&lt;&gt;"Skip")*(DAY(AB259)='Recurring Items'!$F$25)*IFERROR(N('Recurring Items'!$D$25),0)+(IF(AC259=1,'Debt Tracker'!$P$23&gt;0.01,INDEX('Debt Tracker'!$T$5:$AE$29,19,AC259-1)&gt;0.01))*('Recurring Items'!$H$26&lt;&gt;"Skip")*(DAY(AB259)='Recurring Items'!$F$26)*IFERROR(N('Recurring Items'!$D$26),0)+(IF(AC259=1,'Debt Tracker'!$P$24&gt;0.01,INDEX('Debt Tracker'!$T$5:$AE$29,20,AC259-1)&gt;0.01))*('Recurring Items'!$H$27&lt;&gt;"Skip")*(DAY(AB259)='Recurring Items'!$F$27)*IFERROR(N('Recurring Items'!$D$27),0)+(IF(AC259=1,'Debt Tracker'!$P$25&gt;0.01,INDEX('Debt Tracker'!$T$5:$AE$29,21,AC259-1)&gt;0.01))*('Recurring Items'!$H$28&lt;&gt;"Skip")*(DAY(AB259)='Recurring Items'!$F$28)*IFERROR(N('Recurring Items'!$D$28),0)+(IF(AC259=1,'Debt Tracker'!$P$26&gt;0.01,INDEX('Debt Tracker'!$T$5:$AE$29,22,AC259-1)&gt;0.01))*('Recurring Items'!$H$29&lt;&gt;"Skip")*(DAY(AB259)='Recurring Items'!$F$29)*IFERROR(N('Recurring Items'!$D$29),0)+(IF(AC259=1,'Debt Tracker'!$P$27&gt;0.01,INDEX('Debt Tracker'!$T$5:$AE$29,23,AC259-1)&gt;0.01))*('Recurring Items'!$H$30&lt;&gt;"Skip")*(DAY(AB259)='Recurring Items'!$F$30)*IFERROR(N('Recurring Items'!$D$30),0)+(IF(AC259=1,'Debt Tracker'!$P$28&gt;0.01,INDEX('Debt Tracker'!$T$5:$AE$29,24,AC259-1)&gt;0.01))*('Recurring Items'!$H$31&lt;&gt;"Skip")*(DAY(AB259)='Recurring Items'!$F$31)*IFERROR(N('Recurring Items'!$D$31),0)+(IF(AC259=1,'Debt Tracker'!$P$29&gt;0.01,INDEX('Debt Tracker'!$T$5:$AE$29,25,AC259-1)&gt;0.01))*('Recurring Items'!$H$32&lt;&gt;"Skip")*(DAY(AB259)='Recurring Items'!$F$32)*IFERROR(N('Recurring Items'!$D$32),0)</f>
        <v>206.43</v>
      </c>
      <c r="AG259" s="1" t="n">
        <f aca="false">AD259-AE259-AF259</f>
        <v>-444.01</v>
      </c>
      <c r="AH259" s="1" t="n">
        <f aca="false">AH258+AG259</f>
        <v>7183.3</v>
      </c>
    </row>
    <row r="260" customFormat="false" ht="15" hidden="false" customHeight="true" outlineLevel="0" collapsed="false">
      <c r="AA260" s="1" t="n">
        <v>60</v>
      </c>
      <c r="AB260" s="145" t="n">
        <f aca="false">$D$3+60</f>
        <v>46203</v>
      </c>
      <c r="AC260" s="1" t="n">
        <f aca="false">MIN(12,1+DATEDIF($D$3,AB260,"M"))</f>
        <v>2</v>
      </c>
      <c r="AD260" s="1" t="n">
        <f aca="false">SUMPRODUCT(('Recurring Items'!$C$6:$C$56="Income")*('Recurring Items'!$H$6:$H$56&lt;&gt;"Skip")*IFERROR(N('Recurring Items'!$D$6:$D$56),0)*(('Recurring Items'!$E$6:$E$56="Monthly")*(DAY(AB260)='Recurring Items'!$F$6:$F$56)+('Recurring Items'!$E$6:$E$56="Bi-weekly")*(WEEKDAY(AB260)=IFERROR(WEEKDAY('Recurring Items'!$G$6:$G$56),0))*(MOD(AB260-IFERROR('Recurring Items'!$G$6:$G$56,0),14)=0)*(AB260&gt;=IFERROR('Recurring Items'!$G$6:$G$56,9000000000))+('Recurring Items'!$E$6:$E$56="Weekly")*(WEEKDAY(AB260)=IFERROR(WEEKDAY('Recurring Items'!$G$6:$G$56),0))*(AB260&gt;=IFERROR('Recurring Items'!$G$6:$G$56,9000000000))+('Recurring Items'!$E$6:$E$56="One-time")*(AB260='Recurring Items'!$G$6:$G$56)))</f>
        <v>0</v>
      </c>
      <c r="AE260" s="1" t="n">
        <f aca="false">SUMPRODUCT(('Recurring Items'!$C$6:$C$56="Expense")*('Recurring Items'!$H$6:$H$56&lt;&gt;"Skip")*IFERROR(N('Recurring Items'!$D$6:$D$56),0)*(('Recurring Items'!$E$6:$E$56="Monthly")*(DAY(AB260)='Recurring Items'!$F$6:$F$56)+('Recurring Items'!$E$6:$E$56="Bi-weekly")*(WEEKDAY(AB260)=IFERROR(WEEKDAY('Recurring Items'!$G$6:$G$56),0))*(MOD(AB260-IFERROR('Recurring Items'!$G$6:$G$56,0),14)=0)*(AB260&gt;=IFERROR('Recurring Items'!$G$6:$G$56,9000000000))+('Recurring Items'!$E$6:$E$56="Weekly")*(WEEKDAY(AB260)=IFERROR(WEEKDAY('Recurring Items'!$G$6:$G$56),0))*(AB260&gt;=IFERROR('Recurring Items'!$G$6:$G$56,9000000000))+('Recurring Items'!$E$6:$E$56="One-time")*(AB260='Recurring Items'!$G$6:$G$56)))</f>
        <v>0</v>
      </c>
      <c r="AF260" s="1" t="n">
        <f aca="false">(IF(AC260=1,'Debt Tracker'!$P$5&gt;0.01,INDEX('Debt Tracker'!$T$5:$AE$29,1,AC260-1)&gt;0.01))*('Recurring Items'!$H$8&lt;&gt;"Skip")*(DAY(AB260)='Recurring Items'!$F$8)*IFERROR(N('Recurring Items'!$D$8),0)+(IF(AC260=1,'Debt Tracker'!$P$6&gt;0.01,INDEX('Debt Tracker'!$T$5:$AE$29,2,AC260-1)&gt;0.01))*('Recurring Items'!$H$9&lt;&gt;"Skip")*(DAY(AB260)='Recurring Items'!$F$9)*IFERROR(N('Recurring Items'!$D$9),0)+(IF(AC260=1,'Debt Tracker'!$P$7&gt;0.01,INDEX('Debt Tracker'!$T$5:$AE$29,3,AC260-1)&gt;0.01))*('Recurring Items'!$H$10&lt;&gt;"Skip")*(DAY(AB260)='Recurring Items'!$F$10)*IFERROR(N('Recurring Items'!$D$10),0)+(IF(AC260=1,'Debt Tracker'!$P$8&gt;0.01,INDEX('Debt Tracker'!$T$5:$AE$29,4,AC260-1)&gt;0.01))*('Recurring Items'!$H$11&lt;&gt;"Skip")*(DAY(AB260)='Recurring Items'!$F$11)*IFERROR(N('Recurring Items'!$D$11),0)+(IF(AC260=1,'Debt Tracker'!$P$9&gt;0.01,INDEX('Debt Tracker'!$T$5:$AE$29,5,AC260-1)&gt;0.01))*('Recurring Items'!$H$12&lt;&gt;"Skip")*(DAY(AB260)='Recurring Items'!$F$12)*IFERROR(N('Recurring Items'!$D$12),0)+(IF(AC260=1,'Debt Tracker'!$P$10&gt;0.01,INDEX('Debt Tracker'!$T$5:$AE$29,6,AC260-1)&gt;0.01))*('Recurring Items'!$H$13&lt;&gt;"Skip")*(DAY(AB260)='Recurring Items'!$F$13)*IFERROR(N('Recurring Items'!$D$13),0)+(IF(AC260=1,'Debt Tracker'!$P$11&gt;0.01,INDEX('Debt Tracker'!$T$5:$AE$29,7,AC260-1)&gt;0.01))*('Recurring Items'!$H$14&lt;&gt;"Skip")*(DAY(AB260)='Recurring Items'!$F$14)*IFERROR(N('Recurring Items'!$D$14),0)+(IF(AC260=1,'Debt Tracker'!$P$12&gt;0.01,INDEX('Debt Tracker'!$T$5:$AE$29,8,AC260-1)&gt;0.01))*('Recurring Items'!$H$15&lt;&gt;"Skip")*(DAY(AB260)='Recurring Items'!$F$15)*IFERROR(N('Recurring Items'!$D$15),0)+(IF(AC260=1,'Debt Tracker'!$P$13&gt;0.01,INDEX('Debt Tracker'!$T$5:$AE$29,9,AC260-1)&gt;0.01))*('Recurring Items'!$H$16&lt;&gt;"Skip")*(DAY(AB260)='Recurring Items'!$F$16)*IFERROR(N('Recurring Items'!$D$16),0)+(IF(AC260=1,'Debt Tracker'!$P$14&gt;0.01,INDEX('Debt Tracker'!$T$5:$AE$29,10,AC260-1)&gt;0.01))*('Recurring Items'!$H$17&lt;&gt;"Skip")*(DAY(AB260)='Recurring Items'!$F$17)*IFERROR(N('Recurring Items'!$D$17),0)+(IF(AC260=1,'Debt Tracker'!$P$15&gt;0.01,INDEX('Debt Tracker'!$T$5:$AE$29,11,AC260-1)&gt;0.01))*('Recurring Items'!$H$18&lt;&gt;"Skip")*(DAY(AB260)='Recurring Items'!$F$18)*IFERROR(N('Recurring Items'!$D$18),0)+(IF(AC260=1,'Debt Tracker'!$P$16&gt;0.01,INDEX('Debt Tracker'!$T$5:$AE$29,12,AC260-1)&gt;0.01))*('Recurring Items'!$H$19&lt;&gt;"Skip")*(DAY(AB260)='Recurring Items'!$F$19)*IFERROR(N('Recurring Items'!$D$19),0)+(IF(AC260=1,'Debt Tracker'!$P$17&gt;0.01,INDEX('Debt Tracker'!$T$5:$AE$29,13,AC260-1)&gt;0.01))*('Recurring Items'!$H$20&lt;&gt;"Skip")*(DAY(AB260)='Recurring Items'!$F$20)*IFERROR(N('Recurring Items'!$D$20),0)+(IF(AC260=1,'Debt Tracker'!$P$18&gt;0.01,INDEX('Debt Tracker'!$T$5:$AE$29,14,AC260-1)&gt;0.01))*('Recurring Items'!$H$21&lt;&gt;"Skip")*(DAY(AB260)='Recurring Items'!$F$21)*IFERROR(N('Recurring Items'!$D$21),0)+(IF(AC260=1,'Debt Tracker'!$P$19&gt;0.01,INDEX('Debt Tracker'!$T$5:$AE$29,15,AC260-1)&gt;0.01))*('Recurring Items'!$H$22&lt;&gt;"Skip")*(DAY(AB260)='Recurring Items'!$F$22)*IFERROR(N('Recurring Items'!$D$22),0)+(IF(AC260=1,'Debt Tracker'!$P$20&gt;0.01,INDEX('Debt Tracker'!$T$5:$AE$29,16,AC260-1)&gt;0.01))*('Recurring Items'!$H$23&lt;&gt;"Skip")*(DAY(AB260)='Recurring Items'!$F$23)*IFERROR(N('Recurring Items'!$D$23),0)+(IF(AC260=1,'Debt Tracker'!$P$21&gt;0.01,INDEX('Debt Tracker'!$T$5:$AE$29,17,AC260-1)&gt;0.01))*('Recurring Items'!$H$24&lt;&gt;"Skip")*(DAY(AB260)='Recurring Items'!$F$24)*IFERROR(N('Recurring Items'!$D$24),0)+(IF(AC260=1,'Debt Tracker'!$P$22&gt;0.01,INDEX('Debt Tracker'!$T$5:$AE$29,18,AC260-1)&gt;0.01))*('Recurring Items'!$H$25&lt;&gt;"Skip")*(DAY(AB260)='Recurring Items'!$F$25)*IFERROR(N('Recurring Items'!$D$25),0)+(IF(AC260=1,'Debt Tracker'!$P$23&gt;0.01,INDEX('Debt Tracker'!$T$5:$AE$29,19,AC260-1)&gt;0.01))*('Recurring Items'!$H$26&lt;&gt;"Skip")*(DAY(AB260)='Recurring Items'!$F$26)*IFERROR(N('Recurring Items'!$D$26),0)+(IF(AC260=1,'Debt Tracker'!$P$24&gt;0.01,INDEX('Debt Tracker'!$T$5:$AE$29,20,AC260-1)&gt;0.01))*('Recurring Items'!$H$27&lt;&gt;"Skip")*(DAY(AB260)='Recurring Items'!$F$27)*IFERROR(N('Recurring Items'!$D$27),0)+(IF(AC260=1,'Debt Tracker'!$P$25&gt;0.01,INDEX('Debt Tracker'!$T$5:$AE$29,21,AC260-1)&gt;0.01))*('Recurring Items'!$H$28&lt;&gt;"Skip")*(DAY(AB260)='Recurring Items'!$F$28)*IFERROR(N('Recurring Items'!$D$28),0)+(IF(AC260=1,'Debt Tracker'!$P$26&gt;0.01,INDEX('Debt Tracker'!$T$5:$AE$29,22,AC260-1)&gt;0.01))*('Recurring Items'!$H$29&lt;&gt;"Skip")*(DAY(AB260)='Recurring Items'!$F$29)*IFERROR(N('Recurring Items'!$D$29),0)+(IF(AC260=1,'Debt Tracker'!$P$27&gt;0.01,INDEX('Debt Tracker'!$T$5:$AE$29,23,AC260-1)&gt;0.01))*('Recurring Items'!$H$30&lt;&gt;"Skip")*(DAY(AB260)='Recurring Items'!$F$30)*IFERROR(N('Recurring Items'!$D$30),0)+(IF(AC260=1,'Debt Tracker'!$P$28&gt;0.01,INDEX('Debt Tracker'!$T$5:$AE$29,24,AC260-1)&gt;0.01))*('Recurring Items'!$H$31&lt;&gt;"Skip")*(DAY(AB260)='Recurring Items'!$F$31)*IFERROR(N('Recurring Items'!$D$31),0)+(IF(AC260=1,'Debt Tracker'!$P$29&gt;0.01,INDEX('Debt Tracker'!$T$5:$AE$29,25,AC260-1)&gt;0.01))*('Recurring Items'!$H$32&lt;&gt;"Skip")*(DAY(AB260)='Recurring Items'!$F$32)*IFERROR(N('Recurring Items'!$D$32),0)</f>
        <v>0</v>
      </c>
      <c r="AG260" s="1" t="n">
        <f aca="false">AD260-AE260-AF260</f>
        <v>0</v>
      </c>
      <c r="AH260" s="1" t="n">
        <f aca="false">AH259+AG260</f>
        <v>7183.3</v>
      </c>
    </row>
    <row r="261" customFormat="false" ht="15" hidden="false" customHeight="true" outlineLevel="0" collapsed="false">
      <c r="AA261" s="1" t="n">
        <v>61</v>
      </c>
      <c r="AB261" s="145" t="n">
        <f aca="false">$D$3+61</f>
        <v>46204</v>
      </c>
      <c r="AC261" s="1" t="n">
        <f aca="false">MIN(12,1+DATEDIF($D$3,AB261,"M"))</f>
        <v>3</v>
      </c>
      <c r="AD261" s="1" t="n">
        <f aca="false">SUMPRODUCT(('Recurring Items'!$C$6:$C$56="Income")*('Recurring Items'!$H$6:$H$56&lt;&gt;"Skip")*IFERROR(N('Recurring Items'!$D$6:$D$56),0)*(('Recurring Items'!$E$6:$E$56="Monthly")*(DAY(AB261)='Recurring Items'!$F$6:$F$56)+('Recurring Items'!$E$6:$E$56="Bi-weekly")*(WEEKDAY(AB261)=IFERROR(WEEKDAY('Recurring Items'!$G$6:$G$56),0))*(MOD(AB261-IFERROR('Recurring Items'!$G$6:$G$56,0),14)=0)*(AB261&gt;=IFERROR('Recurring Items'!$G$6:$G$56,9000000000))+('Recurring Items'!$E$6:$E$56="Weekly")*(WEEKDAY(AB261)=IFERROR(WEEKDAY('Recurring Items'!$G$6:$G$56),0))*(AB261&gt;=IFERROR('Recurring Items'!$G$6:$G$56,9000000000))+('Recurring Items'!$E$6:$E$56="One-time")*(AB261='Recurring Items'!$G$6:$G$56)))</f>
        <v>0</v>
      </c>
      <c r="AE261" s="1" t="n">
        <f aca="false">SUMPRODUCT(('Recurring Items'!$C$6:$C$56="Expense")*('Recurring Items'!$H$6:$H$56&lt;&gt;"Skip")*IFERROR(N('Recurring Items'!$D$6:$D$56),0)*(('Recurring Items'!$E$6:$E$56="Monthly")*(DAY(AB261)='Recurring Items'!$F$6:$F$56)+('Recurring Items'!$E$6:$E$56="Bi-weekly")*(WEEKDAY(AB261)=IFERROR(WEEKDAY('Recurring Items'!$G$6:$G$56),0))*(MOD(AB261-IFERROR('Recurring Items'!$G$6:$G$56,0),14)=0)*(AB261&gt;=IFERROR('Recurring Items'!$G$6:$G$56,9000000000))+('Recurring Items'!$E$6:$E$56="Weekly")*(WEEKDAY(AB261)=IFERROR(WEEKDAY('Recurring Items'!$G$6:$G$56),0))*(AB261&gt;=IFERROR('Recurring Items'!$G$6:$G$56,9000000000))+('Recurring Items'!$E$6:$E$56="One-time")*(AB261='Recurring Items'!$G$6:$G$56)))</f>
        <v>141.16</v>
      </c>
      <c r="AF261" s="1" t="n">
        <f aca="false">(IF(AC261=1,'Debt Tracker'!$P$5&gt;0.01,INDEX('Debt Tracker'!$T$5:$AE$29,1,AC261-1)&gt;0.01))*('Recurring Items'!$H$8&lt;&gt;"Skip")*(DAY(AB261)='Recurring Items'!$F$8)*IFERROR(N('Recurring Items'!$D$8),0)+(IF(AC261=1,'Debt Tracker'!$P$6&gt;0.01,INDEX('Debt Tracker'!$T$5:$AE$29,2,AC261-1)&gt;0.01))*('Recurring Items'!$H$9&lt;&gt;"Skip")*(DAY(AB261)='Recurring Items'!$F$9)*IFERROR(N('Recurring Items'!$D$9),0)+(IF(AC261=1,'Debt Tracker'!$P$7&gt;0.01,INDEX('Debt Tracker'!$T$5:$AE$29,3,AC261-1)&gt;0.01))*('Recurring Items'!$H$10&lt;&gt;"Skip")*(DAY(AB261)='Recurring Items'!$F$10)*IFERROR(N('Recurring Items'!$D$10),0)+(IF(AC261=1,'Debt Tracker'!$P$8&gt;0.01,INDEX('Debt Tracker'!$T$5:$AE$29,4,AC261-1)&gt;0.01))*('Recurring Items'!$H$11&lt;&gt;"Skip")*(DAY(AB261)='Recurring Items'!$F$11)*IFERROR(N('Recurring Items'!$D$11),0)+(IF(AC261=1,'Debt Tracker'!$P$9&gt;0.01,INDEX('Debt Tracker'!$T$5:$AE$29,5,AC261-1)&gt;0.01))*('Recurring Items'!$H$12&lt;&gt;"Skip")*(DAY(AB261)='Recurring Items'!$F$12)*IFERROR(N('Recurring Items'!$D$12),0)+(IF(AC261=1,'Debt Tracker'!$P$10&gt;0.01,INDEX('Debt Tracker'!$T$5:$AE$29,6,AC261-1)&gt;0.01))*('Recurring Items'!$H$13&lt;&gt;"Skip")*(DAY(AB261)='Recurring Items'!$F$13)*IFERROR(N('Recurring Items'!$D$13),0)+(IF(AC261=1,'Debt Tracker'!$P$11&gt;0.01,INDEX('Debt Tracker'!$T$5:$AE$29,7,AC261-1)&gt;0.01))*('Recurring Items'!$H$14&lt;&gt;"Skip")*(DAY(AB261)='Recurring Items'!$F$14)*IFERROR(N('Recurring Items'!$D$14),0)+(IF(AC261=1,'Debt Tracker'!$P$12&gt;0.01,INDEX('Debt Tracker'!$T$5:$AE$29,8,AC261-1)&gt;0.01))*('Recurring Items'!$H$15&lt;&gt;"Skip")*(DAY(AB261)='Recurring Items'!$F$15)*IFERROR(N('Recurring Items'!$D$15),0)+(IF(AC261=1,'Debt Tracker'!$P$13&gt;0.01,INDEX('Debt Tracker'!$T$5:$AE$29,9,AC261-1)&gt;0.01))*('Recurring Items'!$H$16&lt;&gt;"Skip")*(DAY(AB261)='Recurring Items'!$F$16)*IFERROR(N('Recurring Items'!$D$16),0)+(IF(AC261=1,'Debt Tracker'!$P$14&gt;0.01,INDEX('Debt Tracker'!$T$5:$AE$29,10,AC261-1)&gt;0.01))*('Recurring Items'!$H$17&lt;&gt;"Skip")*(DAY(AB261)='Recurring Items'!$F$17)*IFERROR(N('Recurring Items'!$D$17),0)+(IF(AC261=1,'Debt Tracker'!$P$15&gt;0.01,INDEX('Debt Tracker'!$T$5:$AE$29,11,AC261-1)&gt;0.01))*('Recurring Items'!$H$18&lt;&gt;"Skip")*(DAY(AB261)='Recurring Items'!$F$18)*IFERROR(N('Recurring Items'!$D$18),0)+(IF(AC261=1,'Debt Tracker'!$P$16&gt;0.01,INDEX('Debt Tracker'!$T$5:$AE$29,12,AC261-1)&gt;0.01))*('Recurring Items'!$H$19&lt;&gt;"Skip")*(DAY(AB261)='Recurring Items'!$F$19)*IFERROR(N('Recurring Items'!$D$19),0)+(IF(AC261=1,'Debt Tracker'!$P$17&gt;0.01,INDEX('Debt Tracker'!$T$5:$AE$29,13,AC261-1)&gt;0.01))*('Recurring Items'!$H$20&lt;&gt;"Skip")*(DAY(AB261)='Recurring Items'!$F$20)*IFERROR(N('Recurring Items'!$D$20),0)+(IF(AC261=1,'Debt Tracker'!$P$18&gt;0.01,INDEX('Debt Tracker'!$T$5:$AE$29,14,AC261-1)&gt;0.01))*('Recurring Items'!$H$21&lt;&gt;"Skip")*(DAY(AB261)='Recurring Items'!$F$21)*IFERROR(N('Recurring Items'!$D$21),0)+(IF(AC261=1,'Debt Tracker'!$P$19&gt;0.01,INDEX('Debt Tracker'!$T$5:$AE$29,15,AC261-1)&gt;0.01))*('Recurring Items'!$H$22&lt;&gt;"Skip")*(DAY(AB261)='Recurring Items'!$F$22)*IFERROR(N('Recurring Items'!$D$22),0)+(IF(AC261=1,'Debt Tracker'!$P$20&gt;0.01,INDEX('Debt Tracker'!$T$5:$AE$29,16,AC261-1)&gt;0.01))*('Recurring Items'!$H$23&lt;&gt;"Skip")*(DAY(AB261)='Recurring Items'!$F$23)*IFERROR(N('Recurring Items'!$D$23),0)+(IF(AC261=1,'Debt Tracker'!$P$21&gt;0.01,INDEX('Debt Tracker'!$T$5:$AE$29,17,AC261-1)&gt;0.01))*('Recurring Items'!$H$24&lt;&gt;"Skip")*(DAY(AB261)='Recurring Items'!$F$24)*IFERROR(N('Recurring Items'!$D$24),0)+(IF(AC261=1,'Debt Tracker'!$P$22&gt;0.01,INDEX('Debt Tracker'!$T$5:$AE$29,18,AC261-1)&gt;0.01))*('Recurring Items'!$H$25&lt;&gt;"Skip")*(DAY(AB261)='Recurring Items'!$F$25)*IFERROR(N('Recurring Items'!$D$25),0)+(IF(AC261=1,'Debt Tracker'!$P$23&gt;0.01,INDEX('Debt Tracker'!$T$5:$AE$29,19,AC261-1)&gt;0.01))*('Recurring Items'!$H$26&lt;&gt;"Skip")*(DAY(AB261)='Recurring Items'!$F$26)*IFERROR(N('Recurring Items'!$D$26),0)+(IF(AC261=1,'Debt Tracker'!$P$24&gt;0.01,INDEX('Debt Tracker'!$T$5:$AE$29,20,AC261-1)&gt;0.01))*('Recurring Items'!$H$27&lt;&gt;"Skip")*(DAY(AB261)='Recurring Items'!$F$27)*IFERROR(N('Recurring Items'!$D$27),0)+(IF(AC261=1,'Debt Tracker'!$P$25&gt;0.01,INDEX('Debt Tracker'!$T$5:$AE$29,21,AC261-1)&gt;0.01))*('Recurring Items'!$H$28&lt;&gt;"Skip")*(DAY(AB261)='Recurring Items'!$F$28)*IFERROR(N('Recurring Items'!$D$28),0)+(IF(AC261=1,'Debt Tracker'!$P$26&gt;0.01,INDEX('Debt Tracker'!$T$5:$AE$29,22,AC261-1)&gt;0.01))*('Recurring Items'!$H$29&lt;&gt;"Skip")*(DAY(AB261)='Recurring Items'!$F$29)*IFERROR(N('Recurring Items'!$D$29),0)+(IF(AC261=1,'Debt Tracker'!$P$27&gt;0.01,INDEX('Debt Tracker'!$T$5:$AE$29,23,AC261-1)&gt;0.01))*('Recurring Items'!$H$30&lt;&gt;"Skip")*(DAY(AB261)='Recurring Items'!$F$30)*IFERROR(N('Recurring Items'!$D$30),0)+(IF(AC261=1,'Debt Tracker'!$P$28&gt;0.01,INDEX('Debt Tracker'!$T$5:$AE$29,24,AC261-1)&gt;0.01))*('Recurring Items'!$H$31&lt;&gt;"Skip")*(DAY(AB261)='Recurring Items'!$F$31)*IFERROR(N('Recurring Items'!$D$31),0)+(IF(AC261=1,'Debt Tracker'!$P$29&gt;0.01,INDEX('Debt Tracker'!$T$5:$AE$29,25,AC261-1)&gt;0.01))*('Recurring Items'!$H$32&lt;&gt;"Skip")*(DAY(AB261)='Recurring Items'!$F$32)*IFERROR(N('Recurring Items'!$D$32),0)</f>
        <v>557.5</v>
      </c>
      <c r="AG261" s="1" t="n">
        <f aca="false">AD261-AE261-AF261</f>
        <v>-698.66</v>
      </c>
      <c r="AH261" s="1" t="n">
        <f aca="false">AH260+AG261</f>
        <v>6484.64</v>
      </c>
    </row>
    <row r="262" customFormat="false" ht="15" hidden="false" customHeight="true" outlineLevel="0" collapsed="false">
      <c r="AA262" s="1" t="n">
        <v>62</v>
      </c>
      <c r="AB262" s="145" t="n">
        <f aca="false">$D$3+62</f>
        <v>46205</v>
      </c>
      <c r="AC262" s="1" t="n">
        <f aca="false">MIN(12,1+DATEDIF($D$3,AB262,"M"))</f>
        <v>3</v>
      </c>
      <c r="AD262" s="1" t="n">
        <f aca="false">SUMPRODUCT(('Recurring Items'!$C$6:$C$56="Income")*('Recurring Items'!$H$6:$H$56&lt;&gt;"Skip")*IFERROR(N('Recurring Items'!$D$6:$D$56),0)*(('Recurring Items'!$E$6:$E$56="Monthly")*(DAY(AB262)='Recurring Items'!$F$6:$F$56)+('Recurring Items'!$E$6:$E$56="Bi-weekly")*(WEEKDAY(AB262)=IFERROR(WEEKDAY('Recurring Items'!$G$6:$G$56),0))*(MOD(AB262-IFERROR('Recurring Items'!$G$6:$G$56,0),14)=0)*(AB262&gt;=IFERROR('Recurring Items'!$G$6:$G$56,9000000000))+('Recurring Items'!$E$6:$E$56="Weekly")*(WEEKDAY(AB262)=IFERROR(WEEKDAY('Recurring Items'!$G$6:$G$56),0))*(AB262&gt;=IFERROR('Recurring Items'!$G$6:$G$56,9000000000))+('Recurring Items'!$E$6:$E$56="One-time")*(AB262='Recurring Items'!$G$6:$G$56)))</f>
        <v>2274.42</v>
      </c>
      <c r="AE262" s="1" t="n">
        <f aca="false">SUMPRODUCT(('Recurring Items'!$C$6:$C$56="Expense")*('Recurring Items'!$H$6:$H$56&lt;&gt;"Skip")*IFERROR(N('Recurring Items'!$D$6:$D$56),0)*(('Recurring Items'!$E$6:$E$56="Monthly")*(DAY(AB262)='Recurring Items'!$F$6:$F$56)+('Recurring Items'!$E$6:$E$56="Bi-weekly")*(WEEKDAY(AB262)=IFERROR(WEEKDAY('Recurring Items'!$G$6:$G$56),0))*(MOD(AB262-IFERROR('Recurring Items'!$G$6:$G$56,0),14)=0)*(AB262&gt;=IFERROR('Recurring Items'!$G$6:$G$56,9000000000))+('Recurring Items'!$E$6:$E$56="Weekly")*(WEEKDAY(AB262)=IFERROR(WEEKDAY('Recurring Items'!$G$6:$G$56),0))*(AB262&gt;=IFERROR('Recurring Items'!$G$6:$G$56,9000000000))+('Recurring Items'!$E$6:$E$56="One-time")*(AB262='Recurring Items'!$G$6:$G$56)))</f>
        <v>0</v>
      </c>
      <c r="AF262" s="1" t="n">
        <f aca="false">(IF(AC262=1,'Debt Tracker'!$P$5&gt;0.01,INDEX('Debt Tracker'!$T$5:$AE$29,1,AC262-1)&gt;0.01))*('Recurring Items'!$H$8&lt;&gt;"Skip")*(DAY(AB262)='Recurring Items'!$F$8)*IFERROR(N('Recurring Items'!$D$8),0)+(IF(AC262=1,'Debt Tracker'!$P$6&gt;0.01,INDEX('Debt Tracker'!$T$5:$AE$29,2,AC262-1)&gt;0.01))*('Recurring Items'!$H$9&lt;&gt;"Skip")*(DAY(AB262)='Recurring Items'!$F$9)*IFERROR(N('Recurring Items'!$D$9),0)+(IF(AC262=1,'Debt Tracker'!$P$7&gt;0.01,INDEX('Debt Tracker'!$T$5:$AE$29,3,AC262-1)&gt;0.01))*('Recurring Items'!$H$10&lt;&gt;"Skip")*(DAY(AB262)='Recurring Items'!$F$10)*IFERROR(N('Recurring Items'!$D$10),0)+(IF(AC262=1,'Debt Tracker'!$P$8&gt;0.01,INDEX('Debt Tracker'!$T$5:$AE$29,4,AC262-1)&gt;0.01))*('Recurring Items'!$H$11&lt;&gt;"Skip")*(DAY(AB262)='Recurring Items'!$F$11)*IFERROR(N('Recurring Items'!$D$11),0)+(IF(AC262=1,'Debt Tracker'!$P$9&gt;0.01,INDEX('Debt Tracker'!$T$5:$AE$29,5,AC262-1)&gt;0.01))*('Recurring Items'!$H$12&lt;&gt;"Skip")*(DAY(AB262)='Recurring Items'!$F$12)*IFERROR(N('Recurring Items'!$D$12),0)+(IF(AC262=1,'Debt Tracker'!$P$10&gt;0.01,INDEX('Debt Tracker'!$T$5:$AE$29,6,AC262-1)&gt;0.01))*('Recurring Items'!$H$13&lt;&gt;"Skip")*(DAY(AB262)='Recurring Items'!$F$13)*IFERROR(N('Recurring Items'!$D$13),0)+(IF(AC262=1,'Debt Tracker'!$P$11&gt;0.01,INDEX('Debt Tracker'!$T$5:$AE$29,7,AC262-1)&gt;0.01))*('Recurring Items'!$H$14&lt;&gt;"Skip")*(DAY(AB262)='Recurring Items'!$F$14)*IFERROR(N('Recurring Items'!$D$14),0)+(IF(AC262=1,'Debt Tracker'!$P$12&gt;0.01,INDEX('Debt Tracker'!$T$5:$AE$29,8,AC262-1)&gt;0.01))*('Recurring Items'!$H$15&lt;&gt;"Skip")*(DAY(AB262)='Recurring Items'!$F$15)*IFERROR(N('Recurring Items'!$D$15),0)+(IF(AC262=1,'Debt Tracker'!$P$13&gt;0.01,INDEX('Debt Tracker'!$T$5:$AE$29,9,AC262-1)&gt;0.01))*('Recurring Items'!$H$16&lt;&gt;"Skip")*(DAY(AB262)='Recurring Items'!$F$16)*IFERROR(N('Recurring Items'!$D$16),0)+(IF(AC262=1,'Debt Tracker'!$P$14&gt;0.01,INDEX('Debt Tracker'!$T$5:$AE$29,10,AC262-1)&gt;0.01))*('Recurring Items'!$H$17&lt;&gt;"Skip")*(DAY(AB262)='Recurring Items'!$F$17)*IFERROR(N('Recurring Items'!$D$17),0)+(IF(AC262=1,'Debt Tracker'!$P$15&gt;0.01,INDEX('Debt Tracker'!$T$5:$AE$29,11,AC262-1)&gt;0.01))*('Recurring Items'!$H$18&lt;&gt;"Skip")*(DAY(AB262)='Recurring Items'!$F$18)*IFERROR(N('Recurring Items'!$D$18),0)+(IF(AC262=1,'Debt Tracker'!$P$16&gt;0.01,INDEX('Debt Tracker'!$T$5:$AE$29,12,AC262-1)&gt;0.01))*('Recurring Items'!$H$19&lt;&gt;"Skip")*(DAY(AB262)='Recurring Items'!$F$19)*IFERROR(N('Recurring Items'!$D$19),0)+(IF(AC262=1,'Debt Tracker'!$P$17&gt;0.01,INDEX('Debt Tracker'!$T$5:$AE$29,13,AC262-1)&gt;0.01))*('Recurring Items'!$H$20&lt;&gt;"Skip")*(DAY(AB262)='Recurring Items'!$F$20)*IFERROR(N('Recurring Items'!$D$20),0)+(IF(AC262=1,'Debt Tracker'!$P$18&gt;0.01,INDEX('Debt Tracker'!$T$5:$AE$29,14,AC262-1)&gt;0.01))*('Recurring Items'!$H$21&lt;&gt;"Skip")*(DAY(AB262)='Recurring Items'!$F$21)*IFERROR(N('Recurring Items'!$D$21),0)+(IF(AC262=1,'Debt Tracker'!$P$19&gt;0.01,INDEX('Debt Tracker'!$T$5:$AE$29,15,AC262-1)&gt;0.01))*('Recurring Items'!$H$22&lt;&gt;"Skip")*(DAY(AB262)='Recurring Items'!$F$22)*IFERROR(N('Recurring Items'!$D$22),0)+(IF(AC262=1,'Debt Tracker'!$P$20&gt;0.01,INDEX('Debt Tracker'!$T$5:$AE$29,16,AC262-1)&gt;0.01))*('Recurring Items'!$H$23&lt;&gt;"Skip")*(DAY(AB262)='Recurring Items'!$F$23)*IFERROR(N('Recurring Items'!$D$23),0)+(IF(AC262=1,'Debt Tracker'!$P$21&gt;0.01,INDEX('Debt Tracker'!$T$5:$AE$29,17,AC262-1)&gt;0.01))*('Recurring Items'!$H$24&lt;&gt;"Skip")*(DAY(AB262)='Recurring Items'!$F$24)*IFERROR(N('Recurring Items'!$D$24),0)+(IF(AC262=1,'Debt Tracker'!$P$22&gt;0.01,INDEX('Debt Tracker'!$T$5:$AE$29,18,AC262-1)&gt;0.01))*('Recurring Items'!$H$25&lt;&gt;"Skip")*(DAY(AB262)='Recurring Items'!$F$25)*IFERROR(N('Recurring Items'!$D$25),0)+(IF(AC262=1,'Debt Tracker'!$P$23&gt;0.01,INDEX('Debt Tracker'!$T$5:$AE$29,19,AC262-1)&gt;0.01))*('Recurring Items'!$H$26&lt;&gt;"Skip")*(DAY(AB262)='Recurring Items'!$F$26)*IFERROR(N('Recurring Items'!$D$26),0)+(IF(AC262=1,'Debt Tracker'!$P$24&gt;0.01,INDEX('Debt Tracker'!$T$5:$AE$29,20,AC262-1)&gt;0.01))*('Recurring Items'!$H$27&lt;&gt;"Skip")*(DAY(AB262)='Recurring Items'!$F$27)*IFERROR(N('Recurring Items'!$D$27),0)+(IF(AC262=1,'Debt Tracker'!$P$25&gt;0.01,INDEX('Debt Tracker'!$T$5:$AE$29,21,AC262-1)&gt;0.01))*('Recurring Items'!$H$28&lt;&gt;"Skip")*(DAY(AB262)='Recurring Items'!$F$28)*IFERROR(N('Recurring Items'!$D$28),0)+(IF(AC262=1,'Debt Tracker'!$P$26&gt;0.01,INDEX('Debt Tracker'!$T$5:$AE$29,22,AC262-1)&gt;0.01))*('Recurring Items'!$H$29&lt;&gt;"Skip")*(DAY(AB262)='Recurring Items'!$F$29)*IFERROR(N('Recurring Items'!$D$29),0)+(IF(AC262=1,'Debt Tracker'!$P$27&gt;0.01,INDEX('Debt Tracker'!$T$5:$AE$29,23,AC262-1)&gt;0.01))*('Recurring Items'!$H$30&lt;&gt;"Skip")*(DAY(AB262)='Recurring Items'!$F$30)*IFERROR(N('Recurring Items'!$D$30),0)+(IF(AC262=1,'Debt Tracker'!$P$28&gt;0.01,INDEX('Debt Tracker'!$T$5:$AE$29,24,AC262-1)&gt;0.01))*('Recurring Items'!$H$31&lt;&gt;"Skip")*(DAY(AB262)='Recurring Items'!$F$31)*IFERROR(N('Recurring Items'!$D$31),0)+(IF(AC262=1,'Debt Tracker'!$P$29&gt;0.01,INDEX('Debt Tracker'!$T$5:$AE$29,25,AC262-1)&gt;0.01))*('Recurring Items'!$H$32&lt;&gt;"Skip")*(DAY(AB262)='Recurring Items'!$F$32)*IFERROR(N('Recurring Items'!$D$32),0)</f>
        <v>1309.17</v>
      </c>
      <c r="AG262" s="1" t="n">
        <f aca="false">AD262-AE262-AF262</f>
        <v>965.25</v>
      </c>
      <c r="AH262" s="1" t="n">
        <f aca="false">AH261+AG262</f>
        <v>7449.89</v>
      </c>
    </row>
    <row r="263" customFormat="false" ht="15" hidden="false" customHeight="true" outlineLevel="0" collapsed="false">
      <c r="AA263" s="1" t="n">
        <v>63</v>
      </c>
      <c r="AB263" s="145" t="n">
        <f aca="false">$D$3+63</f>
        <v>46206</v>
      </c>
      <c r="AC263" s="1" t="n">
        <f aca="false">MIN(12,1+DATEDIF($D$3,AB263,"M"))</f>
        <v>3</v>
      </c>
      <c r="AD263" s="1" t="n">
        <f aca="false">SUMPRODUCT(('Recurring Items'!$C$6:$C$56="Income")*('Recurring Items'!$H$6:$H$56&lt;&gt;"Skip")*IFERROR(N('Recurring Items'!$D$6:$D$56),0)*(('Recurring Items'!$E$6:$E$56="Monthly")*(DAY(AB263)='Recurring Items'!$F$6:$F$56)+('Recurring Items'!$E$6:$E$56="Bi-weekly")*(WEEKDAY(AB263)=IFERROR(WEEKDAY('Recurring Items'!$G$6:$G$56),0))*(MOD(AB263-IFERROR('Recurring Items'!$G$6:$G$56,0),14)=0)*(AB263&gt;=IFERROR('Recurring Items'!$G$6:$G$56,9000000000))+('Recurring Items'!$E$6:$E$56="Weekly")*(WEEKDAY(AB263)=IFERROR(WEEKDAY('Recurring Items'!$G$6:$G$56),0))*(AB263&gt;=IFERROR('Recurring Items'!$G$6:$G$56,9000000000))+('Recurring Items'!$E$6:$E$56="One-time")*(AB263='Recurring Items'!$G$6:$G$56)))</f>
        <v>0</v>
      </c>
      <c r="AE263" s="1" t="n">
        <f aca="false">SUMPRODUCT(('Recurring Items'!$C$6:$C$56="Expense")*('Recurring Items'!$H$6:$H$56&lt;&gt;"Skip")*IFERROR(N('Recurring Items'!$D$6:$D$56),0)*(('Recurring Items'!$E$6:$E$56="Monthly")*(DAY(AB263)='Recurring Items'!$F$6:$F$56)+('Recurring Items'!$E$6:$E$56="Bi-weekly")*(WEEKDAY(AB263)=IFERROR(WEEKDAY('Recurring Items'!$G$6:$G$56),0))*(MOD(AB263-IFERROR('Recurring Items'!$G$6:$G$56,0),14)=0)*(AB263&gt;=IFERROR('Recurring Items'!$G$6:$G$56,9000000000))+('Recurring Items'!$E$6:$E$56="Weekly")*(WEEKDAY(AB263)=IFERROR(WEEKDAY('Recurring Items'!$G$6:$G$56),0))*(AB263&gt;=IFERROR('Recurring Items'!$G$6:$G$56,9000000000))+('Recurring Items'!$E$6:$E$56="One-time")*(AB263='Recurring Items'!$G$6:$G$56)))</f>
        <v>1387.53</v>
      </c>
      <c r="AF263" s="1" t="n">
        <f aca="false">(IF(AC263=1,'Debt Tracker'!$P$5&gt;0.01,INDEX('Debt Tracker'!$T$5:$AE$29,1,AC263-1)&gt;0.01))*('Recurring Items'!$H$8&lt;&gt;"Skip")*(DAY(AB263)='Recurring Items'!$F$8)*IFERROR(N('Recurring Items'!$D$8),0)+(IF(AC263=1,'Debt Tracker'!$P$6&gt;0.01,INDEX('Debt Tracker'!$T$5:$AE$29,2,AC263-1)&gt;0.01))*('Recurring Items'!$H$9&lt;&gt;"Skip")*(DAY(AB263)='Recurring Items'!$F$9)*IFERROR(N('Recurring Items'!$D$9),0)+(IF(AC263=1,'Debt Tracker'!$P$7&gt;0.01,INDEX('Debt Tracker'!$T$5:$AE$29,3,AC263-1)&gt;0.01))*('Recurring Items'!$H$10&lt;&gt;"Skip")*(DAY(AB263)='Recurring Items'!$F$10)*IFERROR(N('Recurring Items'!$D$10),0)+(IF(AC263=1,'Debt Tracker'!$P$8&gt;0.01,INDEX('Debt Tracker'!$T$5:$AE$29,4,AC263-1)&gt;0.01))*('Recurring Items'!$H$11&lt;&gt;"Skip")*(DAY(AB263)='Recurring Items'!$F$11)*IFERROR(N('Recurring Items'!$D$11),0)+(IF(AC263=1,'Debt Tracker'!$P$9&gt;0.01,INDEX('Debt Tracker'!$T$5:$AE$29,5,AC263-1)&gt;0.01))*('Recurring Items'!$H$12&lt;&gt;"Skip")*(DAY(AB263)='Recurring Items'!$F$12)*IFERROR(N('Recurring Items'!$D$12),0)+(IF(AC263=1,'Debt Tracker'!$P$10&gt;0.01,INDEX('Debt Tracker'!$T$5:$AE$29,6,AC263-1)&gt;0.01))*('Recurring Items'!$H$13&lt;&gt;"Skip")*(DAY(AB263)='Recurring Items'!$F$13)*IFERROR(N('Recurring Items'!$D$13),0)+(IF(AC263=1,'Debt Tracker'!$P$11&gt;0.01,INDEX('Debt Tracker'!$T$5:$AE$29,7,AC263-1)&gt;0.01))*('Recurring Items'!$H$14&lt;&gt;"Skip")*(DAY(AB263)='Recurring Items'!$F$14)*IFERROR(N('Recurring Items'!$D$14),0)+(IF(AC263=1,'Debt Tracker'!$P$12&gt;0.01,INDEX('Debt Tracker'!$T$5:$AE$29,8,AC263-1)&gt;0.01))*('Recurring Items'!$H$15&lt;&gt;"Skip")*(DAY(AB263)='Recurring Items'!$F$15)*IFERROR(N('Recurring Items'!$D$15),0)+(IF(AC263=1,'Debt Tracker'!$P$13&gt;0.01,INDEX('Debt Tracker'!$T$5:$AE$29,9,AC263-1)&gt;0.01))*('Recurring Items'!$H$16&lt;&gt;"Skip")*(DAY(AB263)='Recurring Items'!$F$16)*IFERROR(N('Recurring Items'!$D$16),0)+(IF(AC263=1,'Debt Tracker'!$P$14&gt;0.01,INDEX('Debt Tracker'!$T$5:$AE$29,10,AC263-1)&gt;0.01))*('Recurring Items'!$H$17&lt;&gt;"Skip")*(DAY(AB263)='Recurring Items'!$F$17)*IFERROR(N('Recurring Items'!$D$17),0)+(IF(AC263=1,'Debt Tracker'!$P$15&gt;0.01,INDEX('Debt Tracker'!$T$5:$AE$29,11,AC263-1)&gt;0.01))*('Recurring Items'!$H$18&lt;&gt;"Skip")*(DAY(AB263)='Recurring Items'!$F$18)*IFERROR(N('Recurring Items'!$D$18),0)+(IF(AC263=1,'Debt Tracker'!$P$16&gt;0.01,INDEX('Debt Tracker'!$T$5:$AE$29,12,AC263-1)&gt;0.01))*('Recurring Items'!$H$19&lt;&gt;"Skip")*(DAY(AB263)='Recurring Items'!$F$19)*IFERROR(N('Recurring Items'!$D$19),0)+(IF(AC263=1,'Debt Tracker'!$P$17&gt;0.01,INDEX('Debt Tracker'!$T$5:$AE$29,13,AC263-1)&gt;0.01))*('Recurring Items'!$H$20&lt;&gt;"Skip")*(DAY(AB263)='Recurring Items'!$F$20)*IFERROR(N('Recurring Items'!$D$20),0)+(IF(AC263=1,'Debt Tracker'!$P$18&gt;0.01,INDEX('Debt Tracker'!$T$5:$AE$29,14,AC263-1)&gt;0.01))*('Recurring Items'!$H$21&lt;&gt;"Skip")*(DAY(AB263)='Recurring Items'!$F$21)*IFERROR(N('Recurring Items'!$D$21),0)+(IF(AC263=1,'Debt Tracker'!$P$19&gt;0.01,INDEX('Debt Tracker'!$T$5:$AE$29,15,AC263-1)&gt;0.01))*('Recurring Items'!$H$22&lt;&gt;"Skip")*(DAY(AB263)='Recurring Items'!$F$22)*IFERROR(N('Recurring Items'!$D$22),0)+(IF(AC263=1,'Debt Tracker'!$P$20&gt;0.01,INDEX('Debt Tracker'!$T$5:$AE$29,16,AC263-1)&gt;0.01))*('Recurring Items'!$H$23&lt;&gt;"Skip")*(DAY(AB263)='Recurring Items'!$F$23)*IFERROR(N('Recurring Items'!$D$23),0)+(IF(AC263=1,'Debt Tracker'!$P$21&gt;0.01,INDEX('Debt Tracker'!$T$5:$AE$29,17,AC263-1)&gt;0.01))*('Recurring Items'!$H$24&lt;&gt;"Skip")*(DAY(AB263)='Recurring Items'!$F$24)*IFERROR(N('Recurring Items'!$D$24),0)+(IF(AC263=1,'Debt Tracker'!$P$22&gt;0.01,INDEX('Debt Tracker'!$T$5:$AE$29,18,AC263-1)&gt;0.01))*('Recurring Items'!$H$25&lt;&gt;"Skip")*(DAY(AB263)='Recurring Items'!$F$25)*IFERROR(N('Recurring Items'!$D$25),0)+(IF(AC263=1,'Debt Tracker'!$P$23&gt;0.01,INDEX('Debt Tracker'!$T$5:$AE$29,19,AC263-1)&gt;0.01))*('Recurring Items'!$H$26&lt;&gt;"Skip")*(DAY(AB263)='Recurring Items'!$F$26)*IFERROR(N('Recurring Items'!$D$26),0)+(IF(AC263=1,'Debt Tracker'!$P$24&gt;0.01,INDEX('Debt Tracker'!$T$5:$AE$29,20,AC263-1)&gt;0.01))*('Recurring Items'!$H$27&lt;&gt;"Skip")*(DAY(AB263)='Recurring Items'!$F$27)*IFERROR(N('Recurring Items'!$D$27),0)+(IF(AC263=1,'Debt Tracker'!$P$25&gt;0.01,INDEX('Debt Tracker'!$T$5:$AE$29,21,AC263-1)&gt;0.01))*('Recurring Items'!$H$28&lt;&gt;"Skip")*(DAY(AB263)='Recurring Items'!$F$28)*IFERROR(N('Recurring Items'!$D$28),0)+(IF(AC263=1,'Debt Tracker'!$P$26&gt;0.01,INDEX('Debt Tracker'!$T$5:$AE$29,22,AC263-1)&gt;0.01))*('Recurring Items'!$H$29&lt;&gt;"Skip")*(DAY(AB263)='Recurring Items'!$F$29)*IFERROR(N('Recurring Items'!$D$29),0)+(IF(AC263=1,'Debt Tracker'!$P$27&gt;0.01,INDEX('Debt Tracker'!$T$5:$AE$29,23,AC263-1)&gt;0.01))*('Recurring Items'!$H$30&lt;&gt;"Skip")*(DAY(AB263)='Recurring Items'!$F$30)*IFERROR(N('Recurring Items'!$D$30),0)+(IF(AC263=1,'Debt Tracker'!$P$28&gt;0.01,INDEX('Debt Tracker'!$T$5:$AE$29,24,AC263-1)&gt;0.01))*('Recurring Items'!$H$31&lt;&gt;"Skip")*(DAY(AB263)='Recurring Items'!$F$31)*IFERROR(N('Recurring Items'!$D$31),0)+(IF(AC263=1,'Debt Tracker'!$P$29&gt;0.01,INDEX('Debt Tracker'!$T$5:$AE$29,25,AC263-1)&gt;0.01))*('Recurring Items'!$H$32&lt;&gt;"Skip")*(DAY(AB263)='Recurring Items'!$F$32)*IFERROR(N('Recurring Items'!$D$32),0)</f>
        <v>0</v>
      </c>
      <c r="AG263" s="1" t="n">
        <f aca="false">AD263-AE263-AF263</f>
        <v>-1387.53</v>
      </c>
      <c r="AH263" s="1" t="n">
        <f aca="false">AH262+AG263</f>
        <v>6062.36</v>
      </c>
    </row>
    <row r="264" customFormat="false" ht="15" hidden="false" customHeight="true" outlineLevel="0" collapsed="false">
      <c r="AA264" s="1" t="n">
        <v>64</v>
      </c>
      <c r="AB264" s="145" t="n">
        <f aca="false">$D$3+64</f>
        <v>46207</v>
      </c>
      <c r="AC264" s="1" t="n">
        <f aca="false">MIN(12,1+DATEDIF($D$3,AB264,"M"))</f>
        <v>3</v>
      </c>
      <c r="AD264" s="1" t="n">
        <f aca="false">SUMPRODUCT(('Recurring Items'!$C$6:$C$56="Income")*('Recurring Items'!$H$6:$H$56&lt;&gt;"Skip")*IFERROR(N('Recurring Items'!$D$6:$D$56),0)*(('Recurring Items'!$E$6:$E$56="Monthly")*(DAY(AB264)='Recurring Items'!$F$6:$F$56)+('Recurring Items'!$E$6:$E$56="Bi-weekly")*(WEEKDAY(AB264)=IFERROR(WEEKDAY('Recurring Items'!$G$6:$G$56),0))*(MOD(AB264-IFERROR('Recurring Items'!$G$6:$G$56,0),14)=0)*(AB264&gt;=IFERROR('Recurring Items'!$G$6:$G$56,9000000000))+('Recurring Items'!$E$6:$E$56="Weekly")*(WEEKDAY(AB264)=IFERROR(WEEKDAY('Recurring Items'!$G$6:$G$56),0))*(AB264&gt;=IFERROR('Recurring Items'!$G$6:$G$56,9000000000))+('Recurring Items'!$E$6:$E$56="One-time")*(AB264='Recurring Items'!$G$6:$G$56)))</f>
        <v>0</v>
      </c>
      <c r="AE264" s="1" t="n">
        <f aca="false">SUMPRODUCT(('Recurring Items'!$C$6:$C$56="Expense")*('Recurring Items'!$H$6:$H$56&lt;&gt;"Skip")*IFERROR(N('Recurring Items'!$D$6:$D$56),0)*(('Recurring Items'!$E$6:$E$56="Monthly")*(DAY(AB264)='Recurring Items'!$F$6:$F$56)+('Recurring Items'!$E$6:$E$56="Bi-weekly")*(WEEKDAY(AB264)=IFERROR(WEEKDAY('Recurring Items'!$G$6:$G$56),0))*(MOD(AB264-IFERROR('Recurring Items'!$G$6:$G$56,0),14)=0)*(AB264&gt;=IFERROR('Recurring Items'!$G$6:$G$56,9000000000))+('Recurring Items'!$E$6:$E$56="Weekly")*(WEEKDAY(AB264)=IFERROR(WEEKDAY('Recurring Items'!$G$6:$G$56),0))*(AB264&gt;=IFERROR('Recurring Items'!$G$6:$G$56,9000000000))+('Recurring Items'!$E$6:$E$56="One-time")*(AB264='Recurring Items'!$G$6:$G$56)))</f>
        <v>0</v>
      </c>
      <c r="AF264" s="1" t="n">
        <f aca="false">(IF(AC264=1,'Debt Tracker'!$P$5&gt;0.01,INDEX('Debt Tracker'!$T$5:$AE$29,1,AC264-1)&gt;0.01))*('Recurring Items'!$H$8&lt;&gt;"Skip")*(DAY(AB264)='Recurring Items'!$F$8)*IFERROR(N('Recurring Items'!$D$8),0)+(IF(AC264=1,'Debt Tracker'!$P$6&gt;0.01,INDEX('Debt Tracker'!$T$5:$AE$29,2,AC264-1)&gt;0.01))*('Recurring Items'!$H$9&lt;&gt;"Skip")*(DAY(AB264)='Recurring Items'!$F$9)*IFERROR(N('Recurring Items'!$D$9),0)+(IF(AC264=1,'Debt Tracker'!$P$7&gt;0.01,INDEX('Debt Tracker'!$T$5:$AE$29,3,AC264-1)&gt;0.01))*('Recurring Items'!$H$10&lt;&gt;"Skip")*(DAY(AB264)='Recurring Items'!$F$10)*IFERROR(N('Recurring Items'!$D$10),0)+(IF(AC264=1,'Debt Tracker'!$P$8&gt;0.01,INDEX('Debt Tracker'!$T$5:$AE$29,4,AC264-1)&gt;0.01))*('Recurring Items'!$H$11&lt;&gt;"Skip")*(DAY(AB264)='Recurring Items'!$F$11)*IFERROR(N('Recurring Items'!$D$11),0)+(IF(AC264=1,'Debt Tracker'!$P$9&gt;0.01,INDEX('Debt Tracker'!$T$5:$AE$29,5,AC264-1)&gt;0.01))*('Recurring Items'!$H$12&lt;&gt;"Skip")*(DAY(AB264)='Recurring Items'!$F$12)*IFERROR(N('Recurring Items'!$D$12),0)+(IF(AC264=1,'Debt Tracker'!$P$10&gt;0.01,INDEX('Debt Tracker'!$T$5:$AE$29,6,AC264-1)&gt;0.01))*('Recurring Items'!$H$13&lt;&gt;"Skip")*(DAY(AB264)='Recurring Items'!$F$13)*IFERROR(N('Recurring Items'!$D$13),0)+(IF(AC264=1,'Debt Tracker'!$P$11&gt;0.01,INDEX('Debt Tracker'!$T$5:$AE$29,7,AC264-1)&gt;0.01))*('Recurring Items'!$H$14&lt;&gt;"Skip")*(DAY(AB264)='Recurring Items'!$F$14)*IFERROR(N('Recurring Items'!$D$14),0)+(IF(AC264=1,'Debt Tracker'!$P$12&gt;0.01,INDEX('Debt Tracker'!$T$5:$AE$29,8,AC264-1)&gt;0.01))*('Recurring Items'!$H$15&lt;&gt;"Skip")*(DAY(AB264)='Recurring Items'!$F$15)*IFERROR(N('Recurring Items'!$D$15),0)+(IF(AC264=1,'Debt Tracker'!$P$13&gt;0.01,INDEX('Debt Tracker'!$T$5:$AE$29,9,AC264-1)&gt;0.01))*('Recurring Items'!$H$16&lt;&gt;"Skip")*(DAY(AB264)='Recurring Items'!$F$16)*IFERROR(N('Recurring Items'!$D$16),0)+(IF(AC264=1,'Debt Tracker'!$P$14&gt;0.01,INDEX('Debt Tracker'!$T$5:$AE$29,10,AC264-1)&gt;0.01))*('Recurring Items'!$H$17&lt;&gt;"Skip")*(DAY(AB264)='Recurring Items'!$F$17)*IFERROR(N('Recurring Items'!$D$17),0)+(IF(AC264=1,'Debt Tracker'!$P$15&gt;0.01,INDEX('Debt Tracker'!$T$5:$AE$29,11,AC264-1)&gt;0.01))*('Recurring Items'!$H$18&lt;&gt;"Skip")*(DAY(AB264)='Recurring Items'!$F$18)*IFERROR(N('Recurring Items'!$D$18),0)+(IF(AC264=1,'Debt Tracker'!$P$16&gt;0.01,INDEX('Debt Tracker'!$T$5:$AE$29,12,AC264-1)&gt;0.01))*('Recurring Items'!$H$19&lt;&gt;"Skip")*(DAY(AB264)='Recurring Items'!$F$19)*IFERROR(N('Recurring Items'!$D$19),0)+(IF(AC264=1,'Debt Tracker'!$P$17&gt;0.01,INDEX('Debt Tracker'!$T$5:$AE$29,13,AC264-1)&gt;0.01))*('Recurring Items'!$H$20&lt;&gt;"Skip")*(DAY(AB264)='Recurring Items'!$F$20)*IFERROR(N('Recurring Items'!$D$20),0)+(IF(AC264=1,'Debt Tracker'!$P$18&gt;0.01,INDEX('Debt Tracker'!$T$5:$AE$29,14,AC264-1)&gt;0.01))*('Recurring Items'!$H$21&lt;&gt;"Skip")*(DAY(AB264)='Recurring Items'!$F$21)*IFERROR(N('Recurring Items'!$D$21),0)+(IF(AC264=1,'Debt Tracker'!$P$19&gt;0.01,INDEX('Debt Tracker'!$T$5:$AE$29,15,AC264-1)&gt;0.01))*('Recurring Items'!$H$22&lt;&gt;"Skip")*(DAY(AB264)='Recurring Items'!$F$22)*IFERROR(N('Recurring Items'!$D$22),0)+(IF(AC264=1,'Debt Tracker'!$P$20&gt;0.01,INDEX('Debt Tracker'!$T$5:$AE$29,16,AC264-1)&gt;0.01))*('Recurring Items'!$H$23&lt;&gt;"Skip")*(DAY(AB264)='Recurring Items'!$F$23)*IFERROR(N('Recurring Items'!$D$23),0)+(IF(AC264=1,'Debt Tracker'!$P$21&gt;0.01,INDEX('Debt Tracker'!$T$5:$AE$29,17,AC264-1)&gt;0.01))*('Recurring Items'!$H$24&lt;&gt;"Skip")*(DAY(AB264)='Recurring Items'!$F$24)*IFERROR(N('Recurring Items'!$D$24),0)+(IF(AC264=1,'Debt Tracker'!$P$22&gt;0.01,INDEX('Debt Tracker'!$T$5:$AE$29,18,AC264-1)&gt;0.01))*('Recurring Items'!$H$25&lt;&gt;"Skip")*(DAY(AB264)='Recurring Items'!$F$25)*IFERROR(N('Recurring Items'!$D$25),0)+(IF(AC264=1,'Debt Tracker'!$P$23&gt;0.01,INDEX('Debt Tracker'!$T$5:$AE$29,19,AC264-1)&gt;0.01))*('Recurring Items'!$H$26&lt;&gt;"Skip")*(DAY(AB264)='Recurring Items'!$F$26)*IFERROR(N('Recurring Items'!$D$26),0)+(IF(AC264=1,'Debt Tracker'!$P$24&gt;0.01,INDEX('Debt Tracker'!$T$5:$AE$29,20,AC264-1)&gt;0.01))*('Recurring Items'!$H$27&lt;&gt;"Skip")*(DAY(AB264)='Recurring Items'!$F$27)*IFERROR(N('Recurring Items'!$D$27),0)+(IF(AC264=1,'Debt Tracker'!$P$25&gt;0.01,INDEX('Debt Tracker'!$T$5:$AE$29,21,AC264-1)&gt;0.01))*('Recurring Items'!$H$28&lt;&gt;"Skip")*(DAY(AB264)='Recurring Items'!$F$28)*IFERROR(N('Recurring Items'!$D$28),0)+(IF(AC264=1,'Debt Tracker'!$P$26&gt;0.01,INDEX('Debt Tracker'!$T$5:$AE$29,22,AC264-1)&gt;0.01))*('Recurring Items'!$H$29&lt;&gt;"Skip")*(DAY(AB264)='Recurring Items'!$F$29)*IFERROR(N('Recurring Items'!$D$29),0)+(IF(AC264=1,'Debt Tracker'!$P$27&gt;0.01,INDEX('Debt Tracker'!$T$5:$AE$29,23,AC264-1)&gt;0.01))*('Recurring Items'!$H$30&lt;&gt;"Skip")*(DAY(AB264)='Recurring Items'!$F$30)*IFERROR(N('Recurring Items'!$D$30),0)+(IF(AC264=1,'Debt Tracker'!$P$28&gt;0.01,INDEX('Debt Tracker'!$T$5:$AE$29,24,AC264-1)&gt;0.01))*('Recurring Items'!$H$31&lt;&gt;"Skip")*(DAY(AB264)='Recurring Items'!$F$31)*IFERROR(N('Recurring Items'!$D$31),0)+(IF(AC264=1,'Debt Tracker'!$P$29&gt;0.01,INDEX('Debt Tracker'!$T$5:$AE$29,25,AC264-1)&gt;0.01))*('Recurring Items'!$H$32&lt;&gt;"Skip")*(DAY(AB264)='Recurring Items'!$F$32)*IFERROR(N('Recurring Items'!$D$32),0)</f>
        <v>0</v>
      </c>
      <c r="AG264" s="1" t="n">
        <f aca="false">AD264-AE264-AF264</f>
        <v>0</v>
      </c>
      <c r="AH264" s="1" t="n">
        <f aca="false">AH263+AG264</f>
        <v>6062.36</v>
      </c>
    </row>
    <row r="265" customFormat="false" ht="15" hidden="false" customHeight="true" outlineLevel="0" collapsed="false">
      <c r="AA265" s="1" t="n">
        <v>65</v>
      </c>
      <c r="AB265" s="145" t="n">
        <f aca="false">$D$3+65</f>
        <v>46208</v>
      </c>
      <c r="AC265" s="1" t="n">
        <f aca="false">MIN(12,1+DATEDIF($D$3,AB265,"M"))</f>
        <v>3</v>
      </c>
      <c r="AD265" s="1" t="n">
        <f aca="false">SUMPRODUCT(('Recurring Items'!$C$6:$C$56="Income")*('Recurring Items'!$H$6:$H$56&lt;&gt;"Skip")*IFERROR(N('Recurring Items'!$D$6:$D$56),0)*(('Recurring Items'!$E$6:$E$56="Monthly")*(DAY(AB265)='Recurring Items'!$F$6:$F$56)+('Recurring Items'!$E$6:$E$56="Bi-weekly")*(WEEKDAY(AB265)=IFERROR(WEEKDAY('Recurring Items'!$G$6:$G$56),0))*(MOD(AB265-IFERROR('Recurring Items'!$G$6:$G$56,0),14)=0)*(AB265&gt;=IFERROR('Recurring Items'!$G$6:$G$56,9000000000))+('Recurring Items'!$E$6:$E$56="Weekly")*(WEEKDAY(AB265)=IFERROR(WEEKDAY('Recurring Items'!$G$6:$G$56),0))*(AB265&gt;=IFERROR('Recurring Items'!$G$6:$G$56,9000000000))+('Recurring Items'!$E$6:$E$56="One-time")*(AB265='Recurring Items'!$G$6:$G$56)))</f>
        <v>0</v>
      </c>
      <c r="AE265" s="1" t="n">
        <f aca="false">SUMPRODUCT(('Recurring Items'!$C$6:$C$56="Expense")*('Recurring Items'!$H$6:$H$56&lt;&gt;"Skip")*IFERROR(N('Recurring Items'!$D$6:$D$56),0)*(('Recurring Items'!$E$6:$E$56="Monthly")*(DAY(AB265)='Recurring Items'!$F$6:$F$56)+('Recurring Items'!$E$6:$E$56="Bi-weekly")*(WEEKDAY(AB265)=IFERROR(WEEKDAY('Recurring Items'!$G$6:$G$56),0))*(MOD(AB265-IFERROR('Recurring Items'!$G$6:$G$56,0),14)=0)*(AB265&gt;=IFERROR('Recurring Items'!$G$6:$G$56,9000000000))+('Recurring Items'!$E$6:$E$56="Weekly")*(WEEKDAY(AB265)=IFERROR(WEEKDAY('Recurring Items'!$G$6:$G$56),0))*(AB265&gt;=IFERROR('Recurring Items'!$G$6:$G$56,9000000000))+('Recurring Items'!$E$6:$E$56="One-time")*(AB265='Recurring Items'!$G$6:$G$56)))</f>
        <v>51.01</v>
      </c>
      <c r="AF265" s="1" t="n">
        <f aca="false">(IF(AC265=1,'Debt Tracker'!$P$5&gt;0.01,INDEX('Debt Tracker'!$T$5:$AE$29,1,AC265-1)&gt;0.01))*('Recurring Items'!$H$8&lt;&gt;"Skip")*(DAY(AB265)='Recurring Items'!$F$8)*IFERROR(N('Recurring Items'!$D$8),0)+(IF(AC265=1,'Debt Tracker'!$P$6&gt;0.01,INDEX('Debt Tracker'!$T$5:$AE$29,2,AC265-1)&gt;0.01))*('Recurring Items'!$H$9&lt;&gt;"Skip")*(DAY(AB265)='Recurring Items'!$F$9)*IFERROR(N('Recurring Items'!$D$9),0)+(IF(AC265=1,'Debt Tracker'!$P$7&gt;0.01,INDEX('Debt Tracker'!$T$5:$AE$29,3,AC265-1)&gt;0.01))*('Recurring Items'!$H$10&lt;&gt;"Skip")*(DAY(AB265)='Recurring Items'!$F$10)*IFERROR(N('Recurring Items'!$D$10),0)+(IF(AC265=1,'Debt Tracker'!$P$8&gt;0.01,INDEX('Debt Tracker'!$T$5:$AE$29,4,AC265-1)&gt;0.01))*('Recurring Items'!$H$11&lt;&gt;"Skip")*(DAY(AB265)='Recurring Items'!$F$11)*IFERROR(N('Recurring Items'!$D$11),0)+(IF(AC265=1,'Debt Tracker'!$P$9&gt;0.01,INDEX('Debt Tracker'!$T$5:$AE$29,5,AC265-1)&gt;0.01))*('Recurring Items'!$H$12&lt;&gt;"Skip")*(DAY(AB265)='Recurring Items'!$F$12)*IFERROR(N('Recurring Items'!$D$12),0)+(IF(AC265=1,'Debt Tracker'!$P$10&gt;0.01,INDEX('Debt Tracker'!$T$5:$AE$29,6,AC265-1)&gt;0.01))*('Recurring Items'!$H$13&lt;&gt;"Skip")*(DAY(AB265)='Recurring Items'!$F$13)*IFERROR(N('Recurring Items'!$D$13),0)+(IF(AC265=1,'Debt Tracker'!$P$11&gt;0.01,INDEX('Debt Tracker'!$T$5:$AE$29,7,AC265-1)&gt;0.01))*('Recurring Items'!$H$14&lt;&gt;"Skip")*(DAY(AB265)='Recurring Items'!$F$14)*IFERROR(N('Recurring Items'!$D$14),0)+(IF(AC265=1,'Debt Tracker'!$P$12&gt;0.01,INDEX('Debt Tracker'!$T$5:$AE$29,8,AC265-1)&gt;0.01))*('Recurring Items'!$H$15&lt;&gt;"Skip")*(DAY(AB265)='Recurring Items'!$F$15)*IFERROR(N('Recurring Items'!$D$15),0)+(IF(AC265=1,'Debt Tracker'!$P$13&gt;0.01,INDEX('Debt Tracker'!$T$5:$AE$29,9,AC265-1)&gt;0.01))*('Recurring Items'!$H$16&lt;&gt;"Skip")*(DAY(AB265)='Recurring Items'!$F$16)*IFERROR(N('Recurring Items'!$D$16),0)+(IF(AC265=1,'Debt Tracker'!$P$14&gt;0.01,INDEX('Debt Tracker'!$T$5:$AE$29,10,AC265-1)&gt;0.01))*('Recurring Items'!$H$17&lt;&gt;"Skip")*(DAY(AB265)='Recurring Items'!$F$17)*IFERROR(N('Recurring Items'!$D$17),0)+(IF(AC265=1,'Debt Tracker'!$P$15&gt;0.01,INDEX('Debt Tracker'!$T$5:$AE$29,11,AC265-1)&gt;0.01))*('Recurring Items'!$H$18&lt;&gt;"Skip")*(DAY(AB265)='Recurring Items'!$F$18)*IFERROR(N('Recurring Items'!$D$18),0)+(IF(AC265=1,'Debt Tracker'!$P$16&gt;0.01,INDEX('Debt Tracker'!$T$5:$AE$29,12,AC265-1)&gt;0.01))*('Recurring Items'!$H$19&lt;&gt;"Skip")*(DAY(AB265)='Recurring Items'!$F$19)*IFERROR(N('Recurring Items'!$D$19),0)+(IF(AC265=1,'Debt Tracker'!$P$17&gt;0.01,INDEX('Debt Tracker'!$T$5:$AE$29,13,AC265-1)&gt;0.01))*('Recurring Items'!$H$20&lt;&gt;"Skip")*(DAY(AB265)='Recurring Items'!$F$20)*IFERROR(N('Recurring Items'!$D$20),0)+(IF(AC265=1,'Debt Tracker'!$P$18&gt;0.01,INDEX('Debt Tracker'!$T$5:$AE$29,14,AC265-1)&gt;0.01))*('Recurring Items'!$H$21&lt;&gt;"Skip")*(DAY(AB265)='Recurring Items'!$F$21)*IFERROR(N('Recurring Items'!$D$21),0)+(IF(AC265=1,'Debt Tracker'!$P$19&gt;0.01,INDEX('Debt Tracker'!$T$5:$AE$29,15,AC265-1)&gt;0.01))*('Recurring Items'!$H$22&lt;&gt;"Skip")*(DAY(AB265)='Recurring Items'!$F$22)*IFERROR(N('Recurring Items'!$D$22),0)+(IF(AC265=1,'Debt Tracker'!$P$20&gt;0.01,INDEX('Debt Tracker'!$T$5:$AE$29,16,AC265-1)&gt;0.01))*('Recurring Items'!$H$23&lt;&gt;"Skip")*(DAY(AB265)='Recurring Items'!$F$23)*IFERROR(N('Recurring Items'!$D$23),0)+(IF(AC265=1,'Debt Tracker'!$P$21&gt;0.01,INDEX('Debt Tracker'!$T$5:$AE$29,17,AC265-1)&gt;0.01))*('Recurring Items'!$H$24&lt;&gt;"Skip")*(DAY(AB265)='Recurring Items'!$F$24)*IFERROR(N('Recurring Items'!$D$24),0)+(IF(AC265=1,'Debt Tracker'!$P$22&gt;0.01,INDEX('Debt Tracker'!$T$5:$AE$29,18,AC265-1)&gt;0.01))*('Recurring Items'!$H$25&lt;&gt;"Skip")*(DAY(AB265)='Recurring Items'!$F$25)*IFERROR(N('Recurring Items'!$D$25),0)+(IF(AC265=1,'Debt Tracker'!$P$23&gt;0.01,INDEX('Debt Tracker'!$T$5:$AE$29,19,AC265-1)&gt;0.01))*('Recurring Items'!$H$26&lt;&gt;"Skip")*(DAY(AB265)='Recurring Items'!$F$26)*IFERROR(N('Recurring Items'!$D$26),0)+(IF(AC265=1,'Debt Tracker'!$P$24&gt;0.01,INDEX('Debt Tracker'!$T$5:$AE$29,20,AC265-1)&gt;0.01))*('Recurring Items'!$H$27&lt;&gt;"Skip")*(DAY(AB265)='Recurring Items'!$F$27)*IFERROR(N('Recurring Items'!$D$27),0)+(IF(AC265=1,'Debt Tracker'!$P$25&gt;0.01,INDEX('Debt Tracker'!$T$5:$AE$29,21,AC265-1)&gt;0.01))*('Recurring Items'!$H$28&lt;&gt;"Skip")*(DAY(AB265)='Recurring Items'!$F$28)*IFERROR(N('Recurring Items'!$D$28),0)+(IF(AC265=1,'Debt Tracker'!$P$26&gt;0.01,INDEX('Debt Tracker'!$T$5:$AE$29,22,AC265-1)&gt;0.01))*('Recurring Items'!$H$29&lt;&gt;"Skip")*(DAY(AB265)='Recurring Items'!$F$29)*IFERROR(N('Recurring Items'!$D$29),0)+(IF(AC265=1,'Debt Tracker'!$P$27&gt;0.01,INDEX('Debt Tracker'!$T$5:$AE$29,23,AC265-1)&gt;0.01))*('Recurring Items'!$H$30&lt;&gt;"Skip")*(DAY(AB265)='Recurring Items'!$F$30)*IFERROR(N('Recurring Items'!$D$30),0)+(IF(AC265=1,'Debt Tracker'!$P$28&gt;0.01,INDEX('Debt Tracker'!$T$5:$AE$29,24,AC265-1)&gt;0.01))*('Recurring Items'!$H$31&lt;&gt;"Skip")*(DAY(AB265)='Recurring Items'!$F$31)*IFERROR(N('Recurring Items'!$D$31),0)+(IF(AC265=1,'Debt Tracker'!$P$29&gt;0.01,INDEX('Debt Tracker'!$T$5:$AE$29,25,AC265-1)&gt;0.01))*('Recurring Items'!$H$32&lt;&gt;"Skip")*(DAY(AB265)='Recurring Items'!$F$32)*IFERROR(N('Recurring Items'!$D$32),0)</f>
        <v>0</v>
      </c>
      <c r="AG265" s="1" t="n">
        <f aca="false">AD265-AE265-AF265</f>
        <v>-51.01</v>
      </c>
      <c r="AH265" s="1" t="n">
        <f aca="false">AH264+AG265</f>
        <v>6011.35</v>
      </c>
    </row>
    <row r="266" customFormat="false" ht="15" hidden="false" customHeight="true" outlineLevel="0" collapsed="false">
      <c r="AA266" s="1" t="n">
        <v>66</v>
      </c>
      <c r="AB266" s="145" t="n">
        <f aca="false">$D$3+66</f>
        <v>46209</v>
      </c>
      <c r="AC266" s="1" t="n">
        <f aca="false">MIN(12,1+DATEDIF($D$3,AB266,"M"))</f>
        <v>3</v>
      </c>
      <c r="AD266" s="1" t="n">
        <f aca="false">SUMPRODUCT(('Recurring Items'!$C$6:$C$56="Income")*('Recurring Items'!$H$6:$H$56&lt;&gt;"Skip")*IFERROR(N('Recurring Items'!$D$6:$D$56),0)*(('Recurring Items'!$E$6:$E$56="Monthly")*(DAY(AB266)='Recurring Items'!$F$6:$F$56)+('Recurring Items'!$E$6:$E$56="Bi-weekly")*(WEEKDAY(AB266)=IFERROR(WEEKDAY('Recurring Items'!$G$6:$G$56),0))*(MOD(AB266-IFERROR('Recurring Items'!$G$6:$G$56,0),14)=0)*(AB266&gt;=IFERROR('Recurring Items'!$G$6:$G$56,9000000000))+('Recurring Items'!$E$6:$E$56="Weekly")*(WEEKDAY(AB266)=IFERROR(WEEKDAY('Recurring Items'!$G$6:$G$56),0))*(AB266&gt;=IFERROR('Recurring Items'!$G$6:$G$56,9000000000))+('Recurring Items'!$E$6:$E$56="One-time")*(AB266='Recurring Items'!$G$6:$G$56)))</f>
        <v>0</v>
      </c>
      <c r="AE266" s="1" t="n">
        <f aca="false">SUMPRODUCT(('Recurring Items'!$C$6:$C$56="Expense")*('Recurring Items'!$H$6:$H$56&lt;&gt;"Skip")*IFERROR(N('Recurring Items'!$D$6:$D$56),0)*(('Recurring Items'!$E$6:$E$56="Monthly")*(DAY(AB266)='Recurring Items'!$F$6:$F$56)+('Recurring Items'!$E$6:$E$56="Bi-weekly")*(WEEKDAY(AB266)=IFERROR(WEEKDAY('Recurring Items'!$G$6:$G$56),0))*(MOD(AB266-IFERROR('Recurring Items'!$G$6:$G$56,0),14)=0)*(AB266&gt;=IFERROR('Recurring Items'!$G$6:$G$56,9000000000))+('Recurring Items'!$E$6:$E$56="Weekly")*(WEEKDAY(AB266)=IFERROR(WEEKDAY('Recurring Items'!$G$6:$G$56),0))*(AB266&gt;=IFERROR('Recurring Items'!$G$6:$G$56,9000000000))+('Recurring Items'!$E$6:$E$56="One-time")*(AB266='Recurring Items'!$G$6:$G$56)))</f>
        <v>651.55</v>
      </c>
      <c r="AF266" s="1" t="n">
        <f aca="false">(IF(AC266=1,'Debt Tracker'!$P$5&gt;0.01,INDEX('Debt Tracker'!$T$5:$AE$29,1,AC266-1)&gt;0.01))*('Recurring Items'!$H$8&lt;&gt;"Skip")*(DAY(AB266)='Recurring Items'!$F$8)*IFERROR(N('Recurring Items'!$D$8),0)+(IF(AC266=1,'Debt Tracker'!$P$6&gt;0.01,INDEX('Debt Tracker'!$T$5:$AE$29,2,AC266-1)&gt;0.01))*('Recurring Items'!$H$9&lt;&gt;"Skip")*(DAY(AB266)='Recurring Items'!$F$9)*IFERROR(N('Recurring Items'!$D$9),0)+(IF(AC266=1,'Debt Tracker'!$P$7&gt;0.01,INDEX('Debt Tracker'!$T$5:$AE$29,3,AC266-1)&gt;0.01))*('Recurring Items'!$H$10&lt;&gt;"Skip")*(DAY(AB266)='Recurring Items'!$F$10)*IFERROR(N('Recurring Items'!$D$10),0)+(IF(AC266=1,'Debt Tracker'!$P$8&gt;0.01,INDEX('Debt Tracker'!$T$5:$AE$29,4,AC266-1)&gt;0.01))*('Recurring Items'!$H$11&lt;&gt;"Skip")*(DAY(AB266)='Recurring Items'!$F$11)*IFERROR(N('Recurring Items'!$D$11),0)+(IF(AC266=1,'Debt Tracker'!$P$9&gt;0.01,INDEX('Debt Tracker'!$T$5:$AE$29,5,AC266-1)&gt;0.01))*('Recurring Items'!$H$12&lt;&gt;"Skip")*(DAY(AB266)='Recurring Items'!$F$12)*IFERROR(N('Recurring Items'!$D$12),0)+(IF(AC266=1,'Debt Tracker'!$P$10&gt;0.01,INDEX('Debt Tracker'!$T$5:$AE$29,6,AC266-1)&gt;0.01))*('Recurring Items'!$H$13&lt;&gt;"Skip")*(DAY(AB266)='Recurring Items'!$F$13)*IFERROR(N('Recurring Items'!$D$13),0)+(IF(AC266=1,'Debt Tracker'!$P$11&gt;0.01,INDEX('Debt Tracker'!$T$5:$AE$29,7,AC266-1)&gt;0.01))*('Recurring Items'!$H$14&lt;&gt;"Skip")*(DAY(AB266)='Recurring Items'!$F$14)*IFERROR(N('Recurring Items'!$D$14),0)+(IF(AC266=1,'Debt Tracker'!$P$12&gt;0.01,INDEX('Debt Tracker'!$T$5:$AE$29,8,AC266-1)&gt;0.01))*('Recurring Items'!$H$15&lt;&gt;"Skip")*(DAY(AB266)='Recurring Items'!$F$15)*IFERROR(N('Recurring Items'!$D$15),0)+(IF(AC266=1,'Debt Tracker'!$P$13&gt;0.01,INDEX('Debt Tracker'!$T$5:$AE$29,9,AC266-1)&gt;0.01))*('Recurring Items'!$H$16&lt;&gt;"Skip")*(DAY(AB266)='Recurring Items'!$F$16)*IFERROR(N('Recurring Items'!$D$16),0)+(IF(AC266=1,'Debt Tracker'!$P$14&gt;0.01,INDEX('Debt Tracker'!$T$5:$AE$29,10,AC266-1)&gt;0.01))*('Recurring Items'!$H$17&lt;&gt;"Skip")*(DAY(AB266)='Recurring Items'!$F$17)*IFERROR(N('Recurring Items'!$D$17),0)+(IF(AC266=1,'Debt Tracker'!$P$15&gt;0.01,INDEX('Debt Tracker'!$T$5:$AE$29,11,AC266-1)&gt;0.01))*('Recurring Items'!$H$18&lt;&gt;"Skip")*(DAY(AB266)='Recurring Items'!$F$18)*IFERROR(N('Recurring Items'!$D$18),0)+(IF(AC266=1,'Debt Tracker'!$P$16&gt;0.01,INDEX('Debt Tracker'!$T$5:$AE$29,12,AC266-1)&gt;0.01))*('Recurring Items'!$H$19&lt;&gt;"Skip")*(DAY(AB266)='Recurring Items'!$F$19)*IFERROR(N('Recurring Items'!$D$19),0)+(IF(AC266=1,'Debt Tracker'!$P$17&gt;0.01,INDEX('Debt Tracker'!$T$5:$AE$29,13,AC266-1)&gt;0.01))*('Recurring Items'!$H$20&lt;&gt;"Skip")*(DAY(AB266)='Recurring Items'!$F$20)*IFERROR(N('Recurring Items'!$D$20),0)+(IF(AC266=1,'Debt Tracker'!$P$18&gt;0.01,INDEX('Debt Tracker'!$T$5:$AE$29,14,AC266-1)&gt;0.01))*('Recurring Items'!$H$21&lt;&gt;"Skip")*(DAY(AB266)='Recurring Items'!$F$21)*IFERROR(N('Recurring Items'!$D$21),0)+(IF(AC266=1,'Debt Tracker'!$P$19&gt;0.01,INDEX('Debt Tracker'!$T$5:$AE$29,15,AC266-1)&gt;0.01))*('Recurring Items'!$H$22&lt;&gt;"Skip")*(DAY(AB266)='Recurring Items'!$F$22)*IFERROR(N('Recurring Items'!$D$22),0)+(IF(AC266=1,'Debt Tracker'!$P$20&gt;0.01,INDEX('Debt Tracker'!$T$5:$AE$29,16,AC266-1)&gt;0.01))*('Recurring Items'!$H$23&lt;&gt;"Skip")*(DAY(AB266)='Recurring Items'!$F$23)*IFERROR(N('Recurring Items'!$D$23),0)+(IF(AC266=1,'Debt Tracker'!$P$21&gt;0.01,INDEX('Debt Tracker'!$T$5:$AE$29,17,AC266-1)&gt;0.01))*('Recurring Items'!$H$24&lt;&gt;"Skip")*(DAY(AB266)='Recurring Items'!$F$24)*IFERROR(N('Recurring Items'!$D$24),0)+(IF(AC266=1,'Debt Tracker'!$P$22&gt;0.01,INDEX('Debt Tracker'!$T$5:$AE$29,18,AC266-1)&gt;0.01))*('Recurring Items'!$H$25&lt;&gt;"Skip")*(DAY(AB266)='Recurring Items'!$F$25)*IFERROR(N('Recurring Items'!$D$25),0)+(IF(AC266=1,'Debt Tracker'!$P$23&gt;0.01,INDEX('Debt Tracker'!$T$5:$AE$29,19,AC266-1)&gt;0.01))*('Recurring Items'!$H$26&lt;&gt;"Skip")*(DAY(AB266)='Recurring Items'!$F$26)*IFERROR(N('Recurring Items'!$D$26),0)+(IF(AC266=1,'Debt Tracker'!$P$24&gt;0.01,INDEX('Debt Tracker'!$T$5:$AE$29,20,AC266-1)&gt;0.01))*('Recurring Items'!$H$27&lt;&gt;"Skip")*(DAY(AB266)='Recurring Items'!$F$27)*IFERROR(N('Recurring Items'!$D$27),0)+(IF(AC266=1,'Debt Tracker'!$P$25&gt;0.01,INDEX('Debt Tracker'!$T$5:$AE$29,21,AC266-1)&gt;0.01))*('Recurring Items'!$H$28&lt;&gt;"Skip")*(DAY(AB266)='Recurring Items'!$F$28)*IFERROR(N('Recurring Items'!$D$28),0)+(IF(AC266=1,'Debt Tracker'!$P$26&gt;0.01,INDEX('Debt Tracker'!$T$5:$AE$29,22,AC266-1)&gt;0.01))*('Recurring Items'!$H$29&lt;&gt;"Skip")*(DAY(AB266)='Recurring Items'!$F$29)*IFERROR(N('Recurring Items'!$D$29),0)+(IF(AC266=1,'Debt Tracker'!$P$27&gt;0.01,INDEX('Debt Tracker'!$T$5:$AE$29,23,AC266-1)&gt;0.01))*('Recurring Items'!$H$30&lt;&gt;"Skip")*(DAY(AB266)='Recurring Items'!$F$30)*IFERROR(N('Recurring Items'!$D$30),0)+(IF(AC266=1,'Debt Tracker'!$P$28&gt;0.01,INDEX('Debt Tracker'!$T$5:$AE$29,24,AC266-1)&gt;0.01))*('Recurring Items'!$H$31&lt;&gt;"Skip")*(DAY(AB266)='Recurring Items'!$F$31)*IFERROR(N('Recurring Items'!$D$31),0)+(IF(AC266=1,'Debt Tracker'!$P$29&gt;0.01,INDEX('Debt Tracker'!$T$5:$AE$29,25,AC266-1)&gt;0.01))*('Recurring Items'!$H$32&lt;&gt;"Skip")*(DAY(AB266)='Recurring Items'!$F$32)*IFERROR(N('Recurring Items'!$D$32),0)</f>
        <v>259.86</v>
      </c>
      <c r="AG266" s="1" t="n">
        <f aca="false">AD266-AE266-AF266</f>
        <v>-911.41</v>
      </c>
      <c r="AH266" s="1" t="n">
        <f aca="false">AH265+AG266</f>
        <v>5099.94</v>
      </c>
    </row>
    <row r="267" customFormat="false" ht="15" hidden="false" customHeight="true" outlineLevel="0" collapsed="false">
      <c r="AA267" s="1" t="n">
        <v>67</v>
      </c>
      <c r="AB267" s="145" t="n">
        <f aca="false">$D$3+67</f>
        <v>46210</v>
      </c>
      <c r="AC267" s="1" t="n">
        <f aca="false">MIN(12,1+DATEDIF($D$3,AB267,"M"))</f>
        <v>3</v>
      </c>
      <c r="AD267" s="1" t="n">
        <f aca="false">SUMPRODUCT(('Recurring Items'!$C$6:$C$56="Income")*('Recurring Items'!$H$6:$H$56&lt;&gt;"Skip")*IFERROR(N('Recurring Items'!$D$6:$D$56),0)*(('Recurring Items'!$E$6:$E$56="Monthly")*(DAY(AB267)='Recurring Items'!$F$6:$F$56)+('Recurring Items'!$E$6:$E$56="Bi-weekly")*(WEEKDAY(AB267)=IFERROR(WEEKDAY('Recurring Items'!$G$6:$G$56),0))*(MOD(AB267-IFERROR('Recurring Items'!$G$6:$G$56,0),14)=0)*(AB267&gt;=IFERROR('Recurring Items'!$G$6:$G$56,9000000000))+('Recurring Items'!$E$6:$E$56="Weekly")*(WEEKDAY(AB267)=IFERROR(WEEKDAY('Recurring Items'!$G$6:$G$56),0))*(AB267&gt;=IFERROR('Recurring Items'!$G$6:$G$56,9000000000))+('Recurring Items'!$E$6:$E$56="One-time")*(AB267='Recurring Items'!$G$6:$G$56)))</f>
        <v>0</v>
      </c>
      <c r="AE267" s="1" t="n">
        <f aca="false">SUMPRODUCT(('Recurring Items'!$C$6:$C$56="Expense")*('Recurring Items'!$H$6:$H$56&lt;&gt;"Skip")*IFERROR(N('Recurring Items'!$D$6:$D$56),0)*(('Recurring Items'!$E$6:$E$56="Monthly")*(DAY(AB267)='Recurring Items'!$F$6:$F$56)+('Recurring Items'!$E$6:$E$56="Bi-weekly")*(WEEKDAY(AB267)=IFERROR(WEEKDAY('Recurring Items'!$G$6:$G$56),0))*(MOD(AB267-IFERROR('Recurring Items'!$G$6:$G$56,0),14)=0)*(AB267&gt;=IFERROR('Recurring Items'!$G$6:$G$56,9000000000))+('Recurring Items'!$E$6:$E$56="Weekly")*(WEEKDAY(AB267)=IFERROR(WEEKDAY('Recurring Items'!$G$6:$G$56),0))*(AB267&gt;=IFERROR('Recurring Items'!$G$6:$G$56,9000000000))+('Recurring Items'!$E$6:$E$56="One-time")*(AB267='Recurring Items'!$G$6:$G$56)))</f>
        <v>672.8</v>
      </c>
      <c r="AF267" s="1" t="n">
        <f aca="false">(IF(AC267=1,'Debt Tracker'!$P$5&gt;0.01,INDEX('Debt Tracker'!$T$5:$AE$29,1,AC267-1)&gt;0.01))*('Recurring Items'!$H$8&lt;&gt;"Skip")*(DAY(AB267)='Recurring Items'!$F$8)*IFERROR(N('Recurring Items'!$D$8),0)+(IF(AC267=1,'Debt Tracker'!$P$6&gt;0.01,INDEX('Debt Tracker'!$T$5:$AE$29,2,AC267-1)&gt;0.01))*('Recurring Items'!$H$9&lt;&gt;"Skip")*(DAY(AB267)='Recurring Items'!$F$9)*IFERROR(N('Recurring Items'!$D$9),0)+(IF(AC267=1,'Debt Tracker'!$P$7&gt;0.01,INDEX('Debt Tracker'!$T$5:$AE$29,3,AC267-1)&gt;0.01))*('Recurring Items'!$H$10&lt;&gt;"Skip")*(DAY(AB267)='Recurring Items'!$F$10)*IFERROR(N('Recurring Items'!$D$10),0)+(IF(AC267=1,'Debt Tracker'!$P$8&gt;0.01,INDEX('Debt Tracker'!$T$5:$AE$29,4,AC267-1)&gt;0.01))*('Recurring Items'!$H$11&lt;&gt;"Skip")*(DAY(AB267)='Recurring Items'!$F$11)*IFERROR(N('Recurring Items'!$D$11),0)+(IF(AC267=1,'Debt Tracker'!$P$9&gt;0.01,INDEX('Debt Tracker'!$T$5:$AE$29,5,AC267-1)&gt;0.01))*('Recurring Items'!$H$12&lt;&gt;"Skip")*(DAY(AB267)='Recurring Items'!$F$12)*IFERROR(N('Recurring Items'!$D$12),0)+(IF(AC267=1,'Debt Tracker'!$P$10&gt;0.01,INDEX('Debt Tracker'!$T$5:$AE$29,6,AC267-1)&gt;0.01))*('Recurring Items'!$H$13&lt;&gt;"Skip")*(DAY(AB267)='Recurring Items'!$F$13)*IFERROR(N('Recurring Items'!$D$13),0)+(IF(AC267=1,'Debt Tracker'!$P$11&gt;0.01,INDEX('Debt Tracker'!$T$5:$AE$29,7,AC267-1)&gt;0.01))*('Recurring Items'!$H$14&lt;&gt;"Skip")*(DAY(AB267)='Recurring Items'!$F$14)*IFERROR(N('Recurring Items'!$D$14),0)+(IF(AC267=1,'Debt Tracker'!$P$12&gt;0.01,INDEX('Debt Tracker'!$T$5:$AE$29,8,AC267-1)&gt;0.01))*('Recurring Items'!$H$15&lt;&gt;"Skip")*(DAY(AB267)='Recurring Items'!$F$15)*IFERROR(N('Recurring Items'!$D$15),0)+(IF(AC267=1,'Debt Tracker'!$P$13&gt;0.01,INDEX('Debt Tracker'!$T$5:$AE$29,9,AC267-1)&gt;0.01))*('Recurring Items'!$H$16&lt;&gt;"Skip")*(DAY(AB267)='Recurring Items'!$F$16)*IFERROR(N('Recurring Items'!$D$16),0)+(IF(AC267=1,'Debt Tracker'!$P$14&gt;0.01,INDEX('Debt Tracker'!$T$5:$AE$29,10,AC267-1)&gt;0.01))*('Recurring Items'!$H$17&lt;&gt;"Skip")*(DAY(AB267)='Recurring Items'!$F$17)*IFERROR(N('Recurring Items'!$D$17),0)+(IF(AC267=1,'Debt Tracker'!$P$15&gt;0.01,INDEX('Debt Tracker'!$T$5:$AE$29,11,AC267-1)&gt;0.01))*('Recurring Items'!$H$18&lt;&gt;"Skip")*(DAY(AB267)='Recurring Items'!$F$18)*IFERROR(N('Recurring Items'!$D$18),0)+(IF(AC267=1,'Debt Tracker'!$P$16&gt;0.01,INDEX('Debt Tracker'!$T$5:$AE$29,12,AC267-1)&gt;0.01))*('Recurring Items'!$H$19&lt;&gt;"Skip")*(DAY(AB267)='Recurring Items'!$F$19)*IFERROR(N('Recurring Items'!$D$19),0)+(IF(AC267=1,'Debt Tracker'!$P$17&gt;0.01,INDEX('Debt Tracker'!$T$5:$AE$29,13,AC267-1)&gt;0.01))*('Recurring Items'!$H$20&lt;&gt;"Skip")*(DAY(AB267)='Recurring Items'!$F$20)*IFERROR(N('Recurring Items'!$D$20),0)+(IF(AC267=1,'Debt Tracker'!$P$18&gt;0.01,INDEX('Debt Tracker'!$T$5:$AE$29,14,AC267-1)&gt;0.01))*('Recurring Items'!$H$21&lt;&gt;"Skip")*(DAY(AB267)='Recurring Items'!$F$21)*IFERROR(N('Recurring Items'!$D$21),0)+(IF(AC267=1,'Debt Tracker'!$P$19&gt;0.01,INDEX('Debt Tracker'!$T$5:$AE$29,15,AC267-1)&gt;0.01))*('Recurring Items'!$H$22&lt;&gt;"Skip")*(DAY(AB267)='Recurring Items'!$F$22)*IFERROR(N('Recurring Items'!$D$22),0)+(IF(AC267=1,'Debt Tracker'!$P$20&gt;0.01,INDEX('Debt Tracker'!$T$5:$AE$29,16,AC267-1)&gt;0.01))*('Recurring Items'!$H$23&lt;&gt;"Skip")*(DAY(AB267)='Recurring Items'!$F$23)*IFERROR(N('Recurring Items'!$D$23),0)+(IF(AC267=1,'Debt Tracker'!$P$21&gt;0.01,INDEX('Debt Tracker'!$T$5:$AE$29,17,AC267-1)&gt;0.01))*('Recurring Items'!$H$24&lt;&gt;"Skip")*(DAY(AB267)='Recurring Items'!$F$24)*IFERROR(N('Recurring Items'!$D$24),0)+(IF(AC267=1,'Debt Tracker'!$P$22&gt;0.01,INDEX('Debt Tracker'!$T$5:$AE$29,18,AC267-1)&gt;0.01))*('Recurring Items'!$H$25&lt;&gt;"Skip")*(DAY(AB267)='Recurring Items'!$F$25)*IFERROR(N('Recurring Items'!$D$25),0)+(IF(AC267=1,'Debt Tracker'!$P$23&gt;0.01,INDEX('Debt Tracker'!$T$5:$AE$29,19,AC267-1)&gt;0.01))*('Recurring Items'!$H$26&lt;&gt;"Skip")*(DAY(AB267)='Recurring Items'!$F$26)*IFERROR(N('Recurring Items'!$D$26),0)+(IF(AC267=1,'Debt Tracker'!$P$24&gt;0.01,INDEX('Debt Tracker'!$T$5:$AE$29,20,AC267-1)&gt;0.01))*('Recurring Items'!$H$27&lt;&gt;"Skip")*(DAY(AB267)='Recurring Items'!$F$27)*IFERROR(N('Recurring Items'!$D$27),0)+(IF(AC267=1,'Debt Tracker'!$P$25&gt;0.01,INDEX('Debt Tracker'!$T$5:$AE$29,21,AC267-1)&gt;0.01))*('Recurring Items'!$H$28&lt;&gt;"Skip")*(DAY(AB267)='Recurring Items'!$F$28)*IFERROR(N('Recurring Items'!$D$28),0)+(IF(AC267=1,'Debt Tracker'!$P$26&gt;0.01,INDEX('Debt Tracker'!$T$5:$AE$29,22,AC267-1)&gt;0.01))*('Recurring Items'!$H$29&lt;&gt;"Skip")*(DAY(AB267)='Recurring Items'!$F$29)*IFERROR(N('Recurring Items'!$D$29),0)+(IF(AC267=1,'Debt Tracker'!$P$27&gt;0.01,INDEX('Debt Tracker'!$T$5:$AE$29,23,AC267-1)&gt;0.01))*('Recurring Items'!$H$30&lt;&gt;"Skip")*(DAY(AB267)='Recurring Items'!$F$30)*IFERROR(N('Recurring Items'!$D$30),0)+(IF(AC267=1,'Debt Tracker'!$P$28&gt;0.01,INDEX('Debt Tracker'!$T$5:$AE$29,24,AC267-1)&gt;0.01))*('Recurring Items'!$H$31&lt;&gt;"Skip")*(DAY(AB267)='Recurring Items'!$F$31)*IFERROR(N('Recurring Items'!$D$31),0)+(IF(AC267=1,'Debt Tracker'!$P$29&gt;0.01,INDEX('Debt Tracker'!$T$5:$AE$29,25,AC267-1)&gt;0.01))*('Recurring Items'!$H$32&lt;&gt;"Skip")*(DAY(AB267)='Recurring Items'!$F$32)*IFERROR(N('Recurring Items'!$D$32),0)</f>
        <v>8.25</v>
      </c>
      <c r="AG267" s="1" t="n">
        <f aca="false">AD267-AE267-AF267</f>
        <v>-681.05</v>
      </c>
      <c r="AH267" s="1" t="n">
        <f aca="false">AH266+AG267</f>
        <v>4418.89</v>
      </c>
    </row>
    <row r="268" customFormat="false" ht="15" hidden="false" customHeight="true" outlineLevel="0" collapsed="false">
      <c r="AA268" s="1" t="n">
        <v>68</v>
      </c>
      <c r="AB268" s="145" t="n">
        <f aca="false">$D$3+68</f>
        <v>46211</v>
      </c>
      <c r="AC268" s="1" t="n">
        <f aca="false">MIN(12,1+DATEDIF($D$3,AB268,"M"))</f>
        <v>3</v>
      </c>
      <c r="AD268" s="1" t="n">
        <f aca="false">SUMPRODUCT(('Recurring Items'!$C$6:$C$56="Income")*('Recurring Items'!$H$6:$H$56&lt;&gt;"Skip")*IFERROR(N('Recurring Items'!$D$6:$D$56),0)*(('Recurring Items'!$E$6:$E$56="Monthly")*(DAY(AB268)='Recurring Items'!$F$6:$F$56)+('Recurring Items'!$E$6:$E$56="Bi-weekly")*(WEEKDAY(AB268)=IFERROR(WEEKDAY('Recurring Items'!$G$6:$G$56),0))*(MOD(AB268-IFERROR('Recurring Items'!$G$6:$G$56,0),14)=0)*(AB268&gt;=IFERROR('Recurring Items'!$G$6:$G$56,9000000000))+('Recurring Items'!$E$6:$E$56="Weekly")*(WEEKDAY(AB268)=IFERROR(WEEKDAY('Recurring Items'!$G$6:$G$56),0))*(AB268&gt;=IFERROR('Recurring Items'!$G$6:$G$56,9000000000))+('Recurring Items'!$E$6:$E$56="One-time")*(AB268='Recurring Items'!$G$6:$G$56)))</f>
        <v>0</v>
      </c>
      <c r="AE268" s="1" t="n">
        <f aca="false">SUMPRODUCT(('Recurring Items'!$C$6:$C$56="Expense")*('Recurring Items'!$H$6:$H$56&lt;&gt;"Skip")*IFERROR(N('Recurring Items'!$D$6:$D$56),0)*(('Recurring Items'!$E$6:$E$56="Monthly")*(DAY(AB268)='Recurring Items'!$F$6:$F$56)+('Recurring Items'!$E$6:$E$56="Bi-weekly")*(WEEKDAY(AB268)=IFERROR(WEEKDAY('Recurring Items'!$G$6:$G$56),0))*(MOD(AB268-IFERROR('Recurring Items'!$G$6:$G$56,0),14)=0)*(AB268&gt;=IFERROR('Recurring Items'!$G$6:$G$56,9000000000))+('Recurring Items'!$E$6:$E$56="Weekly")*(WEEKDAY(AB268)=IFERROR(WEEKDAY('Recurring Items'!$G$6:$G$56),0))*(AB268&gt;=IFERROR('Recurring Items'!$G$6:$G$56,9000000000))+('Recurring Items'!$E$6:$E$56="One-time")*(AB268='Recurring Items'!$G$6:$G$56)))</f>
        <v>53.85</v>
      </c>
      <c r="AF268" s="1" t="n">
        <f aca="false">(IF(AC268=1,'Debt Tracker'!$P$5&gt;0.01,INDEX('Debt Tracker'!$T$5:$AE$29,1,AC268-1)&gt;0.01))*('Recurring Items'!$H$8&lt;&gt;"Skip")*(DAY(AB268)='Recurring Items'!$F$8)*IFERROR(N('Recurring Items'!$D$8),0)+(IF(AC268=1,'Debt Tracker'!$P$6&gt;0.01,INDEX('Debt Tracker'!$T$5:$AE$29,2,AC268-1)&gt;0.01))*('Recurring Items'!$H$9&lt;&gt;"Skip")*(DAY(AB268)='Recurring Items'!$F$9)*IFERROR(N('Recurring Items'!$D$9),0)+(IF(AC268=1,'Debt Tracker'!$P$7&gt;0.01,INDEX('Debt Tracker'!$T$5:$AE$29,3,AC268-1)&gt;0.01))*('Recurring Items'!$H$10&lt;&gt;"Skip")*(DAY(AB268)='Recurring Items'!$F$10)*IFERROR(N('Recurring Items'!$D$10),0)+(IF(AC268=1,'Debt Tracker'!$P$8&gt;0.01,INDEX('Debt Tracker'!$T$5:$AE$29,4,AC268-1)&gt;0.01))*('Recurring Items'!$H$11&lt;&gt;"Skip")*(DAY(AB268)='Recurring Items'!$F$11)*IFERROR(N('Recurring Items'!$D$11),0)+(IF(AC268=1,'Debt Tracker'!$P$9&gt;0.01,INDEX('Debt Tracker'!$T$5:$AE$29,5,AC268-1)&gt;0.01))*('Recurring Items'!$H$12&lt;&gt;"Skip")*(DAY(AB268)='Recurring Items'!$F$12)*IFERROR(N('Recurring Items'!$D$12),0)+(IF(AC268=1,'Debt Tracker'!$P$10&gt;0.01,INDEX('Debt Tracker'!$T$5:$AE$29,6,AC268-1)&gt;0.01))*('Recurring Items'!$H$13&lt;&gt;"Skip")*(DAY(AB268)='Recurring Items'!$F$13)*IFERROR(N('Recurring Items'!$D$13),0)+(IF(AC268=1,'Debt Tracker'!$P$11&gt;0.01,INDEX('Debt Tracker'!$T$5:$AE$29,7,AC268-1)&gt;0.01))*('Recurring Items'!$H$14&lt;&gt;"Skip")*(DAY(AB268)='Recurring Items'!$F$14)*IFERROR(N('Recurring Items'!$D$14),0)+(IF(AC268=1,'Debt Tracker'!$P$12&gt;0.01,INDEX('Debt Tracker'!$T$5:$AE$29,8,AC268-1)&gt;0.01))*('Recurring Items'!$H$15&lt;&gt;"Skip")*(DAY(AB268)='Recurring Items'!$F$15)*IFERROR(N('Recurring Items'!$D$15),0)+(IF(AC268=1,'Debt Tracker'!$P$13&gt;0.01,INDEX('Debt Tracker'!$T$5:$AE$29,9,AC268-1)&gt;0.01))*('Recurring Items'!$H$16&lt;&gt;"Skip")*(DAY(AB268)='Recurring Items'!$F$16)*IFERROR(N('Recurring Items'!$D$16),0)+(IF(AC268=1,'Debt Tracker'!$P$14&gt;0.01,INDEX('Debt Tracker'!$T$5:$AE$29,10,AC268-1)&gt;0.01))*('Recurring Items'!$H$17&lt;&gt;"Skip")*(DAY(AB268)='Recurring Items'!$F$17)*IFERROR(N('Recurring Items'!$D$17),0)+(IF(AC268=1,'Debt Tracker'!$P$15&gt;0.01,INDEX('Debt Tracker'!$T$5:$AE$29,11,AC268-1)&gt;0.01))*('Recurring Items'!$H$18&lt;&gt;"Skip")*(DAY(AB268)='Recurring Items'!$F$18)*IFERROR(N('Recurring Items'!$D$18),0)+(IF(AC268=1,'Debt Tracker'!$P$16&gt;0.01,INDEX('Debt Tracker'!$T$5:$AE$29,12,AC268-1)&gt;0.01))*('Recurring Items'!$H$19&lt;&gt;"Skip")*(DAY(AB268)='Recurring Items'!$F$19)*IFERROR(N('Recurring Items'!$D$19),0)+(IF(AC268=1,'Debt Tracker'!$P$17&gt;0.01,INDEX('Debt Tracker'!$T$5:$AE$29,13,AC268-1)&gt;0.01))*('Recurring Items'!$H$20&lt;&gt;"Skip")*(DAY(AB268)='Recurring Items'!$F$20)*IFERROR(N('Recurring Items'!$D$20),0)+(IF(AC268=1,'Debt Tracker'!$P$18&gt;0.01,INDEX('Debt Tracker'!$T$5:$AE$29,14,AC268-1)&gt;0.01))*('Recurring Items'!$H$21&lt;&gt;"Skip")*(DAY(AB268)='Recurring Items'!$F$21)*IFERROR(N('Recurring Items'!$D$21),0)+(IF(AC268=1,'Debt Tracker'!$P$19&gt;0.01,INDEX('Debt Tracker'!$T$5:$AE$29,15,AC268-1)&gt;0.01))*('Recurring Items'!$H$22&lt;&gt;"Skip")*(DAY(AB268)='Recurring Items'!$F$22)*IFERROR(N('Recurring Items'!$D$22),0)+(IF(AC268=1,'Debt Tracker'!$P$20&gt;0.01,INDEX('Debt Tracker'!$T$5:$AE$29,16,AC268-1)&gt;0.01))*('Recurring Items'!$H$23&lt;&gt;"Skip")*(DAY(AB268)='Recurring Items'!$F$23)*IFERROR(N('Recurring Items'!$D$23),0)+(IF(AC268=1,'Debt Tracker'!$P$21&gt;0.01,INDEX('Debt Tracker'!$T$5:$AE$29,17,AC268-1)&gt;0.01))*('Recurring Items'!$H$24&lt;&gt;"Skip")*(DAY(AB268)='Recurring Items'!$F$24)*IFERROR(N('Recurring Items'!$D$24),0)+(IF(AC268=1,'Debt Tracker'!$P$22&gt;0.01,INDEX('Debt Tracker'!$T$5:$AE$29,18,AC268-1)&gt;0.01))*('Recurring Items'!$H$25&lt;&gt;"Skip")*(DAY(AB268)='Recurring Items'!$F$25)*IFERROR(N('Recurring Items'!$D$25),0)+(IF(AC268=1,'Debt Tracker'!$P$23&gt;0.01,INDEX('Debt Tracker'!$T$5:$AE$29,19,AC268-1)&gt;0.01))*('Recurring Items'!$H$26&lt;&gt;"Skip")*(DAY(AB268)='Recurring Items'!$F$26)*IFERROR(N('Recurring Items'!$D$26),0)+(IF(AC268=1,'Debt Tracker'!$P$24&gt;0.01,INDEX('Debt Tracker'!$T$5:$AE$29,20,AC268-1)&gt;0.01))*('Recurring Items'!$H$27&lt;&gt;"Skip")*(DAY(AB268)='Recurring Items'!$F$27)*IFERROR(N('Recurring Items'!$D$27),0)+(IF(AC268=1,'Debt Tracker'!$P$25&gt;0.01,INDEX('Debt Tracker'!$T$5:$AE$29,21,AC268-1)&gt;0.01))*('Recurring Items'!$H$28&lt;&gt;"Skip")*(DAY(AB268)='Recurring Items'!$F$28)*IFERROR(N('Recurring Items'!$D$28),0)+(IF(AC268=1,'Debt Tracker'!$P$26&gt;0.01,INDEX('Debt Tracker'!$T$5:$AE$29,22,AC268-1)&gt;0.01))*('Recurring Items'!$H$29&lt;&gt;"Skip")*(DAY(AB268)='Recurring Items'!$F$29)*IFERROR(N('Recurring Items'!$D$29),0)+(IF(AC268=1,'Debt Tracker'!$P$27&gt;0.01,INDEX('Debt Tracker'!$T$5:$AE$29,23,AC268-1)&gt;0.01))*('Recurring Items'!$H$30&lt;&gt;"Skip")*(DAY(AB268)='Recurring Items'!$F$30)*IFERROR(N('Recurring Items'!$D$30),0)+(IF(AC268=1,'Debt Tracker'!$P$28&gt;0.01,INDEX('Debt Tracker'!$T$5:$AE$29,24,AC268-1)&gt;0.01))*('Recurring Items'!$H$31&lt;&gt;"Skip")*(DAY(AB268)='Recurring Items'!$F$31)*IFERROR(N('Recurring Items'!$D$31),0)+(IF(AC268=1,'Debt Tracker'!$P$29&gt;0.01,INDEX('Debt Tracker'!$T$5:$AE$29,25,AC268-1)&gt;0.01))*('Recurring Items'!$H$32&lt;&gt;"Skip")*(DAY(AB268)='Recurring Items'!$F$32)*IFERROR(N('Recurring Items'!$D$32),0)</f>
        <v>0</v>
      </c>
      <c r="AG268" s="1" t="n">
        <f aca="false">AD268-AE268-AF268</f>
        <v>-53.85</v>
      </c>
      <c r="AH268" s="1" t="n">
        <f aca="false">AH267+AG268</f>
        <v>4365.04</v>
      </c>
    </row>
    <row r="269" customFormat="false" ht="15" hidden="false" customHeight="true" outlineLevel="0" collapsed="false">
      <c r="AA269" s="1" t="n">
        <v>69</v>
      </c>
      <c r="AB269" s="145" t="n">
        <f aca="false">$D$3+69</f>
        <v>46212</v>
      </c>
      <c r="AC269" s="1" t="n">
        <f aca="false">MIN(12,1+DATEDIF($D$3,AB269,"M"))</f>
        <v>3</v>
      </c>
      <c r="AD269" s="1" t="n">
        <f aca="false">SUMPRODUCT(('Recurring Items'!$C$6:$C$56="Income")*('Recurring Items'!$H$6:$H$56&lt;&gt;"Skip")*IFERROR(N('Recurring Items'!$D$6:$D$56),0)*(('Recurring Items'!$E$6:$E$56="Monthly")*(DAY(AB269)='Recurring Items'!$F$6:$F$56)+('Recurring Items'!$E$6:$E$56="Bi-weekly")*(WEEKDAY(AB269)=IFERROR(WEEKDAY('Recurring Items'!$G$6:$G$56),0))*(MOD(AB269-IFERROR('Recurring Items'!$G$6:$G$56,0),14)=0)*(AB269&gt;=IFERROR('Recurring Items'!$G$6:$G$56,9000000000))+('Recurring Items'!$E$6:$E$56="Weekly")*(WEEKDAY(AB269)=IFERROR(WEEKDAY('Recurring Items'!$G$6:$G$56),0))*(AB269&gt;=IFERROR('Recurring Items'!$G$6:$G$56,9000000000))+('Recurring Items'!$E$6:$E$56="One-time")*(AB269='Recurring Items'!$G$6:$G$56)))</f>
        <v>0</v>
      </c>
      <c r="AE269" s="1" t="n">
        <f aca="false">SUMPRODUCT(('Recurring Items'!$C$6:$C$56="Expense")*('Recurring Items'!$H$6:$H$56&lt;&gt;"Skip")*IFERROR(N('Recurring Items'!$D$6:$D$56),0)*(('Recurring Items'!$E$6:$E$56="Monthly")*(DAY(AB269)='Recurring Items'!$F$6:$F$56)+('Recurring Items'!$E$6:$E$56="Bi-weekly")*(WEEKDAY(AB269)=IFERROR(WEEKDAY('Recurring Items'!$G$6:$G$56),0))*(MOD(AB269-IFERROR('Recurring Items'!$G$6:$G$56,0),14)=0)*(AB269&gt;=IFERROR('Recurring Items'!$G$6:$G$56,9000000000))+('Recurring Items'!$E$6:$E$56="Weekly")*(WEEKDAY(AB269)=IFERROR(WEEKDAY('Recurring Items'!$G$6:$G$56),0))*(AB269&gt;=IFERROR('Recurring Items'!$G$6:$G$56,9000000000))+('Recurring Items'!$E$6:$E$56="One-time")*(AB269='Recurring Items'!$G$6:$G$56)))</f>
        <v>0</v>
      </c>
      <c r="AF269" s="1" t="n">
        <f aca="false">(IF(AC269=1,'Debt Tracker'!$P$5&gt;0.01,INDEX('Debt Tracker'!$T$5:$AE$29,1,AC269-1)&gt;0.01))*('Recurring Items'!$H$8&lt;&gt;"Skip")*(DAY(AB269)='Recurring Items'!$F$8)*IFERROR(N('Recurring Items'!$D$8),0)+(IF(AC269=1,'Debt Tracker'!$P$6&gt;0.01,INDEX('Debt Tracker'!$T$5:$AE$29,2,AC269-1)&gt;0.01))*('Recurring Items'!$H$9&lt;&gt;"Skip")*(DAY(AB269)='Recurring Items'!$F$9)*IFERROR(N('Recurring Items'!$D$9),0)+(IF(AC269=1,'Debt Tracker'!$P$7&gt;0.01,INDEX('Debt Tracker'!$T$5:$AE$29,3,AC269-1)&gt;0.01))*('Recurring Items'!$H$10&lt;&gt;"Skip")*(DAY(AB269)='Recurring Items'!$F$10)*IFERROR(N('Recurring Items'!$D$10),0)+(IF(AC269=1,'Debt Tracker'!$P$8&gt;0.01,INDEX('Debt Tracker'!$T$5:$AE$29,4,AC269-1)&gt;0.01))*('Recurring Items'!$H$11&lt;&gt;"Skip")*(DAY(AB269)='Recurring Items'!$F$11)*IFERROR(N('Recurring Items'!$D$11),0)+(IF(AC269=1,'Debt Tracker'!$P$9&gt;0.01,INDEX('Debt Tracker'!$T$5:$AE$29,5,AC269-1)&gt;0.01))*('Recurring Items'!$H$12&lt;&gt;"Skip")*(DAY(AB269)='Recurring Items'!$F$12)*IFERROR(N('Recurring Items'!$D$12),0)+(IF(AC269=1,'Debt Tracker'!$P$10&gt;0.01,INDEX('Debt Tracker'!$T$5:$AE$29,6,AC269-1)&gt;0.01))*('Recurring Items'!$H$13&lt;&gt;"Skip")*(DAY(AB269)='Recurring Items'!$F$13)*IFERROR(N('Recurring Items'!$D$13),0)+(IF(AC269=1,'Debt Tracker'!$P$11&gt;0.01,INDEX('Debt Tracker'!$T$5:$AE$29,7,AC269-1)&gt;0.01))*('Recurring Items'!$H$14&lt;&gt;"Skip")*(DAY(AB269)='Recurring Items'!$F$14)*IFERROR(N('Recurring Items'!$D$14),0)+(IF(AC269=1,'Debt Tracker'!$P$12&gt;0.01,INDEX('Debt Tracker'!$T$5:$AE$29,8,AC269-1)&gt;0.01))*('Recurring Items'!$H$15&lt;&gt;"Skip")*(DAY(AB269)='Recurring Items'!$F$15)*IFERROR(N('Recurring Items'!$D$15),0)+(IF(AC269=1,'Debt Tracker'!$P$13&gt;0.01,INDEX('Debt Tracker'!$T$5:$AE$29,9,AC269-1)&gt;0.01))*('Recurring Items'!$H$16&lt;&gt;"Skip")*(DAY(AB269)='Recurring Items'!$F$16)*IFERROR(N('Recurring Items'!$D$16),0)+(IF(AC269=1,'Debt Tracker'!$P$14&gt;0.01,INDEX('Debt Tracker'!$T$5:$AE$29,10,AC269-1)&gt;0.01))*('Recurring Items'!$H$17&lt;&gt;"Skip")*(DAY(AB269)='Recurring Items'!$F$17)*IFERROR(N('Recurring Items'!$D$17),0)+(IF(AC269=1,'Debt Tracker'!$P$15&gt;0.01,INDEX('Debt Tracker'!$T$5:$AE$29,11,AC269-1)&gt;0.01))*('Recurring Items'!$H$18&lt;&gt;"Skip")*(DAY(AB269)='Recurring Items'!$F$18)*IFERROR(N('Recurring Items'!$D$18),0)+(IF(AC269=1,'Debt Tracker'!$P$16&gt;0.01,INDEX('Debt Tracker'!$T$5:$AE$29,12,AC269-1)&gt;0.01))*('Recurring Items'!$H$19&lt;&gt;"Skip")*(DAY(AB269)='Recurring Items'!$F$19)*IFERROR(N('Recurring Items'!$D$19),0)+(IF(AC269=1,'Debt Tracker'!$P$17&gt;0.01,INDEX('Debt Tracker'!$T$5:$AE$29,13,AC269-1)&gt;0.01))*('Recurring Items'!$H$20&lt;&gt;"Skip")*(DAY(AB269)='Recurring Items'!$F$20)*IFERROR(N('Recurring Items'!$D$20),0)+(IF(AC269=1,'Debt Tracker'!$P$18&gt;0.01,INDEX('Debt Tracker'!$T$5:$AE$29,14,AC269-1)&gt;0.01))*('Recurring Items'!$H$21&lt;&gt;"Skip")*(DAY(AB269)='Recurring Items'!$F$21)*IFERROR(N('Recurring Items'!$D$21),0)+(IF(AC269=1,'Debt Tracker'!$P$19&gt;0.01,INDEX('Debt Tracker'!$T$5:$AE$29,15,AC269-1)&gt;0.01))*('Recurring Items'!$H$22&lt;&gt;"Skip")*(DAY(AB269)='Recurring Items'!$F$22)*IFERROR(N('Recurring Items'!$D$22),0)+(IF(AC269=1,'Debt Tracker'!$P$20&gt;0.01,INDEX('Debt Tracker'!$T$5:$AE$29,16,AC269-1)&gt;0.01))*('Recurring Items'!$H$23&lt;&gt;"Skip")*(DAY(AB269)='Recurring Items'!$F$23)*IFERROR(N('Recurring Items'!$D$23),0)+(IF(AC269=1,'Debt Tracker'!$P$21&gt;0.01,INDEX('Debt Tracker'!$T$5:$AE$29,17,AC269-1)&gt;0.01))*('Recurring Items'!$H$24&lt;&gt;"Skip")*(DAY(AB269)='Recurring Items'!$F$24)*IFERROR(N('Recurring Items'!$D$24),0)+(IF(AC269=1,'Debt Tracker'!$P$22&gt;0.01,INDEX('Debt Tracker'!$T$5:$AE$29,18,AC269-1)&gt;0.01))*('Recurring Items'!$H$25&lt;&gt;"Skip")*(DAY(AB269)='Recurring Items'!$F$25)*IFERROR(N('Recurring Items'!$D$25),0)+(IF(AC269=1,'Debt Tracker'!$P$23&gt;0.01,INDEX('Debt Tracker'!$T$5:$AE$29,19,AC269-1)&gt;0.01))*('Recurring Items'!$H$26&lt;&gt;"Skip")*(DAY(AB269)='Recurring Items'!$F$26)*IFERROR(N('Recurring Items'!$D$26),0)+(IF(AC269=1,'Debt Tracker'!$P$24&gt;0.01,INDEX('Debt Tracker'!$T$5:$AE$29,20,AC269-1)&gt;0.01))*('Recurring Items'!$H$27&lt;&gt;"Skip")*(DAY(AB269)='Recurring Items'!$F$27)*IFERROR(N('Recurring Items'!$D$27),0)+(IF(AC269=1,'Debt Tracker'!$P$25&gt;0.01,INDEX('Debt Tracker'!$T$5:$AE$29,21,AC269-1)&gt;0.01))*('Recurring Items'!$H$28&lt;&gt;"Skip")*(DAY(AB269)='Recurring Items'!$F$28)*IFERROR(N('Recurring Items'!$D$28),0)+(IF(AC269=1,'Debt Tracker'!$P$26&gt;0.01,INDEX('Debt Tracker'!$T$5:$AE$29,22,AC269-1)&gt;0.01))*('Recurring Items'!$H$29&lt;&gt;"Skip")*(DAY(AB269)='Recurring Items'!$F$29)*IFERROR(N('Recurring Items'!$D$29),0)+(IF(AC269=1,'Debt Tracker'!$P$27&gt;0.01,INDEX('Debt Tracker'!$T$5:$AE$29,23,AC269-1)&gt;0.01))*('Recurring Items'!$H$30&lt;&gt;"Skip")*(DAY(AB269)='Recurring Items'!$F$30)*IFERROR(N('Recurring Items'!$D$30),0)+(IF(AC269=1,'Debt Tracker'!$P$28&gt;0.01,INDEX('Debt Tracker'!$T$5:$AE$29,24,AC269-1)&gt;0.01))*('Recurring Items'!$H$31&lt;&gt;"Skip")*(DAY(AB269)='Recurring Items'!$F$31)*IFERROR(N('Recurring Items'!$D$31),0)+(IF(AC269=1,'Debt Tracker'!$P$29&gt;0.01,INDEX('Debt Tracker'!$T$5:$AE$29,25,AC269-1)&gt;0.01))*('Recurring Items'!$H$32&lt;&gt;"Skip")*(DAY(AB269)='Recurring Items'!$F$32)*IFERROR(N('Recurring Items'!$D$32),0)</f>
        <v>0</v>
      </c>
      <c r="AG269" s="1" t="n">
        <f aca="false">AD269-AE269-AF269</f>
        <v>0</v>
      </c>
      <c r="AH269" s="1" t="n">
        <f aca="false">AH268+AG269</f>
        <v>4365.04</v>
      </c>
    </row>
    <row r="270" customFormat="false" ht="15" hidden="false" customHeight="true" outlineLevel="0" collapsed="false">
      <c r="AA270" s="1" t="n">
        <v>70</v>
      </c>
      <c r="AB270" s="145" t="n">
        <f aca="false">$D$3+70</f>
        <v>46213</v>
      </c>
      <c r="AC270" s="1" t="n">
        <f aca="false">MIN(12,1+DATEDIF($D$3,AB270,"M"))</f>
        <v>3</v>
      </c>
      <c r="AD270" s="1" t="n">
        <f aca="false">SUMPRODUCT(('Recurring Items'!$C$6:$C$56="Income")*('Recurring Items'!$H$6:$H$56&lt;&gt;"Skip")*IFERROR(N('Recurring Items'!$D$6:$D$56),0)*(('Recurring Items'!$E$6:$E$56="Monthly")*(DAY(AB270)='Recurring Items'!$F$6:$F$56)+('Recurring Items'!$E$6:$E$56="Bi-weekly")*(WEEKDAY(AB270)=IFERROR(WEEKDAY('Recurring Items'!$G$6:$G$56),0))*(MOD(AB270-IFERROR('Recurring Items'!$G$6:$G$56,0),14)=0)*(AB270&gt;=IFERROR('Recurring Items'!$G$6:$G$56,9000000000))+('Recurring Items'!$E$6:$E$56="Weekly")*(WEEKDAY(AB270)=IFERROR(WEEKDAY('Recurring Items'!$G$6:$G$56),0))*(AB270&gt;=IFERROR('Recurring Items'!$G$6:$G$56,9000000000))+('Recurring Items'!$E$6:$E$56="One-time")*(AB270='Recurring Items'!$G$6:$G$56)))</f>
        <v>3819.79</v>
      </c>
      <c r="AE270" s="1" t="n">
        <f aca="false">SUMPRODUCT(('Recurring Items'!$C$6:$C$56="Expense")*('Recurring Items'!$H$6:$H$56&lt;&gt;"Skip")*IFERROR(N('Recurring Items'!$D$6:$D$56),0)*(('Recurring Items'!$E$6:$E$56="Monthly")*(DAY(AB270)='Recurring Items'!$F$6:$F$56)+('Recurring Items'!$E$6:$E$56="Bi-weekly")*(WEEKDAY(AB270)=IFERROR(WEEKDAY('Recurring Items'!$G$6:$G$56),0))*(MOD(AB270-IFERROR('Recurring Items'!$G$6:$G$56,0),14)=0)*(AB270&gt;=IFERROR('Recurring Items'!$G$6:$G$56,9000000000))+('Recurring Items'!$E$6:$E$56="Weekly")*(WEEKDAY(AB270)=IFERROR(WEEKDAY('Recurring Items'!$G$6:$G$56),0))*(AB270&gt;=IFERROR('Recurring Items'!$G$6:$G$56,9000000000))+('Recurring Items'!$E$6:$E$56="One-time")*(AB270='Recurring Items'!$G$6:$G$56)))</f>
        <v>800.22</v>
      </c>
      <c r="AF270" s="1" t="n">
        <f aca="false">(IF(AC270=1,'Debt Tracker'!$P$5&gt;0.01,INDEX('Debt Tracker'!$T$5:$AE$29,1,AC270-1)&gt;0.01))*('Recurring Items'!$H$8&lt;&gt;"Skip")*(DAY(AB270)='Recurring Items'!$F$8)*IFERROR(N('Recurring Items'!$D$8),0)+(IF(AC270=1,'Debt Tracker'!$P$6&gt;0.01,INDEX('Debt Tracker'!$T$5:$AE$29,2,AC270-1)&gt;0.01))*('Recurring Items'!$H$9&lt;&gt;"Skip")*(DAY(AB270)='Recurring Items'!$F$9)*IFERROR(N('Recurring Items'!$D$9),0)+(IF(AC270=1,'Debt Tracker'!$P$7&gt;0.01,INDEX('Debt Tracker'!$T$5:$AE$29,3,AC270-1)&gt;0.01))*('Recurring Items'!$H$10&lt;&gt;"Skip")*(DAY(AB270)='Recurring Items'!$F$10)*IFERROR(N('Recurring Items'!$D$10),0)+(IF(AC270=1,'Debt Tracker'!$P$8&gt;0.01,INDEX('Debt Tracker'!$T$5:$AE$29,4,AC270-1)&gt;0.01))*('Recurring Items'!$H$11&lt;&gt;"Skip")*(DAY(AB270)='Recurring Items'!$F$11)*IFERROR(N('Recurring Items'!$D$11),0)+(IF(AC270=1,'Debt Tracker'!$P$9&gt;0.01,INDEX('Debt Tracker'!$T$5:$AE$29,5,AC270-1)&gt;0.01))*('Recurring Items'!$H$12&lt;&gt;"Skip")*(DAY(AB270)='Recurring Items'!$F$12)*IFERROR(N('Recurring Items'!$D$12),0)+(IF(AC270=1,'Debt Tracker'!$P$10&gt;0.01,INDEX('Debt Tracker'!$T$5:$AE$29,6,AC270-1)&gt;0.01))*('Recurring Items'!$H$13&lt;&gt;"Skip")*(DAY(AB270)='Recurring Items'!$F$13)*IFERROR(N('Recurring Items'!$D$13),0)+(IF(AC270=1,'Debt Tracker'!$P$11&gt;0.01,INDEX('Debt Tracker'!$T$5:$AE$29,7,AC270-1)&gt;0.01))*('Recurring Items'!$H$14&lt;&gt;"Skip")*(DAY(AB270)='Recurring Items'!$F$14)*IFERROR(N('Recurring Items'!$D$14),0)+(IF(AC270=1,'Debt Tracker'!$P$12&gt;0.01,INDEX('Debt Tracker'!$T$5:$AE$29,8,AC270-1)&gt;0.01))*('Recurring Items'!$H$15&lt;&gt;"Skip")*(DAY(AB270)='Recurring Items'!$F$15)*IFERROR(N('Recurring Items'!$D$15),0)+(IF(AC270=1,'Debt Tracker'!$P$13&gt;0.01,INDEX('Debt Tracker'!$T$5:$AE$29,9,AC270-1)&gt;0.01))*('Recurring Items'!$H$16&lt;&gt;"Skip")*(DAY(AB270)='Recurring Items'!$F$16)*IFERROR(N('Recurring Items'!$D$16),0)+(IF(AC270=1,'Debt Tracker'!$P$14&gt;0.01,INDEX('Debt Tracker'!$T$5:$AE$29,10,AC270-1)&gt;0.01))*('Recurring Items'!$H$17&lt;&gt;"Skip")*(DAY(AB270)='Recurring Items'!$F$17)*IFERROR(N('Recurring Items'!$D$17),0)+(IF(AC270=1,'Debt Tracker'!$P$15&gt;0.01,INDEX('Debt Tracker'!$T$5:$AE$29,11,AC270-1)&gt;0.01))*('Recurring Items'!$H$18&lt;&gt;"Skip")*(DAY(AB270)='Recurring Items'!$F$18)*IFERROR(N('Recurring Items'!$D$18),0)+(IF(AC270=1,'Debt Tracker'!$P$16&gt;0.01,INDEX('Debt Tracker'!$T$5:$AE$29,12,AC270-1)&gt;0.01))*('Recurring Items'!$H$19&lt;&gt;"Skip")*(DAY(AB270)='Recurring Items'!$F$19)*IFERROR(N('Recurring Items'!$D$19),0)+(IF(AC270=1,'Debt Tracker'!$P$17&gt;0.01,INDEX('Debt Tracker'!$T$5:$AE$29,13,AC270-1)&gt;0.01))*('Recurring Items'!$H$20&lt;&gt;"Skip")*(DAY(AB270)='Recurring Items'!$F$20)*IFERROR(N('Recurring Items'!$D$20),0)+(IF(AC270=1,'Debt Tracker'!$P$18&gt;0.01,INDEX('Debt Tracker'!$T$5:$AE$29,14,AC270-1)&gt;0.01))*('Recurring Items'!$H$21&lt;&gt;"Skip")*(DAY(AB270)='Recurring Items'!$F$21)*IFERROR(N('Recurring Items'!$D$21),0)+(IF(AC270=1,'Debt Tracker'!$P$19&gt;0.01,INDEX('Debt Tracker'!$T$5:$AE$29,15,AC270-1)&gt;0.01))*('Recurring Items'!$H$22&lt;&gt;"Skip")*(DAY(AB270)='Recurring Items'!$F$22)*IFERROR(N('Recurring Items'!$D$22),0)+(IF(AC270=1,'Debt Tracker'!$P$20&gt;0.01,INDEX('Debt Tracker'!$T$5:$AE$29,16,AC270-1)&gt;0.01))*('Recurring Items'!$H$23&lt;&gt;"Skip")*(DAY(AB270)='Recurring Items'!$F$23)*IFERROR(N('Recurring Items'!$D$23),0)+(IF(AC270=1,'Debt Tracker'!$P$21&gt;0.01,INDEX('Debt Tracker'!$T$5:$AE$29,17,AC270-1)&gt;0.01))*('Recurring Items'!$H$24&lt;&gt;"Skip")*(DAY(AB270)='Recurring Items'!$F$24)*IFERROR(N('Recurring Items'!$D$24),0)+(IF(AC270=1,'Debt Tracker'!$P$22&gt;0.01,INDEX('Debt Tracker'!$T$5:$AE$29,18,AC270-1)&gt;0.01))*('Recurring Items'!$H$25&lt;&gt;"Skip")*(DAY(AB270)='Recurring Items'!$F$25)*IFERROR(N('Recurring Items'!$D$25),0)+(IF(AC270=1,'Debt Tracker'!$P$23&gt;0.01,INDEX('Debt Tracker'!$T$5:$AE$29,19,AC270-1)&gt;0.01))*('Recurring Items'!$H$26&lt;&gt;"Skip")*(DAY(AB270)='Recurring Items'!$F$26)*IFERROR(N('Recurring Items'!$D$26),0)+(IF(AC270=1,'Debt Tracker'!$P$24&gt;0.01,INDEX('Debt Tracker'!$T$5:$AE$29,20,AC270-1)&gt;0.01))*('Recurring Items'!$H$27&lt;&gt;"Skip")*(DAY(AB270)='Recurring Items'!$F$27)*IFERROR(N('Recurring Items'!$D$27),0)+(IF(AC270=1,'Debt Tracker'!$P$25&gt;0.01,INDEX('Debt Tracker'!$T$5:$AE$29,21,AC270-1)&gt;0.01))*('Recurring Items'!$H$28&lt;&gt;"Skip")*(DAY(AB270)='Recurring Items'!$F$28)*IFERROR(N('Recurring Items'!$D$28),0)+(IF(AC270=1,'Debt Tracker'!$P$26&gt;0.01,INDEX('Debt Tracker'!$T$5:$AE$29,22,AC270-1)&gt;0.01))*('Recurring Items'!$H$29&lt;&gt;"Skip")*(DAY(AB270)='Recurring Items'!$F$29)*IFERROR(N('Recurring Items'!$D$29),0)+(IF(AC270=1,'Debt Tracker'!$P$27&gt;0.01,INDEX('Debt Tracker'!$T$5:$AE$29,23,AC270-1)&gt;0.01))*('Recurring Items'!$H$30&lt;&gt;"Skip")*(DAY(AB270)='Recurring Items'!$F$30)*IFERROR(N('Recurring Items'!$D$30),0)+(IF(AC270=1,'Debt Tracker'!$P$28&gt;0.01,INDEX('Debt Tracker'!$T$5:$AE$29,24,AC270-1)&gt;0.01))*('Recurring Items'!$H$31&lt;&gt;"Skip")*(DAY(AB270)='Recurring Items'!$F$31)*IFERROR(N('Recurring Items'!$D$31),0)+(IF(AC270=1,'Debt Tracker'!$P$29&gt;0.01,INDEX('Debt Tracker'!$T$5:$AE$29,25,AC270-1)&gt;0.01))*('Recurring Items'!$H$32&lt;&gt;"Skip")*(DAY(AB270)='Recurring Items'!$F$32)*IFERROR(N('Recurring Items'!$D$32),0)</f>
        <v>72.54</v>
      </c>
      <c r="AG270" s="1" t="n">
        <f aca="false">AD270-AE270-AF270</f>
        <v>2947.03</v>
      </c>
      <c r="AH270" s="1" t="n">
        <f aca="false">AH269+AG270</f>
        <v>7312.07</v>
      </c>
    </row>
    <row r="271" customFormat="false" ht="15" hidden="false" customHeight="true" outlineLevel="0" collapsed="false">
      <c r="AA271" s="1" t="n">
        <v>71</v>
      </c>
      <c r="AB271" s="145" t="n">
        <f aca="false">$D$3+71</f>
        <v>46214</v>
      </c>
      <c r="AC271" s="1" t="n">
        <f aca="false">MIN(12,1+DATEDIF($D$3,AB271,"M"))</f>
        <v>3</v>
      </c>
      <c r="AD271" s="1" t="n">
        <f aca="false">SUMPRODUCT(('Recurring Items'!$C$6:$C$56="Income")*('Recurring Items'!$H$6:$H$56&lt;&gt;"Skip")*IFERROR(N('Recurring Items'!$D$6:$D$56),0)*(('Recurring Items'!$E$6:$E$56="Monthly")*(DAY(AB271)='Recurring Items'!$F$6:$F$56)+('Recurring Items'!$E$6:$E$56="Bi-weekly")*(WEEKDAY(AB271)=IFERROR(WEEKDAY('Recurring Items'!$G$6:$G$56),0))*(MOD(AB271-IFERROR('Recurring Items'!$G$6:$G$56,0),14)=0)*(AB271&gt;=IFERROR('Recurring Items'!$G$6:$G$56,9000000000))+('Recurring Items'!$E$6:$E$56="Weekly")*(WEEKDAY(AB271)=IFERROR(WEEKDAY('Recurring Items'!$G$6:$G$56),0))*(AB271&gt;=IFERROR('Recurring Items'!$G$6:$G$56,9000000000))+('Recurring Items'!$E$6:$E$56="One-time")*(AB271='Recurring Items'!$G$6:$G$56)))</f>
        <v>0</v>
      </c>
      <c r="AE271" s="1" t="n">
        <f aca="false">SUMPRODUCT(('Recurring Items'!$C$6:$C$56="Expense")*('Recurring Items'!$H$6:$H$56&lt;&gt;"Skip")*IFERROR(N('Recurring Items'!$D$6:$D$56),0)*(('Recurring Items'!$E$6:$E$56="Monthly")*(DAY(AB271)='Recurring Items'!$F$6:$F$56)+('Recurring Items'!$E$6:$E$56="Bi-weekly")*(WEEKDAY(AB271)=IFERROR(WEEKDAY('Recurring Items'!$G$6:$G$56),0))*(MOD(AB271-IFERROR('Recurring Items'!$G$6:$G$56,0),14)=0)*(AB271&gt;=IFERROR('Recurring Items'!$G$6:$G$56,9000000000))+('Recurring Items'!$E$6:$E$56="Weekly")*(WEEKDAY(AB271)=IFERROR(WEEKDAY('Recurring Items'!$G$6:$G$56),0))*(AB271&gt;=IFERROR('Recurring Items'!$G$6:$G$56,9000000000))+('Recurring Items'!$E$6:$E$56="One-time")*(AB271='Recurring Items'!$G$6:$G$56)))</f>
        <v>0</v>
      </c>
      <c r="AF271" s="1" t="n">
        <f aca="false">(IF(AC271=1,'Debt Tracker'!$P$5&gt;0.01,INDEX('Debt Tracker'!$T$5:$AE$29,1,AC271-1)&gt;0.01))*('Recurring Items'!$H$8&lt;&gt;"Skip")*(DAY(AB271)='Recurring Items'!$F$8)*IFERROR(N('Recurring Items'!$D$8),0)+(IF(AC271=1,'Debt Tracker'!$P$6&gt;0.01,INDEX('Debt Tracker'!$T$5:$AE$29,2,AC271-1)&gt;0.01))*('Recurring Items'!$H$9&lt;&gt;"Skip")*(DAY(AB271)='Recurring Items'!$F$9)*IFERROR(N('Recurring Items'!$D$9),0)+(IF(AC271=1,'Debt Tracker'!$P$7&gt;0.01,INDEX('Debt Tracker'!$T$5:$AE$29,3,AC271-1)&gt;0.01))*('Recurring Items'!$H$10&lt;&gt;"Skip")*(DAY(AB271)='Recurring Items'!$F$10)*IFERROR(N('Recurring Items'!$D$10),0)+(IF(AC271=1,'Debt Tracker'!$P$8&gt;0.01,INDEX('Debt Tracker'!$T$5:$AE$29,4,AC271-1)&gt;0.01))*('Recurring Items'!$H$11&lt;&gt;"Skip")*(DAY(AB271)='Recurring Items'!$F$11)*IFERROR(N('Recurring Items'!$D$11),0)+(IF(AC271=1,'Debt Tracker'!$P$9&gt;0.01,INDEX('Debt Tracker'!$T$5:$AE$29,5,AC271-1)&gt;0.01))*('Recurring Items'!$H$12&lt;&gt;"Skip")*(DAY(AB271)='Recurring Items'!$F$12)*IFERROR(N('Recurring Items'!$D$12),0)+(IF(AC271=1,'Debt Tracker'!$P$10&gt;0.01,INDEX('Debt Tracker'!$T$5:$AE$29,6,AC271-1)&gt;0.01))*('Recurring Items'!$H$13&lt;&gt;"Skip")*(DAY(AB271)='Recurring Items'!$F$13)*IFERROR(N('Recurring Items'!$D$13),0)+(IF(AC271=1,'Debt Tracker'!$P$11&gt;0.01,INDEX('Debt Tracker'!$T$5:$AE$29,7,AC271-1)&gt;0.01))*('Recurring Items'!$H$14&lt;&gt;"Skip")*(DAY(AB271)='Recurring Items'!$F$14)*IFERROR(N('Recurring Items'!$D$14),0)+(IF(AC271=1,'Debt Tracker'!$P$12&gt;0.01,INDEX('Debt Tracker'!$T$5:$AE$29,8,AC271-1)&gt;0.01))*('Recurring Items'!$H$15&lt;&gt;"Skip")*(DAY(AB271)='Recurring Items'!$F$15)*IFERROR(N('Recurring Items'!$D$15),0)+(IF(AC271=1,'Debt Tracker'!$P$13&gt;0.01,INDEX('Debt Tracker'!$T$5:$AE$29,9,AC271-1)&gt;0.01))*('Recurring Items'!$H$16&lt;&gt;"Skip")*(DAY(AB271)='Recurring Items'!$F$16)*IFERROR(N('Recurring Items'!$D$16),0)+(IF(AC271=1,'Debt Tracker'!$P$14&gt;0.01,INDEX('Debt Tracker'!$T$5:$AE$29,10,AC271-1)&gt;0.01))*('Recurring Items'!$H$17&lt;&gt;"Skip")*(DAY(AB271)='Recurring Items'!$F$17)*IFERROR(N('Recurring Items'!$D$17),0)+(IF(AC271=1,'Debt Tracker'!$P$15&gt;0.01,INDEX('Debt Tracker'!$T$5:$AE$29,11,AC271-1)&gt;0.01))*('Recurring Items'!$H$18&lt;&gt;"Skip")*(DAY(AB271)='Recurring Items'!$F$18)*IFERROR(N('Recurring Items'!$D$18),0)+(IF(AC271=1,'Debt Tracker'!$P$16&gt;0.01,INDEX('Debt Tracker'!$T$5:$AE$29,12,AC271-1)&gt;0.01))*('Recurring Items'!$H$19&lt;&gt;"Skip")*(DAY(AB271)='Recurring Items'!$F$19)*IFERROR(N('Recurring Items'!$D$19),0)+(IF(AC271=1,'Debt Tracker'!$P$17&gt;0.01,INDEX('Debt Tracker'!$T$5:$AE$29,13,AC271-1)&gt;0.01))*('Recurring Items'!$H$20&lt;&gt;"Skip")*(DAY(AB271)='Recurring Items'!$F$20)*IFERROR(N('Recurring Items'!$D$20),0)+(IF(AC271=1,'Debt Tracker'!$P$18&gt;0.01,INDEX('Debt Tracker'!$T$5:$AE$29,14,AC271-1)&gt;0.01))*('Recurring Items'!$H$21&lt;&gt;"Skip")*(DAY(AB271)='Recurring Items'!$F$21)*IFERROR(N('Recurring Items'!$D$21),0)+(IF(AC271=1,'Debt Tracker'!$P$19&gt;0.01,INDEX('Debt Tracker'!$T$5:$AE$29,15,AC271-1)&gt;0.01))*('Recurring Items'!$H$22&lt;&gt;"Skip")*(DAY(AB271)='Recurring Items'!$F$22)*IFERROR(N('Recurring Items'!$D$22),0)+(IF(AC271=1,'Debt Tracker'!$P$20&gt;0.01,INDEX('Debt Tracker'!$T$5:$AE$29,16,AC271-1)&gt;0.01))*('Recurring Items'!$H$23&lt;&gt;"Skip")*(DAY(AB271)='Recurring Items'!$F$23)*IFERROR(N('Recurring Items'!$D$23),0)+(IF(AC271=1,'Debt Tracker'!$P$21&gt;0.01,INDEX('Debt Tracker'!$T$5:$AE$29,17,AC271-1)&gt;0.01))*('Recurring Items'!$H$24&lt;&gt;"Skip")*(DAY(AB271)='Recurring Items'!$F$24)*IFERROR(N('Recurring Items'!$D$24),0)+(IF(AC271=1,'Debt Tracker'!$P$22&gt;0.01,INDEX('Debt Tracker'!$T$5:$AE$29,18,AC271-1)&gt;0.01))*('Recurring Items'!$H$25&lt;&gt;"Skip")*(DAY(AB271)='Recurring Items'!$F$25)*IFERROR(N('Recurring Items'!$D$25),0)+(IF(AC271=1,'Debt Tracker'!$P$23&gt;0.01,INDEX('Debt Tracker'!$T$5:$AE$29,19,AC271-1)&gt;0.01))*('Recurring Items'!$H$26&lt;&gt;"Skip")*(DAY(AB271)='Recurring Items'!$F$26)*IFERROR(N('Recurring Items'!$D$26),0)+(IF(AC271=1,'Debt Tracker'!$P$24&gt;0.01,INDEX('Debt Tracker'!$T$5:$AE$29,20,AC271-1)&gt;0.01))*('Recurring Items'!$H$27&lt;&gt;"Skip")*(DAY(AB271)='Recurring Items'!$F$27)*IFERROR(N('Recurring Items'!$D$27),0)+(IF(AC271=1,'Debt Tracker'!$P$25&gt;0.01,INDEX('Debt Tracker'!$T$5:$AE$29,21,AC271-1)&gt;0.01))*('Recurring Items'!$H$28&lt;&gt;"Skip")*(DAY(AB271)='Recurring Items'!$F$28)*IFERROR(N('Recurring Items'!$D$28),0)+(IF(AC271=1,'Debt Tracker'!$P$26&gt;0.01,INDEX('Debt Tracker'!$T$5:$AE$29,22,AC271-1)&gt;0.01))*('Recurring Items'!$H$29&lt;&gt;"Skip")*(DAY(AB271)='Recurring Items'!$F$29)*IFERROR(N('Recurring Items'!$D$29),0)+(IF(AC271=1,'Debt Tracker'!$P$27&gt;0.01,INDEX('Debt Tracker'!$T$5:$AE$29,23,AC271-1)&gt;0.01))*('Recurring Items'!$H$30&lt;&gt;"Skip")*(DAY(AB271)='Recurring Items'!$F$30)*IFERROR(N('Recurring Items'!$D$30),0)+(IF(AC271=1,'Debt Tracker'!$P$28&gt;0.01,INDEX('Debt Tracker'!$T$5:$AE$29,24,AC271-1)&gt;0.01))*('Recurring Items'!$H$31&lt;&gt;"Skip")*(DAY(AB271)='Recurring Items'!$F$31)*IFERROR(N('Recurring Items'!$D$31),0)+(IF(AC271=1,'Debt Tracker'!$P$29&gt;0.01,INDEX('Debt Tracker'!$T$5:$AE$29,25,AC271-1)&gt;0.01))*('Recurring Items'!$H$32&lt;&gt;"Skip")*(DAY(AB271)='Recurring Items'!$F$32)*IFERROR(N('Recurring Items'!$D$32),0)</f>
        <v>0</v>
      </c>
      <c r="AG271" s="1" t="n">
        <f aca="false">AD271-AE271-AF271</f>
        <v>0</v>
      </c>
      <c r="AH271" s="1" t="n">
        <f aca="false">AH270+AG271</f>
        <v>7312.07</v>
      </c>
    </row>
    <row r="272" customFormat="false" ht="15" hidden="false" customHeight="true" outlineLevel="0" collapsed="false">
      <c r="AA272" s="1" t="n">
        <v>72</v>
      </c>
      <c r="AB272" s="145" t="n">
        <f aca="false">$D$3+72</f>
        <v>46215</v>
      </c>
      <c r="AC272" s="1" t="n">
        <f aca="false">MIN(12,1+DATEDIF($D$3,AB272,"M"))</f>
        <v>3</v>
      </c>
      <c r="AD272" s="1" t="n">
        <f aca="false">SUMPRODUCT(('Recurring Items'!$C$6:$C$56="Income")*('Recurring Items'!$H$6:$H$56&lt;&gt;"Skip")*IFERROR(N('Recurring Items'!$D$6:$D$56),0)*(('Recurring Items'!$E$6:$E$56="Monthly")*(DAY(AB272)='Recurring Items'!$F$6:$F$56)+('Recurring Items'!$E$6:$E$56="Bi-weekly")*(WEEKDAY(AB272)=IFERROR(WEEKDAY('Recurring Items'!$G$6:$G$56),0))*(MOD(AB272-IFERROR('Recurring Items'!$G$6:$G$56,0),14)=0)*(AB272&gt;=IFERROR('Recurring Items'!$G$6:$G$56,9000000000))+('Recurring Items'!$E$6:$E$56="Weekly")*(WEEKDAY(AB272)=IFERROR(WEEKDAY('Recurring Items'!$G$6:$G$56),0))*(AB272&gt;=IFERROR('Recurring Items'!$G$6:$G$56,9000000000))+('Recurring Items'!$E$6:$E$56="One-time")*(AB272='Recurring Items'!$G$6:$G$56)))</f>
        <v>0</v>
      </c>
      <c r="AE272" s="1" t="n">
        <f aca="false">SUMPRODUCT(('Recurring Items'!$C$6:$C$56="Expense")*('Recurring Items'!$H$6:$H$56&lt;&gt;"Skip")*IFERROR(N('Recurring Items'!$D$6:$D$56),0)*(('Recurring Items'!$E$6:$E$56="Monthly")*(DAY(AB272)='Recurring Items'!$F$6:$F$56)+('Recurring Items'!$E$6:$E$56="Bi-weekly")*(WEEKDAY(AB272)=IFERROR(WEEKDAY('Recurring Items'!$G$6:$G$56),0))*(MOD(AB272-IFERROR('Recurring Items'!$G$6:$G$56,0),14)=0)*(AB272&gt;=IFERROR('Recurring Items'!$G$6:$G$56,9000000000))+('Recurring Items'!$E$6:$E$56="Weekly")*(WEEKDAY(AB272)=IFERROR(WEEKDAY('Recurring Items'!$G$6:$G$56),0))*(AB272&gt;=IFERROR('Recurring Items'!$G$6:$G$56,9000000000))+('Recurring Items'!$E$6:$E$56="One-time")*(AB272='Recurring Items'!$G$6:$G$56)))</f>
        <v>167.68</v>
      </c>
      <c r="AF272" s="1" t="n">
        <f aca="false">(IF(AC272=1,'Debt Tracker'!$P$5&gt;0.01,INDEX('Debt Tracker'!$T$5:$AE$29,1,AC272-1)&gt;0.01))*('Recurring Items'!$H$8&lt;&gt;"Skip")*(DAY(AB272)='Recurring Items'!$F$8)*IFERROR(N('Recurring Items'!$D$8),0)+(IF(AC272=1,'Debt Tracker'!$P$6&gt;0.01,INDEX('Debt Tracker'!$T$5:$AE$29,2,AC272-1)&gt;0.01))*('Recurring Items'!$H$9&lt;&gt;"Skip")*(DAY(AB272)='Recurring Items'!$F$9)*IFERROR(N('Recurring Items'!$D$9),0)+(IF(AC272=1,'Debt Tracker'!$P$7&gt;0.01,INDEX('Debt Tracker'!$T$5:$AE$29,3,AC272-1)&gt;0.01))*('Recurring Items'!$H$10&lt;&gt;"Skip")*(DAY(AB272)='Recurring Items'!$F$10)*IFERROR(N('Recurring Items'!$D$10),0)+(IF(AC272=1,'Debt Tracker'!$P$8&gt;0.01,INDEX('Debt Tracker'!$T$5:$AE$29,4,AC272-1)&gt;0.01))*('Recurring Items'!$H$11&lt;&gt;"Skip")*(DAY(AB272)='Recurring Items'!$F$11)*IFERROR(N('Recurring Items'!$D$11),0)+(IF(AC272=1,'Debt Tracker'!$P$9&gt;0.01,INDEX('Debt Tracker'!$T$5:$AE$29,5,AC272-1)&gt;0.01))*('Recurring Items'!$H$12&lt;&gt;"Skip")*(DAY(AB272)='Recurring Items'!$F$12)*IFERROR(N('Recurring Items'!$D$12),0)+(IF(AC272=1,'Debt Tracker'!$P$10&gt;0.01,INDEX('Debt Tracker'!$T$5:$AE$29,6,AC272-1)&gt;0.01))*('Recurring Items'!$H$13&lt;&gt;"Skip")*(DAY(AB272)='Recurring Items'!$F$13)*IFERROR(N('Recurring Items'!$D$13),0)+(IF(AC272=1,'Debt Tracker'!$P$11&gt;0.01,INDEX('Debt Tracker'!$T$5:$AE$29,7,AC272-1)&gt;0.01))*('Recurring Items'!$H$14&lt;&gt;"Skip")*(DAY(AB272)='Recurring Items'!$F$14)*IFERROR(N('Recurring Items'!$D$14),0)+(IF(AC272=1,'Debt Tracker'!$P$12&gt;0.01,INDEX('Debt Tracker'!$T$5:$AE$29,8,AC272-1)&gt;0.01))*('Recurring Items'!$H$15&lt;&gt;"Skip")*(DAY(AB272)='Recurring Items'!$F$15)*IFERROR(N('Recurring Items'!$D$15),0)+(IF(AC272=1,'Debt Tracker'!$P$13&gt;0.01,INDEX('Debt Tracker'!$T$5:$AE$29,9,AC272-1)&gt;0.01))*('Recurring Items'!$H$16&lt;&gt;"Skip")*(DAY(AB272)='Recurring Items'!$F$16)*IFERROR(N('Recurring Items'!$D$16),0)+(IF(AC272=1,'Debt Tracker'!$P$14&gt;0.01,INDEX('Debt Tracker'!$T$5:$AE$29,10,AC272-1)&gt;0.01))*('Recurring Items'!$H$17&lt;&gt;"Skip")*(DAY(AB272)='Recurring Items'!$F$17)*IFERROR(N('Recurring Items'!$D$17),0)+(IF(AC272=1,'Debt Tracker'!$P$15&gt;0.01,INDEX('Debt Tracker'!$T$5:$AE$29,11,AC272-1)&gt;0.01))*('Recurring Items'!$H$18&lt;&gt;"Skip")*(DAY(AB272)='Recurring Items'!$F$18)*IFERROR(N('Recurring Items'!$D$18),0)+(IF(AC272=1,'Debt Tracker'!$P$16&gt;0.01,INDEX('Debt Tracker'!$T$5:$AE$29,12,AC272-1)&gt;0.01))*('Recurring Items'!$H$19&lt;&gt;"Skip")*(DAY(AB272)='Recurring Items'!$F$19)*IFERROR(N('Recurring Items'!$D$19),0)+(IF(AC272=1,'Debt Tracker'!$P$17&gt;0.01,INDEX('Debt Tracker'!$T$5:$AE$29,13,AC272-1)&gt;0.01))*('Recurring Items'!$H$20&lt;&gt;"Skip")*(DAY(AB272)='Recurring Items'!$F$20)*IFERROR(N('Recurring Items'!$D$20),0)+(IF(AC272=1,'Debt Tracker'!$P$18&gt;0.01,INDEX('Debt Tracker'!$T$5:$AE$29,14,AC272-1)&gt;0.01))*('Recurring Items'!$H$21&lt;&gt;"Skip")*(DAY(AB272)='Recurring Items'!$F$21)*IFERROR(N('Recurring Items'!$D$21),0)+(IF(AC272=1,'Debt Tracker'!$P$19&gt;0.01,INDEX('Debt Tracker'!$T$5:$AE$29,15,AC272-1)&gt;0.01))*('Recurring Items'!$H$22&lt;&gt;"Skip")*(DAY(AB272)='Recurring Items'!$F$22)*IFERROR(N('Recurring Items'!$D$22),0)+(IF(AC272=1,'Debt Tracker'!$P$20&gt;0.01,INDEX('Debt Tracker'!$T$5:$AE$29,16,AC272-1)&gt;0.01))*('Recurring Items'!$H$23&lt;&gt;"Skip")*(DAY(AB272)='Recurring Items'!$F$23)*IFERROR(N('Recurring Items'!$D$23),0)+(IF(AC272=1,'Debt Tracker'!$P$21&gt;0.01,INDEX('Debt Tracker'!$T$5:$AE$29,17,AC272-1)&gt;0.01))*('Recurring Items'!$H$24&lt;&gt;"Skip")*(DAY(AB272)='Recurring Items'!$F$24)*IFERROR(N('Recurring Items'!$D$24),0)+(IF(AC272=1,'Debt Tracker'!$P$22&gt;0.01,INDEX('Debt Tracker'!$T$5:$AE$29,18,AC272-1)&gt;0.01))*('Recurring Items'!$H$25&lt;&gt;"Skip")*(DAY(AB272)='Recurring Items'!$F$25)*IFERROR(N('Recurring Items'!$D$25),0)+(IF(AC272=1,'Debt Tracker'!$P$23&gt;0.01,INDEX('Debt Tracker'!$T$5:$AE$29,19,AC272-1)&gt;0.01))*('Recurring Items'!$H$26&lt;&gt;"Skip")*(DAY(AB272)='Recurring Items'!$F$26)*IFERROR(N('Recurring Items'!$D$26),0)+(IF(AC272=1,'Debt Tracker'!$P$24&gt;0.01,INDEX('Debt Tracker'!$T$5:$AE$29,20,AC272-1)&gt;0.01))*('Recurring Items'!$H$27&lt;&gt;"Skip")*(DAY(AB272)='Recurring Items'!$F$27)*IFERROR(N('Recurring Items'!$D$27),0)+(IF(AC272=1,'Debt Tracker'!$P$25&gt;0.01,INDEX('Debt Tracker'!$T$5:$AE$29,21,AC272-1)&gt;0.01))*('Recurring Items'!$H$28&lt;&gt;"Skip")*(DAY(AB272)='Recurring Items'!$F$28)*IFERROR(N('Recurring Items'!$D$28),0)+(IF(AC272=1,'Debt Tracker'!$P$26&gt;0.01,INDEX('Debt Tracker'!$T$5:$AE$29,22,AC272-1)&gt;0.01))*('Recurring Items'!$H$29&lt;&gt;"Skip")*(DAY(AB272)='Recurring Items'!$F$29)*IFERROR(N('Recurring Items'!$D$29),0)+(IF(AC272=1,'Debt Tracker'!$P$27&gt;0.01,INDEX('Debt Tracker'!$T$5:$AE$29,23,AC272-1)&gt;0.01))*('Recurring Items'!$H$30&lt;&gt;"Skip")*(DAY(AB272)='Recurring Items'!$F$30)*IFERROR(N('Recurring Items'!$D$30),0)+(IF(AC272=1,'Debt Tracker'!$P$28&gt;0.01,INDEX('Debt Tracker'!$T$5:$AE$29,24,AC272-1)&gt;0.01))*('Recurring Items'!$H$31&lt;&gt;"Skip")*(DAY(AB272)='Recurring Items'!$F$31)*IFERROR(N('Recurring Items'!$D$31),0)+(IF(AC272=1,'Debt Tracker'!$P$29&gt;0.01,INDEX('Debt Tracker'!$T$5:$AE$29,25,AC272-1)&gt;0.01))*('Recurring Items'!$H$32&lt;&gt;"Skip")*(DAY(AB272)='Recurring Items'!$F$32)*IFERROR(N('Recurring Items'!$D$32),0)</f>
        <v>0</v>
      </c>
      <c r="AG272" s="1" t="n">
        <f aca="false">AD272-AE272-AF272</f>
        <v>-167.68</v>
      </c>
      <c r="AH272" s="1" t="n">
        <f aca="false">AH271+AG272</f>
        <v>7144.39</v>
      </c>
    </row>
    <row r="273" customFormat="false" ht="15" hidden="false" customHeight="true" outlineLevel="0" collapsed="false">
      <c r="AA273" s="1" t="n">
        <v>73</v>
      </c>
      <c r="AB273" s="145" t="n">
        <f aca="false">$D$3+73</f>
        <v>46216</v>
      </c>
      <c r="AC273" s="1" t="n">
        <f aca="false">MIN(12,1+DATEDIF($D$3,AB273,"M"))</f>
        <v>3</v>
      </c>
      <c r="AD273" s="1" t="n">
        <f aca="false">SUMPRODUCT(('Recurring Items'!$C$6:$C$56="Income")*('Recurring Items'!$H$6:$H$56&lt;&gt;"Skip")*IFERROR(N('Recurring Items'!$D$6:$D$56),0)*(('Recurring Items'!$E$6:$E$56="Monthly")*(DAY(AB273)='Recurring Items'!$F$6:$F$56)+('Recurring Items'!$E$6:$E$56="Bi-weekly")*(WEEKDAY(AB273)=IFERROR(WEEKDAY('Recurring Items'!$G$6:$G$56),0))*(MOD(AB273-IFERROR('Recurring Items'!$G$6:$G$56,0),14)=0)*(AB273&gt;=IFERROR('Recurring Items'!$G$6:$G$56,9000000000))+('Recurring Items'!$E$6:$E$56="Weekly")*(WEEKDAY(AB273)=IFERROR(WEEKDAY('Recurring Items'!$G$6:$G$56),0))*(AB273&gt;=IFERROR('Recurring Items'!$G$6:$G$56,9000000000))+('Recurring Items'!$E$6:$E$56="One-time")*(AB273='Recurring Items'!$G$6:$G$56)))</f>
        <v>0</v>
      </c>
      <c r="AE273" s="1" t="n">
        <f aca="false">SUMPRODUCT(('Recurring Items'!$C$6:$C$56="Expense")*('Recurring Items'!$H$6:$H$56&lt;&gt;"Skip")*IFERROR(N('Recurring Items'!$D$6:$D$56),0)*(('Recurring Items'!$E$6:$E$56="Monthly")*(DAY(AB273)='Recurring Items'!$F$6:$F$56)+('Recurring Items'!$E$6:$E$56="Bi-weekly")*(WEEKDAY(AB273)=IFERROR(WEEKDAY('Recurring Items'!$G$6:$G$56),0))*(MOD(AB273-IFERROR('Recurring Items'!$G$6:$G$56,0),14)=0)*(AB273&gt;=IFERROR('Recurring Items'!$G$6:$G$56,9000000000))+('Recurring Items'!$E$6:$E$56="Weekly")*(WEEKDAY(AB273)=IFERROR(WEEKDAY('Recurring Items'!$G$6:$G$56),0))*(AB273&gt;=IFERROR('Recurring Items'!$G$6:$G$56,9000000000))+('Recurring Items'!$E$6:$E$56="One-time")*(AB273='Recurring Items'!$G$6:$G$56)))</f>
        <v>0</v>
      </c>
      <c r="AF273" s="1" t="n">
        <f aca="false">(IF(AC273=1,'Debt Tracker'!$P$5&gt;0.01,INDEX('Debt Tracker'!$T$5:$AE$29,1,AC273-1)&gt;0.01))*('Recurring Items'!$H$8&lt;&gt;"Skip")*(DAY(AB273)='Recurring Items'!$F$8)*IFERROR(N('Recurring Items'!$D$8),0)+(IF(AC273=1,'Debt Tracker'!$P$6&gt;0.01,INDEX('Debt Tracker'!$T$5:$AE$29,2,AC273-1)&gt;0.01))*('Recurring Items'!$H$9&lt;&gt;"Skip")*(DAY(AB273)='Recurring Items'!$F$9)*IFERROR(N('Recurring Items'!$D$9),0)+(IF(AC273=1,'Debt Tracker'!$P$7&gt;0.01,INDEX('Debt Tracker'!$T$5:$AE$29,3,AC273-1)&gt;0.01))*('Recurring Items'!$H$10&lt;&gt;"Skip")*(DAY(AB273)='Recurring Items'!$F$10)*IFERROR(N('Recurring Items'!$D$10),0)+(IF(AC273=1,'Debt Tracker'!$P$8&gt;0.01,INDEX('Debt Tracker'!$T$5:$AE$29,4,AC273-1)&gt;0.01))*('Recurring Items'!$H$11&lt;&gt;"Skip")*(DAY(AB273)='Recurring Items'!$F$11)*IFERROR(N('Recurring Items'!$D$11),0)+(IF(AC273=1,'Debt Tracker'!$P$9&gt;0.01,INDEX('Debt Tracker'!$T$5:$AE$29,5,AC273-1)&gt;0.01))*('Recurring Items'!$H$12&lt;&gt;"Skip")*(DAY(AB273)='Recurring Items'!$F$12)*IFERROR(N('Recurring Items'!$D$12),0)+(IF(AC273=1,'Debt Tracker'!$P$10&gt;0.01,INDEX('Debt Tracker'!$T$5:$AE$29,6,AC273-1)&gt;0.01))*('Recurring Items'!$H$13&lt;&gt;"Skip")*(DAY(AB273)='Recurring Items'!$F$13)*IFERROR(N('Recurring Items'!$D$13),0)+(IF(AC273=1,'Debt Tracker'!$P$11&gt;0.01,INDEX('Debt Tracker'!$T$5:$AE$29,7,AC273-1)&gt;0.01))*('Recurring Items'!$H$14&lt;&gt;"Skip")*(DAY(AB273)='Recurring Items'!$F$14)*IFERROR(N('Recurring Items'!$D$14),0)+(IF(AC273=1,'Debt Tracker'!$P$12&gt;0.01,INDEX('Debt Tracker'!$T$5:$AE$29,8,AC273-1)&gt;0.01))*('Recurring Items'!$H$15&lt;&gt;"Skip")*(DAY(AB273)='Recurring Items'!$F$15)*IFERROR(N('Recurring Items'!$D$15),0)+(IF(AC273=1,'Debt Tracker'!$P$13&gt;0.01,INDEX('Debt Tracker'!$T$5:$AE$29,9,AC273-1)&gt;0.01))*('Recurring Items'!$H$16&lt;&gt;"Skip")*(DAY(AB273)='Recurring Items'!$F$16)*IFERROR(N('Recurring Items'!$D$16),0)+(IF(AC273=1,'Debt Tracker'!$P$14&gt;0.01,INDEX('Debt Tracker'!$T$5:$AE$29,10,AC273-1)&gt;0.01))*('Recurring Items'!$H$17&lt;&gt;"Skip")*(DAY(AB273)='Recurring Items'!$F$17)*IFERROR(N('Recurring Items'!$D$17),0)+(IF(AC273=1,'Debt Tracker'!$P$15&gt;0.01,INDEX('Debt Tracker'!$T$5:$AE$29,11,AC273-1)&gt;0.01))*('Recurring Items'!$H$18&lt;&gt;"Skip")*(DAY(AB273)='Recurring Items'!$F$18)*IFERROR(N('Recurring Items'!$D$18),0)+(IF(AC273=1,'Debt Tracker'!$P$16&gt;0.01,INDEX('Debt Tracker'!$T$5:$AE$29,12,AC273-1)&gt;0.01))*('Recurring Items'!$H$19&lt;&gt;"Skip")*(DAY(AB273)='Recurring Items'!$F$19)*IFERROR(N('Recurring Items'!$D$19),0)+(IF(AC273=1,'Debt Tracker'!$P$17&gt;0.01,INDEX('Debt Tracker'!$T$5:$AE$29,13,AC273-1)&gt;0.01))*('Recurring Items'!$H$20&lt;&gt;"Skip")*(DAY(AB273)='Recurring Items'!$F$20)*IFERROR(N('Recurring Items'!$D$20),0)+(IF(AC273=1,'Debt Tracker'!$P$18&gt;0.01,INDEX('Debt Tracker'!$T$5:$AE$29,14,AC273-1)&gt;0.01))*('Recurring Items'!$H$21&lt;&gt;"Skip")*(DAY(AB273)='Recurring Items'!$F$21)*IFERROR(N('Recurring Items'!$D$21),0)+(IF(AC273=1,'Debt Tracker'!$P$19&gt;0.01,INDEX('Debt Tracker'!$T$5:$AE$29,15,AC273-1)&gt;0.01))*('Recurring Items'!$H$22&lt;&gt;"Skip")*(DAY(AB273)='Recurring Items'!$F$22)*IFERROR(N('Recurring Items'!$D$22),0)+(IF(AC273=1,'Debt Tracker'!$P$20&gt;0.01,INDEX('Debt Tracker'!$T$5:$AE$29,16,AC273-1)&gt;0.01))*('Recurring Items'!$H$23&lt;&gt;"Skip")*(DAY(AB273)='Recurring Items'!$F$23)*IFERROR(N('Recurring Items'!$D$23),0)+(IF(AC273=1,'Debt Tracker'!$P$21&gt;0.01,INDEX('Debt Tracker'!$T$5:$AE$29,17,AC273-1)&gt;0.01))*('Recurring Items'!$H$24&lt;&gt;"Skip")*(DAY(AB273)='Recurring Items'!$F$24)*IFERROR(N('Recurring Items'!$D$24),0)+(IF(AC273=1,'Debt Tracker'!$P$22&gt;0.01,INDEX('Debt Tracker'!$T$5:$AE$29,18,AC273-1)&gt;0.01))*('Recurring Items'!$H$25&lt;&gt;"Skip")*(DAY(AB273)='Recurring Items'!$F$25)*IFERROR(N('Recurring Items'!$D$25),0)+(IF(AC273=1,'Debt Tracker'!$P$23&gt;0.01,INDEX('Debt Tracker'!$T$5:$AE$29,19,AC273-1)&gt;0.01))*('Recurring Items'!$H$26&lt;&gt;"Skip")*(DAY(AB273)='Recurring Items'!$F$26)*IFERROR(N('Recurring Items'!$D$26),0)+(IF(AC273=1,'Debt Tracker'!$P$24&gt;0.01,INDEX('Debt Tracker'!$T$5:$AE$29,20,AC273-1)&gt;0.01))*('Recurring Items'!$H$27&lt;&gt;"Skip")*(DAY(AB273)='Recurring Items'!$F$27)*IFERROR(N('Recurring Items'!$D$27),0)+(IF(AC273=1,'Debt Tracker'!$P$25&gt;0.01,INDEX('Debt Tracker'!$T$5:$AE$29,21,AC273-1)&gt;0.01))*('Recurring Items'!$H$28&lt;&gt;"Skip")*(DAY(AB273)='Recurring Items'!$F$28)*IFERROR(N('Recurring Items'!$D$28),0)+(IF(AC273=1,'Debt Tracker'!$P$26&gt;0.01,INDEX('Debt Tracker'!$T$5:$AE$29,22,AC273-1)&gt;0.01))*('Recurring Items'!$H$29&lt;&gt;"Skip")*(DAY(AB273)='Recurring Items'!$F$29)*IFERROR(N('Recurring Items'!$D$29),0)+(IF(AC273=1,'Debt Tracker'!$P$27&gt;0.01,INDEX('Debt Tracker'!$T$5:$AE$29,23,AC273-1)&gt;0.01))*('Recurring Items'!$H$30&lt;&gt;"Skip")*(DAY(AB273)='Recurring Items'!$F$30)*IFERROR(N('Recurring Items'!$D$30),0)+(IF(AC273=1,'Debt Tracker'!$P$28&gt;0.01,INDEX('Debt Tracker'!$T$5:$AE$29,24,AC273-1)&gt;0.01))*('Recurring Items'!$H$31&lt;&gt;"Skip")*(DAY(AB273)='Recurring Items'!$F$31)*IFERROR(N('Recurring Items'!$D$31),0)+(IF(AC273=1,'Debt Tracker'!$P$29&gt;0.01,INDEX('Debt Tracker'!$T$5:$AE$29,25,AC273-1)&gt;0.01))*('Recurring Items'!$H$32&lt;&gt;"Skip")*(DAY(AB273)='Recurring Items'!$F$32)*IFERROR(N('Recurring Items'!$D$32),0)</f>
        <v>80</v>
      </c>
      <c r="AG273" s="1" t="n">
        <f aca="false">AD273-AE273-AF273</f>
        <v>-80</v>
      </c>
      <c r="AH273" s="1" t="n">
        <f aca="false">AH272+AG273</f>
        <v>7064.39</v>
      </c>
    </row>
    <row r="274" customFormat="false" ht="15" hidden="false" customHeight="true" outlineLevel="0" collapsed="false">
      <c r="AA274" s="1" t="n">
        <v>74</v>
      </c>
      <c r="AB274" s="145" t="n">
        <f aca="false">$D$3+74</f>
        <v>46217</v>
      </c>
      <c r="AC274" s="1" t="n">
        <f aca="false">MIN(12,1+DATEDIF($D$3,AB274,"M"))</f>
        <v>3</v>
      </c>
      <c r="AD274" s="1" t="n">
        <f aca="false">SUMPRODUCT(('Recurring Items'!$C$6:$C$56="Income")*('Recurring Items'!$H$6:$H$56&lt;&gt;"Skip")*IFERROR(N('Recurring Items'!$D$6:$D$56),0)*(('Recurring Items'!$E$6:$E$56="Monthly")*(DAY(AB274)='Recurring Items'!$F$6:$F$56)+('Recurring Items'!$E$6:$E$56="Bi-weekly")*(WEEKDAY(AB274)=IFERROR(WEEKDAY('Recurring Items'!$G$6:$G$56),0))*(MOD(AB274-IFERROR('Recurring Items'!$G$6:$G$56,0),14)=0)*(AB274&gt;=IFERROR('Recurring Items'!$G$6:$G$56,9000000000))+('Recurring Items'!$E$6:$E$56="Weekly")*(WEEKDAY(AB274)=IFERROR(WEEKDAY('Recurring Items'!$G$6:$G$56),0))*(AB274&gt;=IFERROR('Recurring Items'!$G$6:$G$56,9000000000))+('Recurring Items'!$E$6:$E$56="One-time")*(AB274='Recurring Items'!$G$6:$G$56)))</f>
        <v>0</v>
      </c>
      <c r="AE274" s="1" t="n">
        <f aca="false">SUMPRODUCT(('Recurring Items'!$C$6:$C$56="Expense")*('Recurring Items'!$H$6:$H$56&lt;&gt;"Skip")*IFERROR(N('Recurring Items'!$D$6:$D$56),0)*(('Recurring Items'!$E$6:$E$56="Monthly")*(DAY(AB274)='Recurring Items'!$F$6:$F$56)+('Recurring Items'!$E$6:$E$56="Bi-weekly")*(WEEKDAY(AB274)=IFERROR(WEEKDAY('Recurring Items'!$G$6:$G$56),0))*(MOD(AB274-IFERROR('Recurring Items'!$G$6:$G$56,0),14)=0)*(AB274&gt;=IFERROR('Recurring Items'!$G$6:$G$56,9000000000))+('Recurring Items'!$E$6:$E$56="Weekly")*(WEEKDAY(AB274)=IFERROR(WEEKDAY('Recurring Items'!$G$6:$G$56),0))*(AB274&gt;=IFERROR('Recurring Items'!$G$6:$G$56,9000000000))+('Recurring Items'!$E$6:$E$56="One-time")*(AB274='Recurring Items'!$G$6:$G$56)))</f>
        <v>0</v>
      </c>
      <c r="AF274" s="1" t="n">
        <f aca="false">(IF(AC274=1,'Debt Tracker'!$P$5&gt;0.01,INDEX('Debt Tracker'!$T$5:$AE$29,1,AC274-1)&gt;0.01))*('Recurring Items'!$H$8&lt;&gt;"Skip")*(DAY(AB274)='Recurring Items'!$F$8)*IFERROR(N('Recurring Items'!$D$8),0)+(IF(AC274=1,'Debt Tracker'!$P$6&gt;0.01,INDEX('Debt Tracker'!$T$5:$AE$29,2,AC274-1)&gt;0.01))*('Recurring Items'!$H$9&lt;&gt;"Skip")*(DAY(AB274)='Recurring Items'!$F$9)*IFERROR(N('Recurring Items'!$D$9),0)+(IF(AC274=1,'Debt Tracker'!$P$7&gt;0.01,INDEX('Debt Tracker'!$T$5:$AE$29,3,AC274-1)&gt;0.01))*('Recurring Items'!$H$10&lt;&gt;"Skip")*(DAY(AB274)='Recurring Items'!$F$10)*IFERROR(N('Recurring Items'!$D$10),0)+(IF(AC274=1,'Debt Tracker'!$P$8&gt;0.01,INDEX('Debt Tracker'!$T$5:$AE$29,4,AC274-1)&gt;0.01))*('Recurring Items'!$H$11&lt;&gt;"Skip")*(DAY(AB274)='Recurring Items'!$F$11)*IFERROR(N('Recurring Items'!$D$11),0)+(IF(AC274=1,'Debt Tracker'!$P$9&gt;0.01,INDEX('Debt Tracker'!$T$5:$AE$29,5,AC274-1)&gt;0.01))*('Recurring Items'!$H$12&lt;&gt;"Skip")*(DAY(AB274)='Recurring Items'!$F$12)*IFERROR(N('Recurring Items'!$D$12),0)+(IF(AC274=1,'Debt Tracker'!$P$10&gt;0.01,INDEX('Debt Tracker'!$T$5:$AE$29,6,AC274-1)&gt;0.01))*('Recurring Items'!$H$13&lt;&gt;"Skip")*(DAY(AB274)='Recurring Items'!$F$13)*IFERROR(N('Recurring Items'!$D$13),0)+(IF(AC274=1,'Debt Tracker'!$P$11&gt;0.01,INDEX('Debt Tracker'!$T$5:$AE$29,7,AC274-1)&gt;0.01))*('Recurring Items'!$H$14&lt;&gt;"Skip")*(DAY(AB274)='Recurring Items'!$F$14)*IFERROR(N('Recurring Items'!$D$14),0)+(IF(AC274=1,'Debt Tracker'!$P$12&gt;0.01,INDEX('Debt Tracker'!$T$5:$AE$29,8,AC274-1)&gt;0.01))*('Recurring Items'!$H$15&lt;&gt;"Skip")*(DAY(AB274)='Recurring Items'!$F$15)*IFERROR(N('Recurring Items'!$D$15),0)+(IF(AC274=1,'Debt Tracker'!$P$13&gt;0.01,INDEX('Debt Tracker'!$T$5:$AE$29,9,AC274-1)&gt;0.01))*('Recurring Items'!$H$16&lt;&gt;"Skip")*(DAY(AB274)='Recurring Items'!$F$16)*IFERROR(N('Recurring Items'!$D$16),0)+(IF(AC274=1,'Debt Tracker'!$P$14&gt;0.01,INDEX('Debt Tracker'!$T$5:$AE$29,10,AC274-1)&gt;0.01))*('Recurring Items'!$H$17&lt;&gt;"Skip")*(DAY(AB274)='Recurring Items'!$F$17)*IFERROR(N('Recurring Items'!$D$17),0)+(IF(AC274=1,'Debt Tracker'!$P$15&gt;0.01,INDEX('Debt Tracker'!$T$5:$AE$29,11,AC274-1)&gt;0.01))*('Recurring Items'!$H$18&lt;&gt;"Skip")*(DAY(AB274)='Recurring Items'!$F$18)*IFERROR(N('Recurring Items'!$D$18),0)+(IF(AC274=1,'Debt Tracker'!$P$16&gt;0.01,INDEX('Debt Tracker'!$T$5:$AE$29,12,AC274-1)&gt;0.01))*('Recurring Items'!$H$19&lt;&gt;"Skip")*(DAY(AB274)='Recurring Items'!$F$19)*IFERROR(N('Recurring Items'!$D$19),0)+(IF(AC274=1,'Debt Tracker'!$P$17&gt;0.01,INDEX('Debt Tracker'!$T$5:$AE$29,13,AC274-1)&gt;0.01))*('Recurring Items'!$H$20&lt;&gt;"Skip")*(DAY(AB274)='Recurring Items'!$F$20)*IFERROR(N('Recurring Items'!$D$20),0)+(IF(AC274=1,'Debt Tracker'!$P$18&gt;0.01,INDEX('Debt Tracker'!$T$5:$AE$29,14,AC274-1)&gt;0.01))*('Recurring Items'!$H$21&lt;&gt;"Skip")*(DAY(AB274)='Recurring Items'!$F$21)*IFERROR(N('Recurring Items'!$D$21),0)+(IF(AC274=1,'Debt Tracker'!$P$19&gt;0.01,INDEX('Debt Tracker'!$T$5:$AE$29,15,AC274-1)&gt;0.01))*('Recurring Items'!$H$22&lt;&gt;"Skip")*(DAY(AB274)='Recurring Items'!$F$22)*IFERROR(N('Recurring Items'!$D$22),0)+(IF(AC274=1,'Debt Tracker'!$P$20&gt;0.01,INDEX('Debt Tracker'!$T$5:$AE$29,16,AC274-1)&gt;0.01))*('Recurring Items'!$H$23&lt;&gt;"Skip")*(DAY(AB274)='Recurring Items'!$F$23)*IFERROR(N('Recurring Items'!$D$23),0)+(IF(AC274=1,'Debt Tracker'!$P$21&gt;0.01,INDEX('Debt Tracker'!$T$5:$AE$29,17,AC274-1)&gt;0.01))*('Recurring Items'!$H$24&lt;&gt;"Skip")*(DAY(AB274)='Recurring Items'!$F$24)*IFERROR(N('Recurring Items'!$D$24),0)+(IF(AC274=1,'Debt Tracker'!$P$22&gt;0.01,INDEX('Debt Tracker'!$T$5:$AE$29,18,AC274-1)&gt;0.01))*('Recurring Items'!$H$25&lt;&gt;"Skip")*(DAY(AB274)='Recurring Items'!$F$25)*IFERROR(N('Recurring Items'!$D$25),0)+(IF(AC274=1,'Debt Tracker'!$P$23&gt;0.01,INDEX('Debt Tracker'!$T$5:$AE$29,19,AC274-1)&gt;0.01))*('Recurring Items'!$H$26&lt;&gt;"Skip")*(DAY(AB274)='Recurring Items'!$F$26)*IFERROR(N('Recurring Items'!$D$26),0)+(IF(AC274=1,'Debt Tracker'!$P$24&gt;0.01,INDEX('Debt Tracker'!$T$5:$AE$29,20,AC274-1)&gt;0.01))*('Recurring Items'!$H$27&lt;&gt;"Skip")*(DAY(AB274)='Recurring Items'!$F$27)*IFERROR(N('Recurring Items'!$D$27),0)+(IF(AC274=1,'Debt Tracker'!$P$25&gt;0.01,INDEX('Debt Tracker'!$T$5:$AE$29,21,AC274-1)&gt;0.01))*('Recurring Items'!$H$28&lt;&gt;"Skip")*(DAY(AB274)='Recurring Items'!$F$28)*IFERROR(N('Recurring Items'!$D$28),0)+(IF(AC274=1,'Debt Tracker'!$P$26&gt;0.01,INDEX('Debt Tracker'!$T$5:$AE$29,22,AC274-1)&gt;0.01))*('Recurring Items'!$H$29&lt;&gt;"Skip")*(DAY(AB274)='Recurring Items'!$F$29)*IFERROR(N('Recurring Items'!$D$29),0)+(IF(AC274=1,'Debt Tracker'!$P$27&gt;0.01,INDEX('Debt Tracker'!$T$5:$AE$29,23,AC274-1)&gt;0.01))*('Recurring Items'!$H$30&lt;&gt;"Skip")*(DAY(AB274)='Recurring Items'!$F$30)*IFERROR(N('Recurring Items'!$D$30),0)+(IF(AC274=1,'Debt Tracker'!$P$28&gt;0.01,INDEX('Debt Tracker'!$T$5:$AE$29,24,AC274-1)&gt;0.01))*('Recurring Items'!$H$31&lt;&gt;"Skip")*(DAY(AB274)='Recurring Items'!$F$31)*IFERROR(N('Recurring Items'!$D$31),0)+(IF(AC274=1,'Debt Tracker'!$P$29&gt;0.01,INDEX('Debt Tracker'!$T$5:$AE$29,25,AC274-1)&gt;0.01))*('Recurring Items'!$H$32&lt;&gt;"Skip")*(DAY(AB274)='Recurring Items'!$F$32)*IFERROR(N('Recurring Items'!$D$32),0)</f>
        <v>95.51</v>
      </c>
      <c r="AG274" s="1" t="n">
        <f aca="false">AD274-AE274-AF274</f>
        <v>-95.51</v>
      </c>
      <c r="AH274" s="1" t="n">
        <f aca="false">AH273+AG274</f>
        <v>6968.88</v>
      </c>
    </row>
    <row r="275" customFormat="false" ht="15" hidden="false" customHeight="true" outlineLevel="0" collapsed="false">
      <c r="AA275" s="1" t="n">
        <v>75</v>
      </c>
      <c r="AB275" s="145" t="n">
        <f aca="false">$D$3+75</f>
        <v>46218</v>
      </c>
      <c r="AC275" s="1" t="n">
        <f aca="false">MIN(12,1+DATEDIF($D$3,AB275,"M"))</f>
        <v>3</v>
      </c>
      <c r="AD275" s="1" t="n">
        <f aca="false">SUMPRODUCT(('Recurring Items'!$C$6:$C$56="Income")*('Recurring Items'!$H$6:$H$56&lt;&gt;"Skip")*IFERROR(N('Recurring Items'!$D$6:$D$56),0)*(('Recurring Items'!$E$6:$E$56="Monthly")*(DAY(AB275)='Recurring Items'!$F$6:$F$56)+('Recurring Items'!$E$6:$E$56="Bi-weekly")*(WEEKDAY(AB275)=IFERROR(WEEKDAY('Recurring Items'!$G$6:$G$56),0))*(MOD(AB275-IFERROR('Recurring Items'!$G$6:$G$56,0),14)=0)*(AB275&gt;=IFERROR('Recurring Items'!$G$6:$G$56,9000000000))+('Recurring Items'!$E$6:$E$56="Weekly")*(WEEKDAY(AB275)=IFERROR(WEEKDAY('Recurring Items'!$G$6:$G$56),0))*(AB275&gt;=IFERROR('Recurring Items'!$G$6:$G$56,9000000000))+('Recurring Items'!$E$6:$E$56="One-time")*(AB275='Recurring Items'!$G$6:$G$56)))</f>
        <v>0</v>
      </c>
      <c r="AE275" s="1" t="n">
        <f aca="false">SUMPRODUCT(('Recurring Items'!$C$6:$C$56="Expense")*('Recurring Items'!$H$6:$H$56&lt;&gt;"Skip")*IFERROR(N('Recurring Items'!$D$6:$D$56),0)*(('Recurring Items'!$E$6:$E$56="Monthly")*(DAY(AB275)='Recurring Items'!$F$6:$F$56)+('Recurring Items'!$E$6:$E$56="Bi-weekly")*(WEEKDAY(AB275)=IFERROR(WEEKDAY('Recurring Items'!$G$6:$G$56),0))*(MOD(AB275-IFERROR('Recurring Items'!$G$6:$G$56,0),14)=0)*(AB275&gt;=IFERROR('Recurring Items'!$G$6:$G$56,9000000000))+('Recurring Items'!$E$6:$E$56="Weekly")*(WEEKDAY(AB275)=IFERROR(WEEKDAY('Recurring Items'!$G$6:$G$56),0))*(AB275&gt;=IFERROR('Recurring Items'!$G$6:$G$56,9000000000))+('Recurring Items'!$E$6:$E$56="One-time")*(AB275='Recurring Items'!$G$6:$G$56)))</f>
        <v>2990.57</v>
      </c>
      <c r="AF275" s="1" t="n">
        <f aca="false">(IF(AC275=1,'Debt Tracker'!$P$5&gt;0.01,INDEX('Debt Tracker'!$T$5:$AE$29,1,AC275-1)&gt;0.01))*('Recurring Items'!$H$8&lt;&gt;"Skip")*(DAY(AB275)='Recurring Items'!$F$8)*IFERROR(N('Recurring Items'!$D$8),0)+(IF(AC275=1,'Debt Tracker'!$P$6&gt;0.01,INDEX('Debt Tracker'!$T$5:$AE$29,2,AC275-1)&gt;0.01))*('Recurring Items'!$H$9&lt;&gt;"Skip")*(DAY(AB275)='Recurring Items'!$F$9)*IFERROR(N('Recurring Items'!$D$9),0)+(IF(AC275=1,'Debt Tracker'!$P$7&gt;0.01,INDEX('Debt Tracker'!$T$5:$AE$29,3,AC275-1)&gt;0.01))*('Recurring Items'!$H$10&lt;&gt;"Skip")*(DAY(AB275)='Recurring Items'!$F$10)*IFERROR(N('Recurring Items'!$D$10),0)+(IF(AC275=1,'Debt Tracker'!$P$8&gt;0.01,INDEX('Debt Tracker'!$T$5:$AE$29,4,AC275-1)&gt;0.01))*('Recurring Items'!$H$11&lt;&gt;"Skip")*(DAY(AB275)='Recurring Items'!$F$11)*IFERROR(N('Recurring Items'!$D$11),0)+(IF(AC275=1,'Debt Tracker'!$P$9&gt;0.01,INDEX('Debt Tracker'!$T$5:$AE$29,5,AC275-1)&gt;0.01))*('Recurring Items'!$H$12&lt;&gt;"Skip")*(DAY(AB275)='Recurring Items'!$F$12)*IFERROR(N('Recurring Items'!$D$12),0)+(IF(AC275=1,'Debt Tracker'!$P$10&gt;0.01,INDEX('Debt Tracker'!$T$5:$AE$29,6,AC275-1)&gt;0.01))*('Recurring Items'!$H$13&lt;&gt;"Skip")*(DAY(AB275)='Recurring Items'!$F$13)*IFERROR(N('Recurring Items'!$D$13),0)+(IF(AC275=1,'Debt Tracker'!$P$11&gt;0.01,INDEX('Debt Tracker'!$T$5:$AE$29,7,AC275-1)&gt;0.01))*('Recurring Items'!$H$14&lt;&gt;"Skip")*(DAY(AB275)='Recurring Items'!$F$14)*IFERROR(N('Recurring Items'!$D$14),0)+(IF(AC275=1,'Debt Tracker'!$P$12&gt;0.01,INDEX('Debt Tracker'!$T$5:$AE$29,8,AC275-1)&gt;0.01))*('Recurring Items'!$H$15&lt;&gt;"Skip")*(DAY(AB275)='Recurring Items'!$F$15)*IFERROR(N('Recurring Items'!$D$15),0)+(IF(AC275=1,'Debt Tracker'!$P$13&gt;0.01,INDEX('Debt Tracker'!$T$5:$AE$29,9,AC275-1)&gt;0.01))*('Recurring Items'!$H$16&lt;&gt;"Skip")*(DAY(AB275)='Recurring Items'!$F$16)*IFERROR(N('Recurring Items'!$D$16),0)+(IF(AC275=1,'Debt Tracker'!$P$14&gt;0.01,INDEX('Debt Tracker'!$T$5:$AE$29,10,AC275-1)&gt;0.01))*('Recurring Items'!$H$17&lt;&gt;"Skip")*(DAY(AB275)='Recurring Items'!$F$17)*IFERROR(N('Recurring Items'!$D$17),0)+(IF(AC275=1,'Debt Tracker'!$P$15&gt;0.01,INDEX('Debt Tracker'!$T$5:$AE$29,11,AC275-1)&gt;0.01))*('Recurring Items'!$H$18&lt;&gt;"Skip")*(DAY(AB275)='Recurring Items'!$F$18)*IFERROR(N('Recurring Items'!$D$18),0)+(IF(AC275=1,'Debt Tracker'!$P$16&gt;0.01,INDEX('Debt Tracker'!$T$5:$AE$29,12,AC275-1)&gt;0.01))*('Recurring Items'!$H$19&lt;&gt;"Skip")*(DAY(AB275)='Recurring Items'!$F$19)*IFERROR(N('Recurring Items'!$D$19),0)+(IF(AC275=1,'Debt Tracker'!$P$17&gt;0.01,INDEX('Debt Tracker'!$T$5:$AE$29,13,AC275-1)&gt;0.01))*('Recurring Items'!$H$20&lt;&gt;"Skip")*(DAY(AB275)='Recurring Items'!$F$20)*IFERROR(N('Recurring Items'!$D$20),0)+(IF(AC275=1,'Debt Tracker'!$P$18&gt;0.01,INDEX('Debt Tracker'!$T$5:$AE$29,14,AC275-1)&gt;0.01))*('Recurring Items'!$H$21&lt;&gt;"Skip")*(DAY(AB275)='Recurring Items'!$F$21)*IFERROR(N('Recurring Items'!$D$21),0)+(IF(AC275=1,'Debt Tracker'!$P$19&gt;0.01,INDEX('Debt Tracker'!$T$5:$AE$29,15,AC275-1)&gt;0.01))*('Recurring Items'!$H$22&lt;&gt;"Skip")*(DAY(AB275)='Recurring Items'!$F$22)*IFERROR(N('Recurring Items'!$D$22),0)+(IF(AC275=1,'Debt Tracker'!$P$20&gt;0.01,INDEX('Debt Tracker'!$T$5:$AE$29,16,AC275-1)&gt;0.01))*('Recurring Items'!$H$23&lt;&gt;"Skip")*(DAY(AB275)='Recurring Items'!$F$23)*IFERROR(N('Recurring Items'!$D$23),0)+(IF(AC275=1,'Debt Tracker'!$P$21&gt;0.01,INDEX('Debt Tracker'!$T$5:$AE$29,17,AC275-1)&gt;0.01))*('Recurring Items'!$H$24&lt;&gt;"Skip")*(DAY(AB275)='Recurring Items'!$F$24)*IFERROR(N('Recurring Items'!$D$24),0)+(IF(AC275=1,'Debt Tracker'!$P$22&gt;0.01,INDEX('Debt Tracker'!$T$5:$AE$29,18,AC275-1)&gt;0.01))*('Recurring Items'!$H$25&lt;&gt;"Skip")*(DAY(AB275)='Recurring Items'!$F$25)*IFERROR(N('Recurring Items'!$D$25),0)+(IF(AC275=1,'Debt Tracker'!$P$23&gt;0.01,INDEX('Debt Tracker'!$T$5:$AE$29,19,AC275-1)&gt;0.01))*('Recurring Items'!$H$26&lt;&gt;"Skip")*(DAY(AB275)='Recurring Items'!$F$26)*IFERROR(N('Recurring Items'!$D$26),0)+(IF(AC275=1,'Debt Tracker'!$P$24&gt;0.01,INDEX('Debt Tracker'!$T$5:$AE$29,20,AC275-1)&gt;0.01))*('Recurring Items'!$H$27&lt;&gt;"Skip")*(DAY(AB275)='Recurring Items'!$F$27)*IFERROR(N('Recurring Items'!$D$27),0)+(IF(AC275=1,'Debt Tracker'!$P$25&gt;0.01,INDEX('Debt Tracker'!$T$5:$AE$29,21,AC275-1)&gt;0.01))*('Recurring Items'!$H$28&lt;&gt;"Skip")*(DAY(AB275)='Recurring Items'!$F$28)*IFERROR(N('Recurring Items'!$D$28),0)+(IF(AC275=1,'Debt Tracker'!$P$26&gt;0.01,INDEX('Debt Tracker'!$T$5:$AE$29,22,AC275-1)&gt;0.01))*('Recurring Items'!$H$29&lt;&gt;"Skip")*(DAY(AB275)='Recurring Items'!$F$29)*IFERROR(N('Recurring Items'!$D$29),0)+(IF(AC275=1,'Debt Tracker'!$P$27&gt;0.01,INDEX('Debt Tracker'!$T$5:$AE$29,23,AC275-1)&gt;0.01))*('Recurring Items'!$H$30&lt;&gt;"Skip")*(DAY(AB275)='Recurring Items'!$F$30)*IFERROR(N('Recurring Items'!$D$30),0)+(IF(AC275=1,'Debt Tracker'!$P$28&gt;0.01,INDEX('Debt Tracker'!$T$5:$AE$29,24,AC275-1)&gt;0.01))*('Recurring Items'!$H$31&lt;&gt;"Skip")*(DAY(AB275)='Recurring Items'!$F$31)*IFERROR(N('Recurring Items'!$D$31),0)+(IF(AC275=1,'Debt Tracker'!$P$29&gt;0.01,INDEX('Debt Tracker'!$T$5:$AE$29,25,AC275-1)&gt;0.01))*('Recurring Items'!$H$32&lt;&gt;"Skip")*(DAY(AB275)='Recurring Items'!$F$32)*IFERROR(N('Recurring Items'!$D$32),0)</f>
        <v>107.75</v>
      </c>
      <c r="AG275" s="1" t="n">
        <f aca="false">AD275-AE275-AF275</f>
        <v>-3098.32</v>
      </c>
      <c r="AH275" s="1" t="n">
        <f aca="false">AH274+AG275</f>
        <v>3870.56</v>
      </c>
    </row>
    <row r="276" customFormat="false" ht="15" hidden="false" customHeight="true" outlineLevel="0" collapsed="false">
      <c r="AA276" s="1" t="n">
        <v>76</v>
      </c>
      <c r="AB276" s="145" t="n">
        <f aca="false">$D$3+76</f>
        <v>46219</v>
      </c>
      <c r="AC276" s="1" t="n">
        <f aca="false">MIN(12,1+DATEDIF($D$3,AB276,"M"))</f>
        <v>3</v>
      </c>
      <c r="AD276" s="1" t="n">
        <f aca="false">SUMPRODUCT(('Recurring Items'!$C$6:$C$56="Income")*('Recurring Items'!$H$6:$H$56&lt;&gt;"Skip")*IFERROR(N('Recurring Items'!$D$6:$D$56),0)*(('Recurring Items'!$E$6:$E$56="Monthly")*(DAY(AB276)='Recurring Items'!$F$6:$F$56)+('Recurring Items'!$E$6:$E$56="Bi-weekly")*(WEEKDAY(AB276)=IFERROR(WEEKDAY('Recurring Items'!$G$6:$G$56),0))*(MOD(AB276-IFERROR('Recurring Items'!$G$6:$G$56,0),14)=0)*(AB276&gt;=IFERROR('Recurring Items'!$G$6:$G$56,9000000000))+('Recurring Items'!$E$6:$E$56="Weekly")*(WEEKDAY(AB276)=IFERROR(WEEKDAY('Recurring Items'!$G$6:$G$56),0))*(AB276&gt;=IFERROR('Recurring Items'!$G$6:$G$56,9000000000))+('Recurring Items'!$E$6:$E$56="One-time")*(AB276='Recurring Items'!$G$6:$G$56)))</f>
        <v>2274.42</v>
      </c>
      <c r="AE276" s="1" t="n">
        <f aca="false">SUMPRODUCT(('Recurring Items'!$C$6:$C$56="Expense")*('Recurring Items'!$H$6:$H$56&lt;&gt;"Skip")*IFERROR(N('Recurring Items'!$D$6:$D$56),0)*(('Recurring Items'!$E$6:$E$56="Monthly")*(DAY(AB276)='Recurring Items'!$F$6:$F$56)+('Recurring Items'!$E$6:$E$56="Bi-weekly")*(WEEKDAY(AB276)=IFERROR(WEEKDAY('Recurring Items'!$G$6:$G$56),0))*(MOD(AB276-IFERROR('Recurring Items'!$G$6:$G$56,0),14)=0)*(AB276&gt;=IFERROR('Recurring Items'!$G$6:$G$56,9000000000))+('Recurring Items'!$E$6:$E$56="Weekly")*(WEEKDAY(AB276)=IFERROR(WEEKDAY('Recurring Items'!$G$6:$G$56),0))*(AB276&gt;=IFERROR('Recurring Items'!$G$6:$G$56,9000000000))+('Recurring Items'!$E$6:$E$56="One-time")*(AB276='Recurring Items'!$G$6:$G$56)))</f>
        <v>342</v>
      </c>
      <c r="AF276" s="1" t="n">
        <f aca="false">(IF(AC276=1,'Debt Tracker'!$P$5&gt;0.01,INDEX('Debt Tracker'!$T$5:$AE$29,1,AC276-1)&gt;0.01))*('Recurring Items'!$H$8&lt;&gt;"Skip")*(DAY(AB276)='Recurring Items'!$F$8)*IFERROR(N('Recurring Items'!$D$8),0)+(IF(AC276=1,'Debt Tracker'!$P$6&gt;0.01,INDEX('Debt Tracker'!$T$5:$AE$29,2,AC276-1)&gt;0.01))*('Recurring Items'!$H$9&lt;&gt;"Skip")*(DAY(AB276)='Recurring Items'!$F$9)*IFERROR(N('Recurring Items'!$D$9),0)+(IF(AC276=1,'Debt Tracker'!$P$7&gt;0.01,INDEX('Debt Tracker'!$T$5:$AE$29,3,AC276-1)&gt;0.01))*('Recurring Items'!$H$10&lt;&gt;"Skip")*(DAY(AB276)='Recurring Items'!$F$10)*IFERROR(N('Recurring Items'!$D$10),0)+(IF(AC276=1,'Debt Tracker'!$P$8&gt;0.01,INDEX('Debt Tracker'!$T$5:$AE$29,4,AC276-1)&gt;0.01))*('Recurring Items'!$H$11&lt;&gt;"Skip")*(DAY(AB276)='Recurring Items'!$F$11)*IFERROR(N('Recurring Items'!$D$11),0)+(IF(AC276=1,'Debt Tracker'!$P$9&gt;0.01,INDEX('Debt Tracker'!$T$5:$AE$29,5,AC276-1)&gt;0.01))*('Recurring Items'!$H$12&lt;&gt;"Skip")*(DAY(AB276)='Recurring Items'!$F$12)*IFERROR(N('Recurring Items'!$D$12),0)+(IF(AC276=1,'Debt Tracker'!$P$10&gt;0.01,INDEX('Debt Tracker'!$T$5:$AE$29,6,AC276-1)&gt;0.01))*('Recurring Items'!$H$13&lt;&gt;"Skip")*(DAY(AB276)='Recurring Items'!$F$13)*IFERROR(N('Recurring Items'!$D$13),0)+(IF(AC276=1,'Debt Tracker'!$P$11&gt;0.01,INDEX('Debt Tracker'!$T$5:$AE$29,7,AC276-1)&gt;0.01))*('Recurring Items'!$H$14&lt;&gt;"Skip")*(DAY(AB276)='Recurring Items'!$F$14)*IFERROR(N('Recurring Items'!$D$14),0)+(IF(AC276=1,'Debt Tracker'!$P$12&gt;0.01,INDEX('Debt Tracker'!$T$5:$AE$29,8,AC276-1)&gt;0.01))*('Recurring Items'!$H$15&lt;&gt;"Skip")*(DAY(AB276)='Recurring Items'!$F$15)*IFERROR(N('Recurring Items'!$D$15),0)+(IF(AC276=1,'Debt Tracker'!$P$13&gt;0.01,INDEX('Debt Tracker'!$T$5:$AE$29,9,AC276-1)&gt;0.01))*('Recurring Items'!$H$16&lt;&gt;"Skip")*(DAY(AB276)='Recurring Items'!$F$16)*IFERROR(N('Recurring Items'!$D$16),0)+(IF(AC276=1,'Debt Tracker'!$P$14&gt;0.01,INDEX('Debt Tracker'!$T$5:$AE$29,10,AC276-1)&gt;0.01))*('Recurring Items'!$H$17&lt;&gt;"Skip")*(DAY(AB276)='Recurring Items'!$F$17)*IFERROR(N('Recurring Items'!$D$17),0)+(IF(AC276=1,'Debt Tracker'!$P$15&gt;0.01,INDEX('Debt Tracker'!$T$5:$AE$29,11,AC276-1)&gt;0.01))*('Recurring Items'!$H$18&lt;&gt;"Skip")*(DAY(AB276)='Recurring Items'!$F$18)*IFERROR(N('Recurring Items'!$D$18),0)+(IF(AC276=1,'Debt Tracker'!$P$16&gt;0.01,INDEX('Debt Tracker'!$T$5:$AE$29,12,AC276-1)&gt;0.01))*('Recurring Items'!$H$19&lt;&gt;"Skip")*(DAY(AB276)='Recurring Items'!$F$19)*IFERROR(N('Recurring Items'!$D$19),0)+(IF(AC276=1,'Debt Tracker'!$P$17&gt;0.01,INDEX('Debt Tracker'!$T$5:$AE$29,13,AC276-1)&gt;0.01))*('Recurring Items'!$H$20&lt;&gt;"Skip")*(DAY(AB276)='Recurring Items'!$F$20)*IFERROR(N('Recurring Items'!$D$20),0)+(IF(AC276=1,'Debt Tracker'!$P$18&gt;0.01,INDEX('Debt Tracker'!$T$5:$AE$29,14,AC276-1)&gt;0.01))*('Recurring Items'!$H$21&lt;&gt;"Skip")*(DAY(AB276)='Recurring Items'!$F$21)*IFERROR(N('Recurring Items'!$D$21),0)+(IF(AC276=1,'Debt Tracker'!$P$19&gt;0.01,INDEX('Debt Tracker'!$T$5:$AE$29,15,AC276-1)&gt;0.01))*('Recurring Items'!$H$22&lt;&gt;"Skip")*(DAY(AB276)='Recurring Items'!$F$22)*IFERROR(N('Recurring Items'!$D$22),0)+(IF(AC276=1,'Debt Tracker'!$P$20&gt;0.01,INDEX('Debt Tracker'!$T$5:$AE$29,16,AC276-1)&gt;0.01))*('Recurring Items'!$H$23&lt;&gt;"Skip")*(DAY(AB276)='Recurring Items'!$F$23)*IFERROR(N('Recurring Items'!$D$23),0)+(IF(AC276=1,'Debt Tracker'!$P$21&gt;0.01,INDEX('Debt Tracker'!$T$5:$AE$29,17,AC276-1)&gt;0.01))*('Recurring Items'!$H$24&lt;&gt;"Skip")*(DAY(AB276)='Recurring Items'!$F$24)*IFERROR(N('Recurring Items'!$D$24),0)+(IF(AC276=1,'Debt Tracker'!$P$22&gt;0.01,INDEX('Debt Tracker'!$T$5:$AE$29,18,AC276-1)&gt;0.01))*('Recurring Items'!$H$25&lt;&gt;"Skip")*(DAY(AB276)='Recurring Items'!$F$25)*IFERROR(N('Recurring Items'!$D$25),0)+(IF(AC276=1,'Debt Tracker'!$P$23&gt;0.01,INDEX('Debt Tracker'!$T$5:$AE$29,19,AC276-1)&gt;0.01))*('Recurring Items'!$H$26&lt;&gt;"Skip")*(DAY(AB276)='Recurring Items'!$F$26)*IFERROR(N('Recurring Items'!$D$26),0)+(IF(AC276=1,'Debt Tracker'!$P$24&gt;0.01,INDEX('Debt Tracker'!$T$5:$AE$29,20,AC276-1)&gt;0.01))*('Recurring Items'!$H$27&lt;&gt;"Skip")*(DAY(AB276)='Recurring Items'!$F$27)*IFERROR(N('Recurring Items'!$D$27),0)+(IF(AC276=1,'Debt Tracker'!$P$25&gt;0.01,INDEX('Debt Tracker'!$T$5:$AE$29,21,AC276-1)&gt;0.01))*('Recurring Items'!$H$28&lt;&gt;"Skip")*(DAY(AB276)='Recurring Items'!$F$28)*IFERROR(N('Recurring Items'!$D$28),0)+(IF(AC276=1,'Debt Tracker'!$P$26&gt;0.01,INDEX('Debt Tracker'!$T$5:$AE$29,22,AC276-1)&gt;0.01))*('Recurring Items'!$H$29&lt;&gt;"Skip")*(DAY(AB276)='Recurring Items'!$F$29)*IFERROR(N('Recurring Items'!$D$29),0)+(IF(AC276=1,'Debt Tracker'!$P$27&gt;0.01,INDEX('Debt Tracker'!$T$5:$AE$29,23,AC276-1)&gt;0.01))*('Recurring Items'!$H$30&lt;&gt;"Skip")*(DAY(AB276)='Recurring Items'!$F$30)*IFERROR(N('Recurring Items'!$D$30),0)+(IF(AC276=1,'Debt Tracker'!$P$28&gt;0.01,INDEX('Debt Tracker'!$T$5:$AE$29,24,AC276-1)&gt;0.01))*('Recurring Items'!$H$31&lt;&gt;"Skip")*(DAY(AB276)='Recurring Items'!$F$31)*IFERROR(N('Recurring Items'!$D$31),0)+(IF(AC276=1,'Debt Tracker'!$P$29&gt;0.01,INDEX('Debt Tracker'!$T$5:$AE$29,25,AC276-1)&gt;0.01))*('Recurring Items'!$H$32&lt;&gt;"Skip")*(DAY(AB276)='Recurring Items'!$F$32)*IFERROR(N('Recurring Items'!$D$32),0)</f>
        <v>143</v>
      </c>
      <c r="AG276" s="1" t="n">
        <f aca="false">AD276-AE276-AF276</f>
        <v>1789.42</v>
      </c>
      <c r="AH276" s="1" t="n">
        <f aca="false">AH275+AG276</f>
        <v>5659.98</v>
      </c>
    </row>
    <row r="277" customFormat="false" ht="15" hidden="false" customHeight="true" outlineLevel="0" collapsed="false">
      <c r="AA277" s="1" t="n">
        <v>77</v>
      </c>
      <c r="AB277" s="145" t="n">
        <f aca="false">$D$3+77</f>
        <v>46220</v>
      </c>
      <c r="AC277" s="1" t="n">
        <f aca="false">MIN(12,1+DATEDIF($D$3,AB277,"M"))</f>
        <v>3</v>
      </c>
      <c r="AD277" s="1" t="n">
        <f aca="false">SUMPRODUCT(('Recurring Items'!$C$6:$C$56="Income")*('Recurring Items'!$H$6:$H$56&lt;&gt;"Skip")*IFERROR(N('Recurring Items'!$D$6:$D$56),0)*(('Recurring Items'!$E$6:$E$56="Monthly")*(DAY(AB277)='Recurring Items'!$F$6:$F$56)+('Recurring Items'!$E$6:$E$56="Bi-weekly")*(WEEKDAY(AB277)=IFERROR(WEEKDAY('Recurring Items'!$G$6:$G$56),0))*(MOD(AB277-IFERROR('Recurring Items'!$G$6:$G$56,0),14)=0)*(AB277&gt;=IFERROR('Recurring Items'!$G$6:$G$56,9000000000))+('Recurring Items'!$E$6:$E$56="Weekly")*(WEEKDAY(AB277)=IFERROR(WEEKDAY('Recurring Items'!$G$6:$G$56),0))*(AB277&gt;=IFERROR('Recurring Items'!$G$6:$G$56,9000000000))+('Recurring Items'!$E$6:$E$56="One-time")*(AB277='Recurring Items'!$G$6:$G$56)))</f>
        <v>0</v>
      </c>
      <c r="AE277" s="1" t="n">
        <f aca="false">SUMPRODUCT(('Recurring Items'!$C$6:$C$56="Expense")*('Recurring Items'!$H$6:$H$56&lt;&gt;"Skip")*IFERROR(N('Recurring Items'!$D$6:$D$56),0)*(('Recurring Items'!$E$6:$E$56="Monthly")*(DAY(AB277)='Recurring Items'!$F$6:$F$56)+('Recurring Items'!$E$6:$E$56="Bi-weekly")*(WEEKDAY(AB277)=IFERROR(WEEKDAY('Recurring Items'!$G$6:$G$56),0))*(MOD(AB277-IFERROR('Recurring Items'!$G$6:$G$56,0),14)=0)*(AB277&gt;=IFERROR('Recurring Items'!$G$6:$G$56,9000000000))+('Recurring Items'!$E$6:$E$56="Weekly")*(WEEKDAY(AB277)=IFERROR(WEEKDAY('Recurring Items'!$G$6:$G$56),0))*(AB277&gt;=IFERROR('Recurring Items'!$G$6:$G$56,9000000000))+('Recurring Items'!$E$6:$E$56="One-time")*(AB277='Recurring Items'!$G$6:$G$56)))</f>
        <v>460</v>
      </c>
      <c r="AF277" s="1" t="n">
        <f aca="false">(IF(AC277=1,'Debt Tracker'!$P$5&gt;0.01,INDEX('Debt Tracker'!$T$5:$AE$29,1,AC277-1)&gt;0.01))*('Recurring Items'!$H$8&lt;&gt;"Skip")*(DAY(AB277)='Recurring Items'!$F$8)*IFERROR(N('Recurring Items'!$D$8),0)+(IF(AC277=1,'Debt Tracker'!$P$6&gt;0.01,INDEX('Debt Tracker'!$T$5:$AE$29,2,AC277-1)&gt;0.01))*('Recurring Items'!$H$9&lt;&gt;"Skip")*(DAY(AB277)='Recurring Items'!$F$9)*IFERROR(N('Recurring Items'!$D$9),0)+(IF(AC277=1,'Debt Tracker'!$P$7&gt;0.01,INDEX('Debt Tracker'!$T$5:$AE$29,3,AC277-1)&gt;0.01))*('Recurring Items'!$H$10&lt;&gt;"Skip")*(DAY(AB277)='Recurring Items'!$F$10)*IFERROR(N('Recurring Items'!$D$10),0)+(IF(AC277=1,'Debt Tracker'!$P$8&gt;0.01,INDEX('Debt Tracker'!$T$5:$AE$29,4,AC277-1)&gt;0.01))*('Recurring Items'!$H$11&lt;&gt;"Skip")*(DAY(AB277)='Recurring Items'!$F$11)*IFERROR(N('Recurring Items'!$D$11),0)+(IF(AC277=1,'Debt Tracker'!$P$9&gt;0.01,INDEX('Debt Tracker'!$T$5:$AE$29,5,AC277-1)&gt;0.01))*('Recurring Items'!$H$12&lt;&gt;"Skip")*(DAY(AB277)='Recurring Items'!$F$12)*IFERROR(N('Recurring Items'!$D$12),0)+(IF(AC277=1,'Debt Tracker'!$P$10&gt;0.01,INDEX('Debt Tracker'!$T$5:$AE$29,6,AC277-1)&gt;0.01))*('Recurring Items'!$H$13&lt;&gt;"Skip")*(DAY(AB277)='Recurring Items'!$F$13)*IFERROR(N('Recurring Items'!$D$13),0)+(IF(AC277=1,'Debt Tracker'!$P$11&gt;0.01,INDEX('Debt Tracker'!$T$5:$AE$29,7,AC277-1)&gt;0.01))*('Recurring Items'!$H$14&lt;&gt;"Skip")*(DAY(AB277)='Recurring Items'!$F$14)*IFERROR(N('Recurring Items'!$D$14),0)+(IF(AC277=1,'Debt Tracker'!$P$12&gt;0.01,INDEX('Debt Tracker'!$T$5:$AE$29,8,AC277-1)&gt;0.01))*('Recurring Items'!$H$15&lt;&gt;"Skip")*(DAY(AB277)='Recurring Items'!$F$15)*IFERROR(N('Recurring Items'!$D$15),0)+(IF(AC277=1,'Debt Tracker'!$P$13&gt;0.01,INDEX('Debt Tracker'!$T$5:$AE$29,9,AC277-1)&gt;0.01))*('Recurring Items'!$H$16&lt;&gt;"Skip")*(DAY(AB277)='Recurring Items'!$F$16)*IFERROR(N('Recurring Items'!$D$16),0)+(IF(AC277=1,'Debt Tracker'!$P$14&gt;0.01,INDEX('Debt Tracker'!$T$5:$AE$29,10,AC277-1)&gt;0.01))*('Recurring Items'!$H$17&lt;&gt;"Skip")*(DAY(AB277)='Recurring Items'!$F$17)*IFERROR(N('Recurring Items'!$D$17),0)+(IF(AC277=1,'Debt Tracker'!$P$15&gt;0.01,INDEX('Debt Tracker'!$T$5:$AE$29,11,AC277-1)&gt;0.01))*('Recurring Items'!$H$18&lt;&gt;"Skip")*(DAY(AB277)='Recurring Items'!$F$18)*IFERROR(N('Recurring Items'!$D$18),0)+(IF(AC277=1,'Debt Tracker'!$P$16&gt;0.01,INDEX('Debt Tracker'!$T$5:$AE$29,12,AC277-1)&gt;0.01))*('Recurring Items'!$H$19&lt;&gt;"Skip")*(DAY(AB277)='Recurring Items'!$F$19)*IFERROR(N('Recurring Items'!$D$19),0)+(IF(AC277=1,'Debt Tracker'!$P$17&gt;0.01,INDEX('Debt Tracker'!$T$5:$AE$29,13,AC277-1)&gt;0.01))*('Recurring Items'!$H$20&lt;&gt;"Skip")*(DAY(AB277)='Recurring Items'!$F$20)*IFERROR(N('Recurring Items'!$D$20),0)+(IF(AC277=1,'Debt Tracker'!$P$18&gt;0.01,INDEX('Debt Tracker'!$T$5:$AE$29,14,AC277-1)&gt;0.01))*('Recurring Items'!$H$21&lt;&gt;"Skip")*(DAY(AB277)='Recurring Items'!$F$21)*IFERROR(N('Recurring Items'!$D$21),0)+(IF(AC277=1,'Debt Tracker'!$P$19&gt;0.01,INDEX('Debt Tracker'!$T$5:$AE$29,15,AC277-1)&gt;0.01))*('Recurring Items'!$H$22&lt;&gt;"Skip")*(DAY(AB277)='Recurring Items'!$F$22)*IFERROR(N('Recurring Items'!$D$22),0)+(IF(AC277=1,'Debt Tracker'!$P$20&gt;0.01,INDEX('Debt Tracker'!$T$5:$AE$29,16,AC277-1)&gt;0.01))*('Recurring Items'!$H$23&lt;&gt;"Skip")*(DAY(AB277)='Recurring Items'!$F$23)*IFERROR(N('Recurring Items'!$D$23),0)+(IF(AC277=1,'Debt Tracker'!$P$21&gt;0.01,INDEX('Debt Tracker'!$T$5:$AE$29,17,AC277-1)&gt;0.01))*('Recurring Items'!$H$24&lt;&gt;"Skip")*(DAY(AB277)='Recurring Items'!$F$24)*IFERROR(N('Recurring Items'!$D$24),0)+(IF(AC277=1,'Debt Tracker'!$P$22&gt;0.01,INDEX('Debt Tracker'!$T$5:$AE$29,18,AC277-1)&gt;0.01))*('Recurring Items'!$H$25&lt;&gt;"Skip")*(DAY(AB277)='Recurring Items'!$F$25)*IFERROR(N('Recurring Items'!$D$25),0)+(IF(AC277=1,'Debt Tracker'!$P$23&gt;0.01,INDEX('Debt Tracker'!$T$5:$AE$29,19,AC277-1)&gt;0.01))*('Recurring Items'!$H$26&lt;&gt;"Skip")*(DAY(AB277)='Recurring Items'!$F$26)*IFERROR(N('Recurring Items'!$D$26),0)+(IF(AC277=1,'Debt Tracker'!$P$24&gt;0.01,INDEX('Debt Tracker'!$T$5:$AE$29,20,AC277-1)&gt;0.01))*('Recurring Items'!$H$27&lt;&gt;"Skip")*(DAY(AB277)='Recurring Items'!$F$27)*IFERROR(N('Recurring Items'!$D$27),0)+(IF(AC277=1,'Debt Tracker'!$P$25&gt;0.01,INDEX('Debt Tracker'!$T$5:$AE$29,21,AC277-1)&gt;0.01))*('Recurring Items'!$H$28&lt;&gt;"Skip")*(DAY(AB277)='Recurring Items'!$F$28)*IFERROR(N('Recurring Items'!$D$28),0)+(IF(AC277=1,'Debt Tracker'!$P$26&gt;0.01,INDEX('Debt Tracker'!$T$5:$AE$29,22,AC277-1)&gt;0.01))*('Recurring Items'!$H$29&lt;&gt;"Skip")*(DAY(AB277)='Recurring Items'!$F$29)*IFERROR(N('Recurring Items'!$D$29),0)+(IF(AC277=1,'Debt Tracker'!$P$27&gt;0.01,INDEX('Debt Tracker'!$T$5:$AE$29,23,AC277-1)&gt;0.01))*('Recurring Items'!$H$30&lt;&gt;"Skip")*(DAY(AB277)='Recurring Items'!$F$30)*IFERROR(N('Recurring Items'!$D$30),0)+(IF(AC277=1,'Debt Tracker'!$P$28&gt;0.01,INDEX('Debt Tracker'!$T$5:$AE$29,24,AC277-1)&gt;0.01))*('Recurring Items'!$H$31&lt;&gt;"Skip")*(DAY(AB277)='Recurring Items'!$F$31)*IFERROR(N('Recurring Items'!$D$31),0)+(IF(AC277=1,'Debt Tracker'!$P$29&gt;0.01,INDEX('Debt Tracker'!$T$5:$AE$29,25,AC277-1)&gt;0.01))*('Recurring Items'!$H$32&lt;&gt;"Skip")*(DAY(AB277)='Recurring Items'!$F$32)*IFERROR(N('Recurring Items'!$D$32),0)</f>
        <v>0</v>
      </c>
      <c r="AG277" s="1" t="n">
        <f aca="false">AD277-AE277-AF277</f>
        <v>-460</v>
      </c>
      <c r="AH277" s="1" t="n">
        <f aca="false">AH276+AG277</f>
        <v>5199.98</v>
      </c>
    </row>
    <row r="278" customFormat="false" ht="15" hidden="false" customHeight="true" outlineLevel="0" collapsed="false">
      <c r="AA278" s="1" t="n">
        <v>78</v>
      </c>
      <c r="AB278" s="145" t="n">
        <f aca="false">$D$3+78</f>
        <v>46221</v>
      </c>
      <c r="AC278" s="1" t="n">
        <f aca="false">MIN(12,1+DATEDIF($D$3,AB278,"M"))</f>
        <v>3</v>
      </c>
      <c r="AD278" s="1" t="n">
        <f aca="false">SUMPRODUCT(('Recurring Items'!$C$6:$C$56="Income")*('Recurring Items'!$H$6:$H$56&lt;&gt;"Skip")*IFERROR(N('Recurring Items'!$D$6:$D$56),0)*(('Recurring Items'!$E$6:$E$56="Monthly")*(DAY(AB278)='Recurring Items'!$F$6:$F$56)+('Recurring Items'!$E$6:$E$56="Bi-weekly")*(WEEKDAY(AB278)=IFERROR(WEEKDAY('Recurring Items'!$G$6:$G$56),0))*(MOD(AB278-IFERROR('Recurring Items'!$G$6:$G$56,0),14)=0)*(AB278&gt;=IFERROR('Recurring Items'!$G$6:$G$56,9000000000))+('Recurring Items'!$E$6:$E$56="Weekly")*(WEEKDAY(AB278)=IFERROR(WEEKDAY('Recurring Items'!$G$6:$G$56),0))*(AB278&gt;=IFERROR('Recurring Items'!$G$6:$G$56,9000000000))+('Recurring Items'!$E$6:$E$56="One-time")*(AB278='Recurring Items'!$G$6:$G$56)))</f>
        <v>0</v>
      </c>
      <c r="AE278" s="1" t="n">
        <f aca="false">SUMPRODUCT(('Recurring Items'!$C$6:$C$56="Expense")*('Recurring Items'!$H$6:$H$56&lt;&gt;"Skip")*IFERROR(N('Recurring Items'!$D$6:$D$56),0)*(('Recurring Items'!$E$6:$E$56="Monthly")*(DAY(AB278)='Recurring Items'!$F$6:$F$56)+('Recurring Items'!$E$6:$E$56="Bi-weekly")*(WEEKDAY(AB278)=IFERROR(WEEKDAY('Recurring Items'!$G$6:$G$56),0))*(MOD(AB278-IFERROR('Recurring Items'!$G$6:$G$56,0),14)=0)*(AB278&gt;=IFERROR('Recurring Items'!$G$6:$G$56,9000000000))+('Recurring Items'!$E$6:$E$56="Weekly")*(WEEKDAY(AB278)=IFERROR(WEEKDAY('Recurring Items'!$G$6:$G$56),0))*(AB278&gt;=IFERROR('Recurring Items'!$G$6:$G$56,9000000000))+('Recurring Items'!$E$6:$E$56="One-time")*(AB278='Recurring Items'!$G$6:$G$56)))</f>
        <v>0</v>
      </c>
      <c r="AF278" s="1" t="n">
        <f aca="false">(IF(AC278=1,'Debt Tracker'!$P$5&gt;0.01,INDEX('Debt Tracker'!$T$5:$AE$29,1,AC278-1)&gt;0.01))*('Recurring Items'!$H$8&lt;&gt;"Skip")*(DAY(AB278)='Recurring Items'!$F$8)*IFERROR(N('Recurring Items'!$D$8),0)+(IF(AC278=1,'Debt Tracker'!$P$6&gt;0.01,INDEX('Debt Tracker'!$T$5:$AE$29,2,AC278-1)&gt;0.01))*('Recurring Items'!$H$9&lt;&gt;"Skip")*(DAY(AB278)='Recurring Items'!$F$9)*IFERROR(N('Recurring Items'!$D$9),0)+(IF(AC278=1,'Debt Tracker'!$P$7&gt;0.01,INDEX('Debt Tracker'!$T$5:$AE$29,3,AC278-1)&gt;0.01))*('Recurring Items'!$H$10&lt;&gt;"Skip")*(DAY(AB278)='Recurring Items'!$F$10)*IFERROR(N('Recurring Items'!$D$10),0)+(IF(AC278=1,'Debt Tracker'!$P$8&gt;0.01,INDEX('Debt Tracker'!$T$5:$AE$29,4,AC278-1)&gt;0.01))*('Recurring Items'!$H$11&lt;&gt;"Skip")*(DAY(AB278)='Recurring Items'!$F$11)*IFERROR(N('Recurring Items'!$D$11),0)+(IF(AC278=1,'Debt Tracker'!$P$9&gt;0.01,INDEX('Debt Tracker'!$T$5:$AE$29,5,AC278-1)&gt;0.01))*('Recurring Items'!$H$12&lt;&gt;"Skip")*(DAY(AB278)='Recurring Items'!$F$12)*IFERROR(N('Recurring Items'!$D$12),0)+(IF(AC278=1,'Debt Tracker'!$P$10&gt;0.01,INDEX('Debt Tracker'!$T$5:$AE$29,6,AC278-1)&gt;0.01))*('Recurring Items'!$H$13&lt;&gt;"Skip")*(DAY(AB278)='Recurring Items'!$F$13)*IFERROR(N('Recurring Items'!$D$13),0)+(IF(AC278=1,'Debt Tracker'!$P$11&gt;0.01,INDEX('Debt Tracker'!$T$5:$AE$29,7,AC278-1)&gt;0.01))*('Recurring Items'!$H$14&lt;&gt;"Skip")*(DAY(AB278)='Recurring Items'!$F$14)*IFERROR(N('Recurring Items'!$D$14),0)+(IF(AC278=1,'Debt Tracker'!$P$12&gt;0.01,INDEX('Debt Tracker'!$T$5:$AE$29,8,AC278-1)&gt;0.01))*('Recurring Items'!$H$15&lt;&gt;"Skip")*(DAY(AB278)='Recurring Items'!$F$15)*IFERROR(N('Recurring Items'!$D$15),0)+(IF(AC278=1,'Debt Tracker'!$P$13&gt;0.01,INDEX('Debt Tracker'!$T$5:$AE$29,9,AC278-1)&gt;0.01))*('Recurring Items'!$H$16&lt;&gt;"Skip")*(DAY(AB278)='Recurring Items'!$F$16)*IFERROR(N('Recurring Items'!$D$16),0)+(IF(AC278=1,'Debt Tracker'!$P$14&gt;0.01,INDEX('Debt Tracker'!$T$5:$AE$29,10,AC278-1)&gt;0.01))*('Recurring Items'!$H$17&lt;&gt;"Skip")*(DAY(AB278)='Recurring Items'!$F$17)*IFERROR(N('Recurring Items'!$D$17),0)+(IF(AC278=1,'Debt Tracker'!$P$15&gt;0.01,INDEX('Debt Tracker'!$T$5:$AE$29,11,AC278-1)&gt;0.01))*('Recurring Items'!$H$18&lt;&gt;"Skip")*(DAY(AB278)='Recurring Items'!$F$18)*IFERROR(N('Recurring Items'!$D$18),0)+(IF(AC278=1,'Debt Tracker'!$P$16&gt;0.01,INDEX('Debt Tracker'!$T$5:$AE$29,12,AC278-1)&gt;0.01))*('Recurring Items'!$H$19&lt;&gt;"Skip")*(DAY(AB278)='Recurring Items'!$F$19)*IFERROR(N('Recurring Items'!$D$19),0)+(IF(AC278=1,'Debt Tracker'!$P$17&gt;0.01,INDEX('Debt Tracker'!$T$5:$AE$29,13,AC278-1)&gt;0.01))*('Recurring Items'!$H$20&lt;&gt;"Skip")*(DAY(AB278)='Recurring Items'!$F$20)*IFERROR(N('Recurring Items'!$D$20),0)+(IF(AC278=1,'Debt Tracker'!$P$18&gt;0.01,INDEX('Debt Tracker'!$T$5:$AE$29,14,AC278-1)&gt;0.01))*('Recurring Items'!$H$21&lt;&gt;"Skip")*(DAY(AB278)='Recurring Items'!$F$21)*IFERROR(N('Recurring Items'!$D$21),0)+(IF(AC278=1,'Debt Tracker'!$P$19&gt;0.01,INDEX('Debt Tracker'!$T$5:$AE$29,15,AC278-1)&gt;0.01))*('Recurring Items'!$H$22&lt;&gt;"Skip")*(DAY(AB278)='Recurring Items'!$F$22)*IFERROR(N('Recurring Items'!$D$22),0)+(IF(AC278=1,'Debt Tracker'!$P$20&gt;0.01,INDEX('Debt Tracker'!$T$5:$AE$29,16,AC278-1)&gt;0.01))*('Recurring Items'!$H$23&lt;&gt;"Skip")*(DAY(AB278)='Recurring Items'!$F$23)*IFERROR(N('Recurring Items'!$D$23),0)+(IF(AC278=1,'Debt Tracker'!$P$21&gt;0.01,INDEX('Debt Tracker'!$T$5:$AE$29,17,AC278-1)&gt;0.01))*('Recurring Items'!$H$24&lt;&gt;"Skip")*(DAY(AB278)='Recurring Items'!$F$24)*IFERROR(N('Recurring Items'!$D$24),0)+(IF(AC278=1,'Debt Tracker'!$P$22&gt;0.01,INDEX('Debt Tracker'!$T$5:$AE$29,18,AC278-1)&gt;0.01))*('Recurring Items'!$H$25&lt;&gt;"Skip")*(DAY(AB278)='Recurring Items'!$F$25)*IFERROR(N('Recurring Items'!$D$25),0)+(IF(AC278=1,'Debt Tracker'!$P$23&gt;0.01,INDEX('Debt Tracker'!$T$5:$AE$29,19,AC278-1)&gt;0.01))*('Recurring Items'!$H$26&lt;&gt;"Skip")*(DAY(AB278)='Recurring Items'!$F$26)*IFERROR(N('Recurring Items'!$D$26),0)+(IF(AC278=1,'Debt Tracker'!$P$24&gt;0.01,INDEX('Debt Tracker'!$T$5:$AE$29,20,AC278-1)&gt;0.01))*('Recurring Items'!$H$27&lt;&gt;"Skip")*(DAY(AB278)='Recurring Items'!$F$27)*IFERROR(N('Recurring Items'!$D$27),0)+(IF(AC278=1,'Debt Tracker'!$P$25&gt;0.01,INDEX('Debt Tracker'!$T$5:$AE$29,21,AC278-1)&gt;0.01))*('Recurring Items'!$H$28&lt;&gt;"Skip")*(DAY(AB278)='Recurring Items'!$F$28)*IFERROR(N('Recurring Items'!$D$28),0)+(IF(AC278=1,'Debt Tracker'!$P$26&gt;0.01,INDEX('Debt Tracker'!$T$5:$AE$29,22,AC278-1)&gt;0.01))*('Recurring Items'!$H$29&lt;&gt;"Skip")*(DAY(AB278)='Recurring Items'!$F$29)*IFERROR(N('Recurring Items'!$D$29),0)+(IF(AC278=1,'Debt Tracker'!$P$27&gt;0.01,INDEX('Debt Tracker'!$T$5:$AE$29,23,AC278-1)&gt;0.01))*('Recurring Items'!$H$30&lt;&gt;"Skip")*(DAY(AB278)='Recurring Items'!$F$30)*IFERROR(N('Recurring Items'!$D$30),0)+(IF(AC278=1,'Debt Tracker'!$P$28&gt;0.01,INDEX('Debt Tracker'!$T$5:$AE$29,24,AC278-1)&gt;0.01))*('Recurring Items'!$H$31&lt;&gt;"Skip")*(DAY(AB278)='Recurring Items'!$F$31)*IFERROR(N('Recurring Items'!$D$31),0)+(IF(AC278=1,'Debt Tracker'!$P$29&gt;0.01,INDEX('Debt Tracker'!$T$5:$AE$29,25,AC278-1)&gt;0.01))*('Recurring Items'!$H$32&lt;&gt;"Skip")*(DAY(AB278)='Recurring Items'!$F$32)*IFERROR(N('Recurring Items'!$D$32),0)</f>
        <v>0</v>
      </c>
      <c r="AG278" s="1" t="n">
        <f aca="false">AD278-AE278-AF278</f>
        <v>0</v>
      </c>
      <c r="AH278" s="1" t="n">
        <f aca="false">AH277+AG278</f>
        <v>5199.98</v>
      </c>
    </row>
    <row r="279" customFormat="false" ht="15" hidden="false" customHeight="true" outlineLevel="0" collapsed="false">
      <c r="AA279" s="1" t="n">
        <v>79</v>
      </c>
      <c r="AB279" s="145" t="n">
        <f aca="false">$D$3+79</f>
        <v>46222</v>
      </c>
      <c r="AC279" s="1" t="n">
        <f aca="false">MIN(12,1+DATEDIF($D$3,AB279,"M"))</f>
        <v>3</v>
      </c>
      <c r="AD279" s="1" t="n">
        <f aca="false">SUMPRODUCT(('Recurring Items'!$C$6:$C$56="Income")*('Recurring Items'!$H$6:$H$56&lt;&gt;"Skip")*IFERROR(N('Recurring Items'!$D$6:$D$56),0)*(('Recurring Items'!$E$6:$E$56="Monthly")*(DAY(AB279)='Recurring Items'!$F$6:$F$56)+('Recurring Items'!$E$6:$E$56="Bi-weekly")*(WEEKDAY(AB279)=IFERROR(WEEKDAY('Recurring Items'!$G$6:$G$56),0))*(MOD(AB279-IFERROR('Recurring Items'!$G$6:$G$56,0),14)=0)*(AB279&gt;=IFERROR('Recurring Items'!$G$6:$G$56,9000000000))+('Recurring Items'!$E$6:$E$56="Weekly")*(WEEKDAY(AB279)=IFERROR(WEEKDAY('Recurring Items'!$G$6:$G$56),0))*(AB279&gt;=IFERROR('Recurring Items'!$G$6:$G$56,9000000000))+('Recurring Items'!$E$6:$E$56="One-time")*(AB279='Recurring Items'!$G$6:$G$56)))</f>
        <v>0</v>
      </c>
      <c r="AE279" s="1" t="n">
        <f aca="false">SUMPRODUCT(('Recurring Items'!$C$6:$C$56="Expense")*('Recurring Items'!$H$6:$H$56&lt;&gt;"Skip")*IFERROR(N('Recurring Items'!$D$6:$D$56),0)*(('Recurring Items'!$E$6:$E$56="Monthly")*(DAY(AB279)='Recurring Items'!$F$6:$F$56)+('Recurring Items'!$E$6:$E$56="Bi-weekly")*(WEEKDAY(AB279)=IFERROR(WEEKDAY('Recurring Items'!$G$6:$G$56),0))*(MOD(AB279-IFERROR('Recurring Items'!$G$6:$G$56,0),14)=0)*(AB279&gt;=IFERROR('Recurring Items'!$G$6:$G$56,9000000000))+('Recurring Items'!$E$6:$E$56="Weekly")*(WEEKDAY(AB279)=IFERROR(WEEKDAY('Recurring Items'!$G$6:$G$56),0))*(AB279&gt;=IFERROR('Recurring Items'!$G$6:$G$56,9000000000))+('Recurring Items'!$E$6:$E$56="One-time")*(AB279='Recurring Items'!$G$6:$G$56)))</f>
        <v>0</v>
      </c>
      <c r="AF279" s="1" t="n">
        <f aca="false">(IF(AC279=1,'Debt Tracker'!$P$5&gt;0.01,INDEX('Debt Tracker'!$T$5:$AE$29,1,AC279-1)&gt;0.01))*('Recurring Items'!$H$8&lt;&gt;"Skip")*(DAY(AB279)='Recurring Items'!$F$8)*IFERROR(N('Recurring Items'!$D$8),0)+(IF(AC279=1,'Debt Tracker'!$P$6&gt;0.01,INDEX('Debt Tracker'!$T$5:$AE$29,2,AC279-1)&gt;0.01))*('Recurring Items'!$H$9&lt;&gt;"Skip")*(DAY(AB279)='Recurring Items'!$F$9)*IFERROR(N('Recurring Items'!$D$9),0)+(IF(AC279=1,'Debt Tracker'!$P$7&gt;0.01,INDEX('Debt Tracker'!$T$5:$AE$29,3,AC279-1)&gt;0.01))*('Recurring Items'!$H$10&lt;&gt;"Skip")*(DAY(AB279)='Recurring Items'!$F$10)*IFERROR(N('Recurring Items'!$D$10),0)+(IF(AC279=1,'Debt Tracker'!$P$8&gt;0.01,INDEX('Debt Tracker'!$T$5:$AE$29,4,AC279-1)&gt;0.01))*('Recurring Items'!$H$11&lt;&gt;"Skip")*(DAY(AB279)='Recurring Items'!$F$11)*IFERROR(N('Recurring Items'!$D$11),0)+(IF(AC279=1,'Debt Tracker'!$P$9&gt;0.01,INDEX('Debt Tracker'!$T$5:$AE$29,5,AC279-1)&gt;0.01))*('Recurring Items'!$H$12&lt;&gt;"Skip")*(DAY(AB279)='Recurring Items'!$F$12)*IFERROR(N('Recurring Items'!$D$12),0)+(IF(AC279=1,'Debt Tracker'!$P$10&gt;0.01,INDEX('Debt Tracker'!$T$5:$AE$29,6,AC279-1)&gt;0.01))*('Recurring Items'!$H$13&lt;&gt;"Skip")*(DAY(AB279)='Recurring Items'!$F$13)*IFERROR(N('Recurring Items'!$D$13),0)+(IF(AC279=1,'Debt Tracker'!$P$11&gt;0.01,INDEX('Debt Tracker'!$T$5:$AE$29,7,AC279-1)&gt;0.01))*('Recurring Items'!$H$14&lt;&gt;"Skip")*(DAY(AB279)='Recurring Items'!$F$14)*IFERROR(N('Recurring Items'!$D$14),0)+(IF(AC279=1,'Debt Tracker'!$P$12&gt;0.01,INDEX('Debt Tracker'!$T$5:$AE$29,8,AC279-1)&gt;0.01))*('Recurring Items'!$H$15&lt;&gt;"Skip")*(DAY(AB279)='Recurring Items'!$F$15)*IFERROR(N('Recurring Items'!$D$15),0)+(IF(AC279=1,'Debt Tracker'!$P$13&gt;0.01,INDEX('Debt Tracker'!$T$5:$AE$29,9,AC279-1)&gt;0.01))*('Recurring Items'!$H$16&lt;&gt;"Skip")*(DAY(AB279)='Recurring Items'!$F$16)*IFERROR(N('Recurring Items'!$D$16),0)+(IF(AC279=1,'Debt Tracker'!$P$14&gt;0.01,INDEX('Debt Tracker'!$T$5:$AE$29,10,AC279-1)&gt;0.01))*('Recurring Items'!$H$17&lt;&gt;"Skip")*(DAY(AB279)='Recurring Items'!$F$17)*IFERROR(N('Recurring Items'!$D$17),0)+(IF(AC279=1,'Debt Tracker'!$P$15&gt;0.01,INDEX('Debt Tracker'!$T$5:$AE$29,11,AC279-1)&gt;0.01))*('Recurring Items'!$H$18&lt;&gt;"Skip")*(DAY(AB279)='Recurring Items'!$F$18)*IFERROR(N('Recurring Items'!$D$18),0)+(IF(AC279=1,'Debt Tracker'!$P$16&gt;0.01,INDEX('Debt Tracker'!$T$5:$AE$29,12,AC279-1)&gt;0.01))*('Recurring Items'!$H$19&lt;&gt;"Skip")*(DAY(AB279)='Recurring Items'!$F$19)*IFERROR(N('Recurring Items'!$D$19),0)+(IF(AC279=1,'Debt Tracker'!$P$17&gt;0.01,INDEX('Debt Tracker'!$T$5:$AE$29,13,AC279-1)&gt;0.01))*('Recurring Items'!$H$20&lt;&gt;"Skip")*(DAY(AB279)='Recurring Items'!$F$20)*IFERROR(N('Recurring Items'!$D$20),0)+(IF(AC279=1,'Debt Tracker'!$P$18&gt;0.01,INDEX('Debt Tracker'!$T$5:$AE$29,14,AC279-1)&gt;0.01))*('Recurring Items'!$H$21&lt;&gt;"Skip")*(DAY(AB279)='Recurring Items'!$F$21)*IFERROR(N('Recurring Items'!$D$21),0)+(IF(AC279=1,'Debt Tracker'!$P$19&gt;0.01,INDEX('Debt Tracker'!$T$5:$AE$29,15,AC279-1)&gt;0.01))*('Recurring Items'!$H$22&lt;&gt;"Skip")*(DAY(AB279)='Recurring Items'!$F$22)*IFERROR(N('Recurring Items'!$D$22),0)+(IF(AC279=1,'Debt Tracker'!$P$20&gt;0.01,INDEX('Debt Tracker'!$T$5:$AE$29,16,AC279-1)&gt;0.01))*('Recurring Items'!$H$23&lt;&gt;"Skip")*(DAY(AB279)='Recurring Items'!$F$23)*IFERROR(N('Recurring Items'!$D$23),0)+(IF(AC279=1,'Debt Tracker'!$P$21&gt;0.01,INDEX('Debt Tracker'!$T$5:$AE$29,17,AC279-1)&gt;0.01))*('Recurring Items'!$H$24&lt;&gt;"Skip")*(DAY(AB279)='Recurring Items'!$F$24)*IFERROR(N('Recurring Items'!$D$24),0)+(IF(AC279=1,'Debt Tracker'!$P$22&gt;0.01,INDEX('Debt Tracker'!$T$5:$AE$29,18,AC279-1)&gt;0.01))*('Recurring Items'!$H$25&lt;&gt;"Skip")*(DAY(AB279)='Recurring Items'!$F$25)*IFERROR(N('Recurring Items'!$D$25),0)+(IF(AC279=1,'Debt Tracker'!$P$23&gt;0.01,INDEX('Debt Tracker'!$T$5:$AE$29,19,AC279-1)&gt;0.01))*('Recurring Items'!$H$26&lt;&gt;"Skip")*(DAY(AB279)='Recurring Items'!$F$26)*IFERROR(N('Recurring Items'!$D$26),0)+(IF(AC279=1,'Debt Tracker'!$P$24&gt;0.01,INDEX('Debt Tracker'!$T$5:$AE$29,20,AC279-1)&gt;0.01))*('Recurring Items'!$H$27&lt;&gt;"Skip")*(DAY(AB279)='Recurring Items'!$F$27)*IFERROR(N('Recurring Items'!$D$27),0)+(IF(AC279=1,'Debt Tracker'!$P$25&gt;0.01,INDEX('Debt Tracker'!$T$5:$AE$29,21,AC279-1)&gt;0.01))*('Recurring Items'!$H$28&lt;&gt;"Skip")*(DAY(AB279)='Recurring Items'!$F$28)*IFERROR(N('Recurring Items'!$D$28),0)+(IF(AC279=1,'Debt Tracker'!$P$26&gt;0.01,INDEX('Debt Tracker'!$T$5:$AE$29,22,AC279-1)&gt;0.01))*('Recurring Items'!$H$29&lt;&gt;"Skip")*(DAY(AB279)='Recurring Items'!$F$29)*IFERROR(N('Recurring Items'!$D$29),0)+(IF(AC279=1,'Debt Tracker'!$P$27&gt;0.01,INDEX('Debt Tracker'!$T$5:$AE$29,23,AC279-1)&gt;0.01))*('Recurring Items'!$H$30&lt;&gt;"Skip")*(DAY(AB279)='Recurring Items'!$F$30)*IFERROR(N('Recurring Items'!$D$30),0)+(IF(AC279=1,'Debt Tracker'!$P$28&gt;0.01,INDEX('Debt Tracker'!$T$5:$AE$29,24,AC279-1)&gt;0.01))*('Recurring Items'!$H$31&lt;&gt;"Skip")*(DAY(AB279)='Recurring Items'!$F$31)*IFERROR(N('Recurring Items'!$D$31),0)+(IF(AC279=1,'Debt Tracker'!$P$29&gt;0.01,INDEX('Debt Tracker'!$T$5:$AE$29,25,AC279-1)&gt;0.01))*('Recurring Items'!$H$32&lt;&gt;"Skip")*(DAY(AB279)='Recurring Items'!$F$32)*IFERROR(N('Recurring Items'!$D$32),0)</f>
        <v>0</v>
      </c>
      <c r="AG279" s="1" t="n">
        <f aca="false">AD279-AE279-AF279</f>
        <v>0</v>
      </c>
      <c r="AH279" s="1" t="n">
        <f aca="false">AH278+AG279</f>
        <v>5199.98</v>
      </c>
    </row>
    <row r="280" customFormat="false" ht="15" hidden="false" customHeight="true" outlineLevel="0" collapsed="false">
      <c r="AA280" s="1" t="n">
        <v>80</v>
      </c>
      <c r="AB280" s="145" t="n">
        <f aca="false">$D$3+80</f>
        <v>46223</v>
      </c>
      <c r="AC280" s="1" t="n">
        <f aca="false">MIN(12,1+DATEDIF($D$3,AB280,"M"))</f>
        <v>3</v>
      </c>
      <c r="AD280" s="1" t="n">
        <f aca="false">SUMPRODUCT(('Recurring Items'!$C$6:$C$56="Income")*('Recurring Items'!$H$6:$H$56&lt;&gt;"Skip")*IFERROR(N('Recurring Items'!$D$6:$D$56),0)*(('Recurring Items'!$E$6:$E$56="Monthly")*(DAY(AB280)='Recurring Items'!$F$6:$F$56)+('Recurring Items'!$E$6:$E$56="Bi-weekly")*(WEEKDAY(AB280)=IFERROR(WEEKDAY('Recurring Items'!$G$6:$G$56),0))*(MOD(AB280-IFERROR('Recurring Items'!$G$6:$G$56,0),14)=0)*(AB280&gt;=IFERROR('Recurring Items'!$G$6:$G$56,9000000000))+('Recurring Items'!$E$6:$E$56="Weekly")*(WEEKDAY(AB280)=IFERROR(WEEKDAY('Recurring Items'!$G$6:$G$56),0))*(AB280&gt;=IFERROR('Recurring Items'!$G$6:$G$56,9000000000))+('Recurring Items'!$E$6:$E$56="One-time")*(AB280='Recurring Items'!$G$6:$G$56)))</f>
        <v>0</v>
      </c>
      <c r="AE280" s="1" t="n">
        <f aca="false">SUMPRODUCT(('Recurring Items'!$C$6:$C$56="Expense")*('Recurring Items'!$H$6:$H$56&lt;&gt;"Skip")*IFERROR(N('Recurring Items'!$D$6:$D$56),0)*(('Recurring Items'!$E$6:$E$56="Monthly")*(DAY(AB280)='Recurring Items'!$F$6:$F$56)+('Recurring Items'!$E$6:$E$56="Bi-weekly")*(WEEKDAY(AB280)=IFERROR(WEEKDAY('Recurring Items'!$G$6:$G$56),0))*(MOD(AB280-IFERROR('Recurring Items'!$G$6:$G$56,0),14)=0)*(AB280&gt;=IFERROR('Recurring Items'!$G$6:$G$56,9000000000))+('Recurring Items'!$E$6:$E$56="Weekly")*(WEEKDAY(AB280)=IFERROR(WEEKDAY('Recurring Items'!$G$6:$G$56),0))*(AB280&gt;=IFERROR('Recurring Items'!$G$6:$G$56,9000000000))+('Recurring Items'!$E$6:$E$56="One-time")*(AB280='Recurring Items'!$G$6:$G$56)))</f>
        <v>0</v>
      </c>
      <c r="AF280" s="1" t="n">
        <f aca="false">(IF(AC280=1,'Debt Tracker'!$P$5&gt;0.01,INDEX('Debt Tracker'!$T$5:$AE$29,1,AC280-1)&gt;0.01))*('Recurring Items'!$H$8&lt;&gt;"Skip")*(DAY(AB280)='Recurring Items'!$F$8)*IFERROR(N('Recurring Items'!$D$8),0)+(IF(AC280=1,'Debt Tracker'!$P$6&gt;0.01,INDEX('Debt Tracker'!$T$5:$AE$29,2,AC280-1)&gt;0.01))*('Recurring Items'!$H$9&lt;&gt;"Skip")*(DAY(AB280)='Recurring Items'!$F$9)*IFERROR(N('Recurring Items'!$D$9),0)+(IF(AC280=1,'Debt Tracker'!$P$7&gt;0.01,INDEX('Debt Tracker'!$T$5:$AE$29,3,AC280-1)&gt;0.01))*('Recurring Items'!$H$10&lt;&gt;"Skip")*(DAY(AB280)='Recurring Items'!$F$10)*IFERROR(N('Recurring Items'!$D$10),0)+(IF(AC280=1,'Debt Tracker'!$P$8&gt;0.01,INDEX('Debt Tracker'!$T$5:$AE$29,4,AC280-1)&gt;0.01))*('Recurring Items'!$H$11&lt;&gt;"Skip")*(DAY(AB280)='Recurring Items'!$F$11)*IFERROR(N('Recurring Items'!$D$11),0)+(IF(AC280=1,'Debt Tracker'!$P$9&gt;0.01,INDEX('Debt Tracker'!$T$5:$AE$29,5,AC280-1)&gt;0.01))*('Recurring Items'!$H$12&lt;&gt;"Skip")*(DAY(AB280)='Recurring Items'!$F$12)*IFERROR(N('Recurring Items'!$D$12),0)+(IF(AC280=1,'Debt Tracker'!$P$10&gt;0.01,INDEX('Debt Tracker'!$T$5:$AE$29,6,AC280-1)&gt;0.01))*('Recurring Items'!$H$13&lt;&gt;"Skip")*(DAY(AB280)='Recurring Items'!$F$13)*IFERROR(N('Recurring Items'!$D$13),0)+(IF(AC280=1,'Debt Tracker'!$P$11&gt;0.01,INDEX('Debt Tracker'!$T$5:$AE$29,7,AC280-1)&gt;0.01))*('Recurring Items'!$H$14&lt;&gt;"Skip")*(DAY(AB280)='Recurring Items'!$F$14)*IFERROR(N('Recurring Items'!$D$14),0)+(IF(AC280=1,'Debt Tracker'!$P$12&gt;0.01,INDEX('Debt Tracker'!$T$5:$AE$29,8,AC280-1)&gt;0.01))*('Recurring Items'!$H$15&lt;&gt;"Skip")*(DAY(AB280)='Recurring Items'!$F$15)*IFERROR(N('Recurring Items'!$D$15),0)+(IF(AC280=1,'Debt Tracker'!$P$13&gt;0.01,INDEX('Debt Tracker'!$T$5:$AE$29,9,AC280-1)&gt;0.01))*('Recurring Items'!$H$16&lt;&gt;"Skip")*(DAY(AB280)='Recurring Items'!$F$16)*IFERROR(N('Recurring Items'!$D$16),0)+(IF(AC280=1,'Debt Tracker'!$P$14&gt;0.01,INDEX('Debt Tracker'!$T$5:$AE$29,10,AC280-1)&gt;0.01))*('Recurring Items'!$H$17&lt;&gt;"Skip")*(DAY(AB280)='Recurring Items'!$F$17)*IFERROR(N('Recurring Items'!$D$17),0)+(IF(AC280=1,'Debt Tracker'!$P$15&gt;0.01,INDEX('Debt Tracker'!$T$5:$AE$29,11,AC280-1)&gt;0.01))*('Recurring Items'!$H$18&lt;&gt;"Skip")*(DAY(AB280)='Recurring Items'!$F$18)*IFERROR(N('Recurring Items'!$D$18),0)+(IF(AC280=1,'Debt Tracker'!$P$16&gt;0.01,INDEX('Debt Tracker'!$T$5:$AE$29,12,AC280-1)&gt;0.01))*('Recurring Items'!$H$19&lt;&gt;"Skip")*(DAY(AB280)='Recurring Items'!$F$19)*IFERROR(N('Recurring Items'!$D$19),0)+(IF(AC280=1,'Debt Tracker'!$P$17&gt;0.01,INDEX('Debt Tracker'!$T$5:$AE$29,13,AC280-1)&gt;0.01))*('Recurring Items'!$H$20&lt;&gt;"Skip")*(DAY(AB280)='Recurring Items'!$F$20)*IFERROR(N('Recurring Items'!$D$20),0)+(IF(AC280=1,'Debt Tracker'!$P$18&gt;0.01,INDEX('Debt Tracker'!$T$5:$AE$29,14,AC280-1)&gt;0.01))*('Recurring Items'!$H$21&lt;&gt;"Skip")*(DAY(AB280)='Recurring Items'!$F$21)*IFERROR(N('Recurring Items'!$D$21),0)+(IF(AC280=1,'Debt Tracker'!$P$19&gt;0.01,INDEX('Debt Tracker'!$T$5:$AE$29,15,AC280-1)&gt;0.01))*('Recurring Items'!$H$22&lt;&gt;"Skip")*(DAY(AB280)='Recurring Items'!$F$22)*IFERROR(N('Recurring Items'!$D$22),0)+(IF(AC280=1,'Debt Tracker'!$P$20&gt;0.01,INDEX('Debt Tracker'!$T$5:$AE$29,16,AC280-1)&gt;0.01))*('Recurring Items'!$H$23&lt;&gt;"Skip")*(DAY(AB280)='Recurring Items'!$F$23)*IFERROR(N('Recurring Items'!$D$23),0)+(IF(AC280=1,'Debt Tracker'!$P$21&gt;0.01,INDEX('Debt Tracker'!$T$5:$AE$29,17,AC280-1)&gt;0.01))*('Recurring Items'!$H$24&lt;&gt;"Skip")*(DAY(AB280)='Recurring Items'!$F$24)*IFERROR(N('Recurring Items'!$D$24),0)+(IF(AC280=1,'Debt Tracker'!$P$22&gt;0.01,INDEX('Debt Tracker'!$T$5:$AE$29,18,AC280-1)&gt;0.01))*('Recurring Items'!$H$25&lt;&gt;"Skip")*(DAY(AB280)='Recurring Items'!$F$25)*IFERROR(N('Recurring Items'!$D$25),0)+(IF(AC280=1,'Debt Tracker'!$P$23&gt;0.01,INDEX('Debt Tracker'!$T$5:$AE$29,19,AC280-1)&gt;0.01))*('Recurring Items'!$H$26&lt;&gt;"Skip")*(DAY(AB280)='Recurring Items'!$F$26)*IFERROR(N('Recurring Items'!$D$26),0)+(IF(AC280=1,'Debt Tracker'!$P$24&gt;0.01,INDEX('Debt Tracker'!$T$5:$AE$29,20,AC280-1)&gt;0.01))*('Recurring Items'!$H$27&lt;&gt;"Skip")*(DAY(AB280)='Recurring Items'!$F$27)*IFERROR(N('Recurring Items'!$D$27),0)+(IF(AC280=1,'Debt Tracker'!$P$25&gt;0.01,INDEX('Debt Tracker'!$T$5:$AE$29,21,AC280-1)&gt;0.01))*('Recurring Items'!$H$28&lt;&gt;"Skip")*(DAY(AB280)='Recurring Items'!$F$28)*IFERROR(N('Recurring Items'!$D$28),0)+(IF(AC280=1,'Debt Tracker'!$P$26&gt;0.01,INDEX('Debt Tracker'!$T$5:$AE$29,22,AC280-1)&gt;0.01))*('Recurring Items'!$H$29&lt;&gt;"Skip")*(DAY(AB280)='Recurring Items'!$F$29)*IFERROR(N('Recurring Items'!$D$29),0)+(IF(AC280=1,'Debt Tracker'!$P$27&gt;0.01,INDEX('Debt Tracker'!$T$5:$AE$29,23,AC280-1)&gt;0.01))*('Recurring Items'!$H$30&lt;&gt;"Skip")*(DAY(AB280)='Recurring Items'!$F$30)*IFERROR(N('Recurring Items'!$D$30),0)+(IF(AC280=1,'Debt Tracker'!$P$28&gt;0.01,INDEX('Debt Tracker'!$T$5:$AE$29,24,AC280-1)&gt;0.01))*('Recurring Items'!$H$31&lt;&gt;"Skip")*(DAY(AB280)='Recurring Items'!$F$31)*IFERROR(N('Recurring Items'!$D$31),0)+(IF(AC280=1,'Debt Tracker'!$P$29&gt;0.01,INDEX('Debt Tracker'!$T$5:$AE$29,25,AC280-1)&gt;0.01))*('Recurring Items'!$H$32&lt;&gt;"Skip")*(DAY(AB280)='Recurring Items'!$F$32)*IFERROR(N('Recurring Items'!$D$32),0)</f>
        <v>207.23</v>
      </c>
      <c r="AG280" s="1" t="n">
        <f aca="false">AD280-AE280-AF280</f>
        <v>-207.23</v>
      </c>
      <c r="AH280" s="1" t="n">
        <f aca="false">AH279+AG280</f>
        <v>4992.75</v>
      </c>
    </row>
    <row r="281" customFormat="false" ht="15" hidden="false" customHeight="true" outlineLevel="0" collapsed="false">
      <c r="AA281" s="1" t="n">
        <v>81</v>
      </c>
      <c r="AB281" s="145" t="n">
        <f aca="false">$D$3+81</f>
        <v>46224</v>
      </c>
      <c r="AC281" s="1" t="n">
        <f aca="false">MIN(12,1+DATEDIF($D$3,AB281,"M"))</f>
        <v>3</v>
      </c>
      <c r="AD281" s="1" t="n">
        <f aca="false">SUMPRODUCT(('Recurring Items'!$C$6:$C$56="Income")*('Recurring Items'!$H$6:$H$56&lt;&gt;"Skip")*IFERROR(N('Recurring Items'!$D$6:$D$56),0)*(('Recurring Items'!$E$6:$E$56="Monthly")*(DAY(AB281)='Recurring Items'!$F$6:$F$56)+('Recurring Items'!$E$6:$E$56="Bi-weekly")*(WEEKDAY(AB281)=IFERROR(WEEKDAY('Recurring Items'!$G$6:$G$56),0))*(MOD(AB281-IFERROR('Recurring Items'!$G$6:$G$56,0),14)=0)*(AB281&gt;=IFERROR('Recurring Items'!$G$6:$G$56,9000000000))+('Recurring Items'!$E$6:$E$56="Weekly")*(WEEKDAY(AB281)=IFERROR(WEEKDAY('Recurring Items'!$G$6:$G$56),0))*(AB281&gt;=IFERROR('Recurring Items'!$G$6:$G$56,9000000000))+('Recurring Items'!$E$6:$E$56="One-time")*(AB281='Recurring Items'!$G$6:$G$56)))</f>
        <v>0</v>
      </c>
      <c r="AE281" s="1" t="n">
        <f aca="false">SUMPRODUCT(('Recurring Items'!$C$6:$C$56="Expense")*('Recurring Items'!$H$6:$H$56&lt;&gt;"Skip")*IFERROR(N('Recurring Items'!$D$6:$D$56),0)*(('Recurring Items'!$E$6:$E$56="Monthly")*(DAY(AB281)='Recurring Items'!$F$6:$F$56)+('Recurring Items'!$E$6:$E$56="Bi-weekly")*(WEEKDAY(AB281)=IFERROR(WEEKDAY('Recurring Items'!$G$6:$G$56),0))*(MOD(AB281-IFERROR('Recurring Items'!$G$6:$G$56,0),14)=0)*(AB281&gt;=IFERROR('Recurring Items'!$G$6:$G$56,9000000000))+('Recurring Items'!$E$6:$E$56="Weekly")*(WEEKDAY(AB281)=IFERROR(WEEKDAY('Recurring Items'!$G$6:$G$56),0))*(AB281&gt;=IFERROR('Recurring Items'!$G$6:$G$56,9000000000))+('Recurring Items'!$E$6:$E$56="One-time")*(AB281='Recurring Items'!$G$6:$G$56)))</f>
        <v>241</v>
      </c>
      <c r="AF281" s="1" t="n">
        <f aca="false">(IF(AC281=1,'Debt Tracker'!$P$5&gt;0.01,INDEX('Debt Tracker'!$T$5:$AE$29,1,AC281-1)&gt;0.01))*('Recurring Items'!$H$8&lt;&gt;"Skip")*(DAY(AB281)='Recurring Items'!$F$8)*IFERROR(N('Recurring Items'!$D$8),0)+(IF(AC281=1,'Debt Tracker'!$P$6&gt;0.01,INDEX('Debt Tracker'!$T$5:$AE$29,2,AC281-1)&gt;0.01))*('Recurring Items'!$H$9&lt;&gt;"Skip")*(DAY(AB281)='Recurring Items'!$F$9)*IFERROR(N('Recurring Items'!$D$9),0)+(IF(AC281=1,'Debt Tracker'!$P$7&gt;0.01,INDEX('Debt Tracker'!$T$5:$AE$29,3,AC281-1)&gt;0.01))*('Recurring Items'!$H$10&lt;&gt;"Skip")*(DAY(AB281)='Recurring Items'!$F$10)*IFERROR(N('Recurring Items'!$D$10),0)+(IF(AC281=1,'Debt Tracker'!$P$8&gt;0.01,INDEX('Debt Tracker'!$T$5:$AE$29,4,AC281-1)&gt;0.01))*('Recurring Items'!$H$11&lt;&gt;"Skip")*(DAY(AB281)='Recurring Items'!$F$11)*IFERROR(N('Recurring Items'!$D$11),0)+(IF(AC281=1,'Debt Tracker'!$P$9&gt;0.01,INDEX('Debt Tracker'!$T$5:$AE$29,5,AC281-1)&gt;0.01))*('Recurring Items'!$H$12&lt;&gt;"Skip")*(DAY(AB281)='Recurring Items'!$F$12)*IFERROR(N('Recurring Items'!$D$12),0)+(IF(AC281=1,'Debt Tracker'!$P$10&gt;0.01,INDEX('Debt Tracker'!$T$5:$AE$29,6,AC281-1)&gt;0.01))*('Recurring Items'!$H$13&lt;&gt;"Skip")*(DAY(AB281)='Recurring Items'!$F$13)*IFERROR(N('Recurring Items'!$D$13),0)+(IF(AC281=1,'Debt Tracker'!$P$11&gt;0.01,INDEX('Debt Tracker'!$T$5:$AE$29,7,AC281-1)&gt;0.01))*('Recurring Items'!$H$14&lt;&gt;"Skip")*(DAY(AB281)='Recurring Items'!$F$14)*IFERROR(N('Recurring Items'!$D$14),0)+(IF(AC281=1,'Debt Tracker'!$P$12&gt;0.01,INDEX('Debt Tracker'!$T$5:$AE$29,8,AC281-1)&gt;0.01))*('Recurring Items'!$H$15&lt;&gt;"Skip")*(DAY(AB281)='Recurring Items'!$F$15)*IFERROR(N('Recurring Items'!$D$15),0)+(IF(AC281=1,'Debt Tracker'!$P$13&gt;0.01,INDEX('Debt Tracker'!$T$5:$AE$29,9,AC281-1)&gt;0.01))*('Recurring Items'!$H$16&lt;&gt;"Skip")*(DAY(AB281)='Recurring Items'!$F$16)*IFERROR(N('Recurring Items'!$D$16),0)+(IF(AC281=1,'Debt Tracker'!$P$14&gt;0.01,INDEX('Debt Tracker'!$T$5:$AE$29,10,AC281-1)&gt;0.01))*('Recurring Items'!$H$17&lt;&gt;"Skip")*(DAY(AB281)='Recurring Items'!$F$17)*IFERROR(N('Recurring Items'!$D$17),0)+(IF(AC281=1,'Debt Tracker'!$P$15&gt;0.01,INDEX('Debt Tracker'!$T$5:$AE$29,11,AC281-1)&gt;0.01))*('Recurring Items'!$H$18&lt;&gt;"Skip")*(DAY(AB281)='Recurring Items'!$F$18)*IFERROR(N('Recurring Items'!$D$18),0)+(IF(AC281=1,'Debt Tracker'!$P$16&gt;0.01,INDEX('Debt Tracker'!$T$5:$AE$29,12,AC281-1)&gt;0.01))*('Recurring Items'!$H$19&lt;&gt;"Skip")*(DAY(AB281)='Recurring Items'!$F$19)*IFERROR(N('Recurring Items'!$D$19),0)+(IF(AC281=1,'Debt Tracker'!$P$17&gt;0.01,INDEX('Debt Tracker'!$T$5:$AE$29,13,AC281-1)&gt;0.01))*('Recurring Items'!$H$20&lt;&gt;"Skip")*(DAY(AB281)='Recurring Items'!$F$20)*IFERROR(N('Recurring Items'!$D$20),0)+(IF(AC281=1,'Debt Tracker'!$P$18&gt;0.01,INDEX('Debt Tracker'!$T$5:$AE$29,14,AC281-1)&gt;0.01))*('Recurring Items'!$H$21&lt;&gt;"Skip")*(DAY(AB281)='Recurring Items'!$F$21)*IFERROR(N('Recurring Items'!$D$21),0)+(IF(AC281=1,'Debt Tracker'!$P$19&gt;0.01,INDEX('Debt Tracker'!$T$5:$AE$29,15,AC281-1)&gt;0.01))*('Recurring Items'!$H$22&lt;&gt;"Skip")*(DAY(AB281)='Recurring Items'!$F$22)*IFERROR(N('Recurring Items'!$D$22),0)+(IF(AC281=1,'Debt Tracker'!$P$20&gt;0.01,INDEX('Debt Tracker'!$T$5:$AE$29,16,AC281-1)&gt;0.01))*('Recurring Items'!$H$23&lt;&gt;"Skip")*(DAY(AB281)='Recurring Items'!$F$23)*IFERROR(N('Recurring Items'!$D$23),0)+(IF(AC281=1,'Debt Tracker'!$P$21&gt;0.01,INDEX('Debt Tracker'!$T$5:$AE$29,17,AC281-1)&gt;0.01))*('Recurring Items'!$H$24&lt;&gt;"Skip")*(DAY(AB281)='Recurring Items'!$F$24)*IFERROR(N('Recurring Items'!$D$24),0)+(IF(AC281=1,'Debt Tracker'!$P$22&gt;0.01,INDEX('Debt Tracker'!$T$5:$AE$29,18,AC281-1)&gt;0.01))*('Recurring Items'!$H$25&lt;&gt;"Skip")*(DAY(AB281)='Recurring Items'!$F$25)*IFERROR(N('Recurring Items'!$D$25),0)+(IF(AC281=1,'Debt Tracker'!$P$23&gt;0.01,INDEX('Debt Tracker'!$T$5:$AE$29,19,AC281-1)&gt;0.01))*('Recurring Items'!$H$26&lt;&gt;"Skip")*(DAY(AB281)='Recurring Items'!$F$26)*IFERROR(N('Recurring Items'!$D$26),0)+(IF(AC281=1,'Debt Tracker'!$P$24&gt;0.01,INDEX('Debt Tracker'!$T$5:$AE$29,20,AC281-1)&gt;0.01))*('Recurring Items'!$H$27&lt;&gt;"Skip")*(DAY(AB281)='Recurring Items'!$F$27)*IFERROR(N('Recurring Items'!$D$27),0)+(IF(AC281=1,'Debt Tracker'!$P$25&gt;0.01,INDEX('Debt Tracker'!$T$5:$AE$29,21,AC281-1)&gt;0.01))*('Recurring Items'!$H$28&lt;&gt;"Skip")*(DAY(AB281)='Recurring Items'!$F$28)*IFERROR(N('Recurring Items'!$D$28),0)+(IF(AC281=1,'Debt Tracker'!$P$26&gt;0.01,INDEX('Debt Tracker'!$T$5:$AE$29,22,AC281-1)&gt;0.01))*('Recurring Items'!$H$29&lt;&gt;"Skip")*(DAY(AB281)='Recurring Items'!$F$29)*IFERROR(N('Recurring Items'!$D$29),0)+(IF(AC281=1,'Debt Tracker'!$P$27&gt;0.01,INDEX('Debt Tracker'!$T$5:$AE$29,23,AC281-1)&gt;0.01))*('Recurring Items'!$H$30&lt;&gt;"Skip")*(DAY(AB281)='Recurring Items'!$F$30)*IFERROR(N('Recurring Items'!$D$30),0)+(IF(AC281=1,'Debt Tracker'!$P$28&gt;0.01,INDEX('Debt Tracker'!$T$5:$AE$29,24,AC281-1)&gt;0.01))*('Recurring Items'!$H$31&lt;&gt;"Skip")*(DAY(AB281)='Recurring Items'!$F$31)*IFERROR(N('Recurring Items'!$D$31),0)+(IF(AC281=1,'Debt Tracker'!$P$29&gt;0.01,INDEX('Debt Tracker'!$T$5:$AE$29,25,AC281-1)&gt;0.01))*('Recurring Items'!$H$32&lt;&gt;"Skip")*(DAY(AB281)='Recurring Items'!$F$32)*IFERROR(N('Recurring Items'!$D$32),0)</f>
        <v>80</v>
      </c>
      <c r="AG281" s="1" t="n">
        <f aca="false">AD281-AE281-AF281</f>
        <v>-321</v>
      </c>
      <c r="AH281" s="1" t="n">
        <f aca="false">AH280+AG281</f>
        <v>4671.75</v>
      </c>
    </row>
    <row r="282" customFormat="false" ht="15" hidden="false" customHeight="true" outlineLevel="0" collapsed="false">
      <c r="AA282" s="1" t="n">
        <v>82</v>
      </c>
      <c r="AB282" s="145" t="n">
        <f aca="false">$D$3+82</f>
        <v>46225</v>
      </c>
      <c r="AC282" s="1" t="n">
        <f aca="false">MIN(12,1+DATEDIF($D$3,AB282,"M"))</f>
        <v>3</v>
      </c>
      <c r="AD282" s="1" t="n">
        <f aca="false">SUMPRODUCT(('Recurring Items'!$C$6:$C$56="Income")*('Recurring Items'!$H$6:$H$56&lt;&gt;"Skip")*IFERROR(N('Recurring Items'!$D$6:$D$56),0)*(('Recurring Items'!$E$6:$E$56="Monthly")*(DAY(AB282)='Recurring Items'!$F$6:$F$56)+('Recurring Items'!$E$6:$E$56="Bi-weekly")*(WEEKDAY(AB282)=IFERROR(WEEKDAY('Recurring Items'!$G$6:$G$56),0))*(MOD(AB282-IFERROR('Recurring Items'!$G$6:$G$56,0),14)=0)*(AB282&gt;=IFERROR('Recurring Items'!$G$6:$G$56,9000000000))+('Recurring Items'!$E$6:$E$56="Weekly")*(WEEKDAY(AB282)=IFERROR(WEEKDAY('Recurring Items'!$G$6:$G$56),0))*(AB282&gt;=IFERROR('Recurring Items'!$G$6:$G$56,9000000000))+('Recurring Items'!$E$6:$E$56="One-time")*(AB282='Recurring Items'!$G$6:$G$56)))</f>
        <v>0</v>
      </c>
      <c r="AE282" s="1" t="n">
        <f aca="false">SUMPRODUCT(('Recurring Items'!$C$6:$C$56="Expense")*('Recurring Items'!$H$6:$H$56&lt;&gt;"Skip")*IFERROR(N('Recurring Items'!$D$6:$D$56),0)*(('Recurring Items'!$E$6:$E$56="Monthly")*(DAY(AB282)='Recurring Items'!$F$6:$F$56)+('Recurring Items'!$E$6:$E$56="Bi-weekly")*(WEEKDAY(AB282)=IFERROR(WEEKDAY('Recurring Items'!$G$6:$G$56),0))*(MOD(AB282-IFERROR('Recurring Items'!$G$6:$G$56,0),14)=0)*(AB282&gt;=IFERROR('Recurring Items'!$G$6:$G$56,9000000000))+('Recurring Items'!$E$6:$E$56="Weekly")*(WEEKDAY(AB282)=IFERROR(WEEKDAY('Recurring Items'!$G$6:$G$56),0))*(AB282&gt;=IFERROR('Recurring Items'!$G$6:$G$56,9000000000))+('Recurring Items'!$E$6:$E$56="One-time")*(AB282='Recurring Items'!$G$6:$G$56)))</f>
        <v>0</v>
      </c>
      <c r="AF282" s="1" t="n">
        <f aca="false">(IF(AC282=1,'Debt Tracker'!$P$5&gt;0.01,INDEX('Debt Tracker'!$T$5:$AE$29,1,AC282-1)&gt;0.01))*('Recurring Items'!$H$8&lt;&gt;"Skip")*(DAY(AB282)='Recurring Items'!$F$8)*IFERROR(N('Recurring Items'!$D$8),0)+(IF(AC282=1,'Debt Tracker'!$P$6&gt;0.01,INDEX('Debt Tracker'!$T$5:$AE$29,2,AC282-1)&gt;0.01))*('Recurring Items'!$H$9&lt;&gt;"Skip")*(DAY(AB282)='Recurring Items'!$F$9)*IFERROR(N('Recurring Items'!$D$9),0)+(IF(AC282=1,'Debt Tracker'!$P$7&gt;0.01,INDEX('Debt Tracker'!$T$5:$AE$29,3,AC282-1)&gt;0.01))*('Recurring Items'!$H$10&lt;&gt;"Skip")*(DAY(AB282)='Recurring Items'!$F$10)*IFERROR(N('Recurring Items'!$D$10),0)+(IF(AC282=1,'Debt Tracker'!$P$8&gt;0.01,INDEX('Debt Tracker'!$T$5:$AE$29,4,AC282-1)&gt;0.01))*('Recurring Items'!$H$11&lt;&gt;"Skip")*(DAY(AB282)='Recurring Items'!$F$11)*IFERROR(N('Recurring Items'!$D$11),0)+(IF(AC282=1,'Debt Tracker'!$P$9&gt;0.01,INDEX('Debt Tracker'!$T$5:$AE$29,5,AC282-1)&gt;0.01))*('Recurring Items'!$H$12&lt;&gt;"Skip")*(DAY(AB282)='Recurring Items'!$F$12)*IFERROR(N('Recurring Items'!$D$12),0)+(IF(AC282=1,'Debt Tracker'!$P$10&gt;0.01,INDEX('Debt Tracker'!$T$5:$AE$29,6,AC282-1)&gt;0.01))*('Recurring Items'!$H$13&lt;&gt;"Skip")*(DAY(AB282)='Recurring Items'!$F$13)*IFERROR(N('Recurring Items'!$D$13),0)+(IF(AC282=1,'Debt Tracker'!$P$11&gt;0.01,INDEX('Debt Tracker'!$T$5:$AE$29,7,AC282-1)&gt;0.01))*('Recurring Items'!$H$14&lt;&gt;"Skip")*(DAY(AB282)='Recurring Items'!$F$14)*IFERROR(N('Recurring Items'!$D$14),0)+(IF(AC282=1,'Debt Tracker'!$P$12&gt;0.01,INDEX('Debt Tracker'!$T$5:$AE$29,8,AC282-1)&gt;0.01))*('Recurring Items'!$H$15&lt;&gt;"Skip")*(DAY(AB282)='Recurring Items'!$F$15)*IFERROR(N('Recurring Items'!$D$15),0)+(IF(AC282=1,'Debt Tracker'!$P$13&gt;0.01,INDEX('Debt Tracker'!$T$5:$AE$29,9,AC282-1)&gt;0.01))*('Recurring Items'!$H$16&lt;&gt;"Skip")*(DAY(AB282)='Recurring Items'!$F$16)*IFERROR(N('Recurring Items'!$D$16),0)+(IF(AC282=1,'Debt Tracker'!$P$14&gt;0.01,INDEX('Debt Tracker'!$T$5:$AE$29,10,AC282-1)&gt;0.01))*('Recurring Items'!$H$17&lt;&gt;"Skip")*(DAY(AB282)='Recurring Items'!$F$17)*IFERROR(N('Recurring Items'!$D$17),0)+(IF(AC282=1,'Debt Tracker'!$P$15&gt;0.01,INDEX('Debt Tracker'!$T$5:$AE$29,11,AC282-1)&gt;0.01))*('Recurring Items'!$H$18&lt;&gt;"Skip")*(DAY(AB282)='Recurring Items'!$F$18)*IFERROR(N('Recurring Items'!$D$18),0)+(IF(AC282=1,'Debt Tracker'!$P$16&gt;0.01,INDEX('Debt Tracker'!$T$5:$AE$29,12,AC282-1)&gt;0.01))*('Recurring Items'!$H$19&lt;&gt;"Skip")*(DAY(AB282)='Recurring Items'!$F$19)*IFERROR(N('Recurring Items'!$D$19),0)+(IF(AC282=1,'Debt Tracker'!$P$17&gt;0.01,INDEX('Debt Tracker'!$T$5:$AE$29,13,AC282-1)&gt;0.01))*('Recurring Items'!$H$20&lt;&gt;"Skip")*(DAY(AB282)='Recurring Items'!$F$20)*IFERROR(N('Recurring Items'!$D$20),0)+(IF(AC282=1,'Debt Tracker'!$P$18&gt;0.01,INDEX('Debt Tracker'!$T$5:$AE$29,14,AC282-1)&gt;0.01))*('Recurring Items'!$H$21&lt;&gt;"Skip")*(DAY(AB282)='Recurring Items'!$F$21)*IFERROR(N('Recurring Items'!$D$21),0)+(IF(AC282=1,'Debt Tracker'!$P$19&gt;0.01,INDEX('Debt Tracker'!$T$5:$AE$29,15,AC282-1)&gt;0.01))*('Recurring Items'!$H$22&lt;&gt;"Skip")*(DAY(AB282)='Recurring Items'!$F$22)*IFERROR(N('Recurring Items'!$D$22),0)+(IF(AC282=1,'Debt Tracker'!$P$20&gt;0.01,INDEX('Debt Tracker'!$T$5:$AE$29,16,AC282-1)&gt;0.01))*('Recurring Items'!$H$23&lt;&gt;"Skip")*(DAY(AB282)='Recurring Items'!$F$23)*IFERROR(N('Recurring Items'!$D$23),0)+(IF(AC282=1,'Debt Tracker'!$P$21&gt;0.01,INDEX('Debt Tracker'!$T$5:$AE$29,17,AC282-1)&gt;0.01))*('Recurring Items'!$H$24&lt;&gt;"Skip")*(DAY(AB282)='Recurring Items'!$F$24)*IFERROR(N('Recurring Items'!$D$24),0)+(IF(AC282=1,'Debt Tracker'!$P$22&gt;0.01,INDEX('Debt Tracker'!$T$5:$AE$29,18,AC282-1)&gt;0.01))*('Recurring Items'!$H$25&lt;&gt;"Skip")*(DAY(AB282)='Recurring Items'!$F$25)*IFERROR(N('Recurring Items'!$D$25),0)+(IF(AC282=1,'Debt Tracker'!$P$23&gt;0.01,INDEX('Debt Tracker'!$T$5:$AE$29,19,AC282-1)&gt;0.01))*('Recurring Items'!$H$26&lt;&gt;"Skip")*(DAY(AB282)='Recurring Items'!$F$26)*IFERROR(N('Recurring Items'!$D$26),0)+(IF(AC282=1,'Debt Tracker'!$P$24&gt;0.01,INDEX('Debt Tracker'!$T$5:$AE$29,20,AC282-1)&gt;0.01))*('Recurring Items'!$H$27&lt;&gt;"Skip")*(DAY(AB282)='Recurring Items'!$F$27)*IFERROR(N('Recurring Items'!$D$27),0)+(IF(AC282=1,'Debt Tracker'!$P$25&gt;0.01,INDEX('Debt Tracker'!$T$5:$AE$29,21,AC282-1)&gt;0.01))*('Recurring Items'!$H$28&lt;&gt;"Skip")*(DAY(AB282)='Recurring Items'!$F$28)*IFERROR(N('Recurring Items'!$D$28),0)+(IF(AC282=1,'Debt Tracker'!$P$26&gt;0.01,INDEX('Debt Tracker'!$T$5:$AE$29,22,AC282-1)&gt;0.01))*('Recurring Items'!$H$29&lt;&gt;"Skip")*(DAY(AB282)='Recurring Items'!$F$29)*IFERROR(N('Recurring Items'!$D$29),0)+(IF(AC282=1,'Debt Tracker'!$P$27&gt;0.01,INDEX('Debt Tracker'!$T$5:$AE$29,23,AC282-1)&gt;0.01))*('Recurring Items'!$H$30&lt;&gt;"Skip")*(DAY(AB282)='Recurring Items'!$F$30)*IFERROR(N('Recurring Items'!$D$30),0)+(IF(AC282=1,'Debt Tracker'!$P$28&gt;0.01,INDEX('Debt Tracker'!$T$5:$AE$29,24,AC282-1)&gt;0.01))*('Recurring Items'!$H$31&lt;&gt;"Skip")*(DAY(AB282)='Recurring Items'!$F$31)*IFERROR(N('Recurring Items'!$D$31),0)+(IF(AC282=1,'Debt Tracker'!$P$29&gt;0.01,INDEX('Debt Tracker'!$T$5:$AE$29,25,AC282-1)&gt;0.01))*('Recurring Items'!$H$32&lt;&gt;"Skip")*(DAY(AB282)='Recurring Items'!$F$32)*IFERROR(N('Recurring Items'!$D$32),0)</f>
        <v>0</v>
      </c>
      <c r="AG282" s="1" t="n">
        <f aca="false">AD282-AE282-AF282</f>
        <v>0</v>
      </c>
      <c r="AH282" s="1" t="n">
        <f aca="false">AH281+AG282</f>
        <v>4671.75</v>
      </c>
    </row>
    <row r="283" customFormat="false" ht="15" hidden="false" customHeight="true" outlineLevel="0" collapsed="false">
      <c r="AA283" s="1" t="n">
        <v>83</v>
      </c>
      <c r="AB283" s="145" t="n">
        <f aca="false">$D$3+83</f>
        <v>46226</v>
      </c>
      <c r="AC283" s="1" t="n">
        <f aca="false">MIN(12,1+DATEDIF($D$3,AB283,"M"))</f>
        <v>3</v>
      </c>
      <c r="AD283" s="1" t="n">
        <f aca="false">SUMPRODUCT(('Recurring Items'!$C$6:$C$56="Income")*('Recurring Items'!$H$6:$H$56&lt;&gt;"Skip")*IFERROR(N('Recurring Items'!$D$6:$D$56),0)*(('Recurring Items'!$E$6:$E$56="Monthly")*(DAY(AB283)='Recurring Items'!$F$6:$F$56)+('Recurring Items'!$E$6:$E$56="Bi-weekly")*(WEEKDAY(AB283)=IFERROR(WEEKDAY('Recurring Items'!$G$6:$G$56),0))*(MOD(AB283-IFERROR('Recurring Items'!$G$6:$G$56,0),14)=0)*(AB283&gt;=IFERROR('Recurring Items'!$G$6:$G$56,9000000000))+('Recurring Items'!$E$6:$E$56="Weekly")*(WEEKDAY(AB283)=IFERROR(WEEKDAY('Recurring Items'!$G$6:$G$56),0))*(AB283&gt;=IFERROR('Recurring Items'!$G$6:$G$56,9000000000))+('Recurring Items'!$E$6:$E$56="One-time")*(AB283='Recurring Items'!$G$6:$G$56)))</f>
        <v>0</v>
      </c>
      <c r="AE283" s="1" t="n">
        <f aca="false">SUMPRODUCT(('Recurring Items'!$C$6:$C$56="Expense")*('Recurring Items'!$H$6:$H$56&lt;&gt;"Skip")*IFERROR(N('Recurring Items'!$D$6:$D$56),0)*(('Recurring Items'!$E$6:$E$56="Monthly")*(DAY(AB283)='Recurring Items'!$F$6:$F$56)+('Recurring Items'!$E$6:$E$56="Bi-weekly")*(WEEKDAY(AB283)=IFERROR(WEEKDAY('Recurring Items'!$G$6:$G$56),0))*(MOD(AB283-IFERROR('Recurring Items'!$G$6:$G$56,0),14)=0)*(AB283&gt;=IFERROR('Recurring Items'!$G$6:$G$56,9000000000))+('Recurring Items'!$E$6:$E$56="Weekly")*(WEEKDAY(AB283)=IFERROR(WEEKDAY('Recurring Items'!$G$6:$G$56),0))*(AB283&gt;=IFERROR('Recurring Items'!$G$6:$G$56,9000000000))+('Recurring Items'!$E$6:$E$56="One-time")*(AB283='Recurring Items'!$G$6:$G$56)))</f>
        <v>0</v>
      </c>
      <c r="AF283" s="1" t="n">
        <f aca="false">(IF(AC283=1,'Debt Tracker'!$P$5&gt;0.01,INDEX('Debt Tracker'!$T$5:$AE$29,1,AC283-1)&gt;0.01))*('Recurring Items'!$H$8&lt;&gt;"Skip")*(DAY(AB283)='Recurring Items'!$F$8)*IFERROR(N('Recurring Items'!$D$8),0)+(IF(AC283=1,'Debt Tracker'!$P$6&gt;0.01,INDEX('Debt Tracker'!$T$5:$AE$29,2,AC283-1)&gt;0.01))*('Recurring Items'!$H$9&lt;&gt;"Skip")*(DAY(AB283)='Recurring Items'!$F$9)*IFERROR(N('Recurring Items'!$D$9),0)+(IF(AC283=1,'Debt Tracker'!$P$7&gt;0.01,INDEX('Debt Tracker'!$T$5:$AE$29,3,AC283-1)&gt;0.01))*('Recurring Items'!$H$10&lt;&gt;"Skip")*(DAY(AB283)='Recurring Items'!$F$10)*IFERROR(N('Recurring Items'!$D$10),0)+(IF(AC283=1,'Debt Tracker'!$P$8&gt;0.01,INDEX('Debt Tracker'!$T$5:$AE$29,4,AC283-1)&gt;0.01))*('Recurring Items'!$H$11&lt;&gt;"Skip")*(DAY(AB283)='Recurring Items'!$F$11)*IFERROR(N('Recurring Items'!$D$11),0)+(IF(AC283=1,'Debt Tracker'!$P$9&gt;0.01,INDEX('Debt Tracker'!$T$5:$AE$29,5,AC283-1)&gt;0.01))*('Recurring Items'!$H$12&lt;&gt;"Skip")*(DAY(AB283)='Recurring Items'!$F$12)*IFERROR(N('Recurring Items'!$D$12),0)+(IF(AC283=1,'Debt Tracker'!$P$10&gt;0.01,INDEX('Debt Tracker'!$T$5:$AE$29,6,AC283-1)&gt;0.01))*('Recurring Items'!$H$13&lt;&gt;"Skip")*(DAY(AB283)='Recurring Items'!$F$13)*IFERROR(N('Recurring Items'!$D$13),0)+(IF(AC283=1,'Debt Tracker'!$P$11&gt;0.01,INDEX('Debt Tracker'!$T$5:$AE$29,7,AC283-1)&gt;0.01))*('Recurring Items'!$H$14&lt;&gt;"Skip")*(DAY(AB283)='Recurring Items'!$F$14)*IFERROR(N('Recurring Items'!$D$14),0)+(IF(AC283=1,'Debt Tracker'!$P$12&gt;0.01,INDEX('Debt Tracker'!$T$5:$AE$29,8,AC283-1)&gt;0.01))*('Recurring Items'!$H$15&lt;&gt;"Skip")*(DAY(AB283)='Recurring Items'!$F$15)*IFERROR(N('Recurring Items'!$D$15),0)+(IF(AC283=1,'Debt Tracker'!$P$13&gt;0.01,INDEX('Debt Tracker'!$T$5:$AE$29,9,AC283-1)&gt;0.01))*('Recurring Items'!$H$16&lt;&gt;"Skip")*(DAY(AB283)='Recurring Items'!$F$16)*IFERROR(N('Recurring Items'!$D$16),0)+(IF(AC283=1,'Debt Tracker'!$P$14&gt;0.01,INDEX('Debt Tracker'!$T$5:$AE$29,10,AC283-1)&gt;0.01))*('Recurring Items'!$H$17&lt;&gt;"Skip")*(DAY(AB283)='Recurring Items'!$F$17)*IFERROR(N('Recurring Items'!$D$17),0)+(IF(AC283=1,'Debt Tracker'!$P$15&gt;0.01,INDEX('Debt Tracker'!$T$5:$AE$29,11,AC283-1)&gt;0.01))*('Recurring Items'!$H$18&lt;&gt;"Skip")*(DAY(AB283)='Recurring Items'!$F$18)*IFERROR(N('Recurring Items'!$D$18),0)+(IF(AC283=1,'Debt Tracker'!$P$16&gt;0.01,INDEX('Debt Tracker'!$T$5:$AE$29,12,AC283-1)&gt;0.01))*('Recurring Items'!$H$19&lt;&gt;"Skip")*(DAY(AB283)='Recurring Items'!$F$19)*IFERROR(N('Recurring Items'!$D$19),0)+(IF(AC283=1,'Debt Tracker'!$P$17&gt;0.01,INDEX('Debt Tracker'!$T$5:$AE$29,13,AC283-1)&gt;0.01))*('Recurring Items'!$H$20&lt;&gt;"Skip")*(DAY(AB283)='Recurring Items'!$F$20)*IFERROR(N('Recurring Items'!$D$20),0)+(IF(AC283=1,'Debt Tracker'!$P$18&gt;0.01,INDEX('Debt Tracker'!$T$5:$AE$29,14,AC283-1)&gt;0.01))*('Recurring Items'!$H$21&lt;&gt;"Skip")*(DAY(AB283)='Recurring Items'!$F$21)*IFERROR(N('Recurring Items'!$D$21),0)+(IF(AC283=1,'Debt Tracker'!$P$19&gt;0.01,INDEX('Debt Tracker'!$T$5:$AE$29,15,AC283-1)&gt;0.01))*('Recurring Items'!$H$22&lt;&gt;"Skip")*(DAY(AB283)='Recurring Items'!$F$22)*IFERROR(N('Recurring Items'!$D$22),0)+(IF(AC283=1,'Debt Tracker'!$P$20&gt;0.01,INDEX('Debt Tracker'!$T$5:$AE$29,16,AC283-1)&gt;0.01))*('Recurring Items'!$H$23&lt;&gt;"Skip")*(DAY(AB283)='Recurring Items'!$F$23)*IFERROR(N('Recurring Items'!$D$23),0)+(IF(AC283=1,'Debt Tracker'!$P$21&gt;0.01,INDEX('Debt Tracker'!$T$5:$AE$29,17,AC283-1)&gt;0.01))*('Recurring Items'!$H$24&lt;&gt;"Skip")*(DAY(AB283)='Recurring Items'!$F$24)*IFERROR(N('Recurring Items'!$D$24),0)+(IF(AC283=1,'Debt Tracker'!$P$22&gt;0.01,INDEX('Debt Tracker'!$T$5:$AE$29,18,AC283-1)&gt;0.01))*('Recurring Items'!$H$25&lt;&gt;"Skip")*(DAY(AB283)='Recurring Items'!$F$25)*IFERROR(N('Recurring Items'!$D$25),0)+(IF(AC283=1,'Debt Tracker'!$P$23&gt;0.01,INDEX('Debt Tracker'!$T$5:$AE$29,19,AC283-1)&gt;0.01))*('Recurring Items'!$H$26&lt;&gt;"Skip")*(DAY(AB283)='Recurring Items'!$F$26)*IFERROR(N('Recurring Items'!$D$26),0)+(IF(AC283=1,'Debt Tracker'!$P$24&gt;0.01,INDEX('Debt Tracker'!$T$5:$AE$29,20,AC283-1)&gt;0.01))*('Recurring Items'!$H$27&lt;&gt;"Skip")*(DAY(AB283)='Recurring Items'!$F$27)*IFERROR(N('Recurring Items'!$D$27),0)+(IF(AC283=1,'Debt Tracker'!$P$25&gt;0.01,INDEX('Debt Tracker'!$T$5:$AE$29,21,AC283-1)&gt;0.01))*('Recurring Items'!$H$28&lt;&gt;"Skip")*(DAY(AB283)='Recurring Items'!$F$28)*IFERROR(N('Recurring Items'!$D$28),0)+(IF(AC283=1,'Debt Tracker'!$P$26&gt;0.01,INDEX('Debt Tracker'!$T$5:$AE$29,22,AC283-1)&gt;0.01))*('Recurring Items'!$H$29&lt;&gt;"Skip")*(DAY(AB283)='Recurring Items'!$F$29)*IFERROR(N('Recurring Items'!$D$29),0)+(IF(AC283=1,'Debt Tracker'!$P$27&gt;0.01,INDEX('Debt Tracker'!$T$5:$AE$29,23,AC283-1)&gt;0.01))*('Recurring Items'!$H$30&lt;&gt;"Skip")*(DAY(AB283)='Recurring Items'!$F$30)*IFERROR(N('Recurring Items'!$D$30),0)+(IF(AC283=1,'Debt Tracker'!$P$28&gt;0.01,INDEX('Debt Tracker'!$T$5:$AE$29,24,AC283-1)&gt;0.01))*('Recurring Items'!$H$31&lt;&gt;"Skip")*(DAY(AB283)='Recurring Items'!$F$31)*IFERROR(N('Recurring Items'!$D$31),0)+(IF(AC283=1,'Debt Tracker'!$P$29&gt;0.01,INDEX('Debt Tracker'!$T$5:$AE$29,25,AC283-1)&gt;0.01))*('Recurring Items'!$H$32&lt;&gt;"Skip")*(DAY(AB283)='Recurring Items'!$F$32)*IFERROR(N('Recurring Items'!$D$32),0)</f>
        <v>0</v>
      </c>
      <c r="AG283" s="1" t="n">
        <f aca="false">AD283-AE283-AF283</f>
        <v>0</v>
      </c>
      <c r="AH283" s="1" t="n">
        <f aca="false">AH282+AG283</f>
        <v>4671.75</v>
      </c>
    </row>
    <row r="284" customFormat="false" ht="15" hidden="false" customHeight="true" outlineLevel="0" collapsed="false">
      <c r="AA284" s="1" t="n">
        <v>84</v>
      </c>
      <c r="AB284" s="145" t="n">
        <f aca="false">$D$3+84</f>
        <v>46227</v>
      </c>
      <c r="AC284" s="1" t="n">
        <f aca="false">MIN(12,1+DATEDIF($D$3,AB284,"M"))</f>
        <v>3</v>
      </c>
      <c r="AD284" s="1" t="n">
        <f aca="false">SUMPRODUCT(('Recurring Items'!$C$6:$C$56="Income")*('Recurring Items'!$H$6:$H$56&lt;&gt;"Skip")*IFERROR(N('Recurring Items'!$D$6:$D$56),0)*(('Recurring Items'!$E$6:$E$56="Monthly")*(DAY(AB284)='Recurring Items'!$F$6:$F$56)+('Recurring Items'!$E$6:$E$56="Bi-weekly")*(WEEKDAY(AB284)=IFERROR(WEEKDAY('Recurring Items'!$G$6:$G$56),0))*(MOD(AB284-IFERROR('Recurring Items'!$G$6:$G$56,0),14)=0)*(AB284&gt;=IFERROR('Recurring Items'!$G$6:$G$56,9000000000))+('Recurring Items'!$E$6:$E$56="Weekly")*(WEEKDAY(AB284)=IFERROR(WEEKDAY('Recurring Items'!$G$6:$G$56),0))*(AB284&gt;=IFERROR('Recurring Items'!$G$6:$G$56,9000000000))+('Recurring Items'!$E$6:$E$56="One-time")*(AB284='Recurring Items'!$G$6:$G$56)))</f>
        <v>3819.79</v>
      </c>
      <c r="AE284" s="1" t="n">
        <f aca="false">SUMPRODUCT(('Recurring Items'!$C$6:$C$56="Expense")*('Recurring Items'!$H$6:$H$56&lt;&gt;"Skip")*IFERROR(N('Recurring Items'!$D$6:$D$56),0)*(('Recurring Items'!$E$6:$E$56="Monthly")*(DAY(AB284)='Recurring Items'!$F$6:$F$56)+('Recurring Items'!$E$6:$E$56="Bi-weekly")*(WEEKDAY(AB284)=IFERROR(WEEKDAY('Recurring Items'!$G$6:$G$56),0))*(MOD(AB284-IFERROR('Recurring Items'!$G$6:$G$56,0),14)=0)*(AB284&gt;=IFERROR('Recurring Items'!$G$6:$G$56,9000000000))+('Recurring Items'!$E$6:$E$56="Weekly")*(WEEKDAY(AB284)=IFERROR(WEEKDAY('Recurring Items'!$G$6:$G$56),0))*(AB284&gt;=IFERROR('Recurring Items'!$G$6:$G$56,9000000000))+('Recurring Items'!$E$6:$E$56="One-time")*(AB284='Recurring Items'!$G$6:$G$56)))</f>
        <v>561.02</v>
      </c>
      <c r="AF284" s="1" t="n">
        <f aca="false">(IF(AC284=1,'Debt Tracker'!$P$5&gt;0.01,INDEX('Debt Tracker'!$T$5:$AE$29,1,AC284-1)&gt;0.01))*('Recurring Items'!$H$8&lt;&gt;"Skip")*(DAY(AB284)='Recurring Items'!$F$8)*IFERROR(N('Recurring Items'!$D$8),0)+(IF(AC284=1,'Debt Tracker'!$P$6&gt;0.01,INDEX('Debt Tracker'!$T$5:$AE$29,2,AC284-1)&gt;0.01))*('Recurring Items'!$H$9&lt;&gt;"Skip")*(DAY(AB284)='Recurring Items'!$F$9)*IFERROR(N('Recurring Items'!$D$9),0)+(IF(AC284=1,'Debt Tracker'!$P$7&gt;0.01,INDEX('Debt Tracker'!$T$5:$AE$29,3,AC284-1)&gt;0.01))*('Recurring Items'!$H$10&lt;&gt;"Skip")*(DAY(AB284)='Recurring Items'!$F$10)*IFERROR(N('Recurring Items'!$D$10),0)+(IF(AC284=1,'Debt Tracker'!$P$8&gt;0.01,INDEX('Debt Tracker'!$T$5:$AE$29,4,AC284-1)&gt;0.01))*('Recurring Items'!$H$11&lt;&gt;"Skip")*(DAY(AB284)='Recurring Items'!$F$11)*IFERROR(N('Recurring Items'!$D$11),0)+(IF(AC284=1,'Debt Tracker'!$P$9&gt;0.01,INDEX('Debt Tracker'!$T$5:$AE$29,5,AC284-1)&gt;0.01))*('Recurring Items'!$H$12&lt;&gt;"Skip")*(DAY(AB284)='Recurring Items'!$F$12)*IFERROR(N('Recurring Items'!$D$12),0)+(IF(AC284=1,'Debt Tracker'!$P$10&gt;0.01,INDEX('Debt Tracker'!$T$5:$AE$29,6,AC284-1)&gt;0.01))*('Recurring Items'!$H$13&lt;&gt;"Skip")*(DAY(AB284)='Recurring Items'!$F$13)*IFERROR(N('Recurring Items'!$D$13),0)+(IF(AC284=1,'Debt Tracker'!$P$11&gt;0.01,INDEX('Debt Tracker'!$T$5:$AE$29,7,AC284-1)&gt;0.01))*('Recurring Items'!$H$14&lt;&gt;"Skip")*(DAY(AB284)='Recurring Items'!$F$14)*IFERROR(N('Recurring Items'!$D$14),0)+(IF(AC284=1,'Debt Tracker'!$P$12&gt;0.01,INDEX('Debt Tracker'!$T$5:$AE$29,8,AC284-1)&gt;0.01))*('Recurring Items'!$H$15&lt;&gt;"Skip")*(DAY(AB284)='Recurring Items'!$F$15)*IFERROR(N('Recurring Items'!$D$15),0)+(IF(AC284=1,'Debt Tracker'!$P$13&gt;0.01,INDEX('Debt Tracker'!$T$5:$AE$29,9,AC284-1)&gt;0.01))*('Recurring Items'!$H$16&lt;&gt;"Skip")*(DAY(AB284)='Recurring Items'!$F$16)*IFERROR(N('Recurring Items'!$D$16),0)+(IF(AC284=1,'Debt Tracker'!$P$14&gt;0.01,INDEX('Debt Tracker'!$T$5:$AE$29,10,AC284-1)&gt;0.01))*('Recurring Items'!$H$17&lt;&gt;"Skip")*(DAY(AB284)='Recurring Items'!$F$17)*IFERROR(N('Recurring Items'!$D$17),0)+(IF(AC284=1,'Debt Tracker'!$P$15&gt;0.01,INDEX('Debt Tracker'!$T$5:$AE$29,11,AC284-1)&gt;0.01))*('Recurring Items'!$H$18&lt;&gt;"Skip")*(DAY(AB284)='Recurring Items'!$F$18)*IFERROR(N('Recurring Items'!$D$18),0)+(IF(AC284=1,'Debt Tracker'!$P$16&gt;0.01,INDEX('Debt Tracker'!$T$5:$AE$29,12,AC284-1)&gt;0.01))*('Recurring Items'!$H$19&lt;&gt;"Skip")*(DAY(AB284)='Recurring Items'!$F$19)*IFERROR(N('Recurring Items'!$D$19),0)+(IF(AC284=1,'Debt Tracker'!$P$17&gt;0.01,INDEX('Debt Tracker'!$T$5:$AE$29,13,AC284-1)&gt;0.01))*('Recurring Items'!$H$20&lt;&gt;"Skip")*(DAY(AB284)='Recurring Items'!$F$20)*IFERROR(N('Recurring Items'!$D$20),0)+(IF(AC284=1,'Debt Tracker'!$P$18&gt;0.01,INDEX('Debt Tracker'!$T$5:$AE$29,14,AC284-1)&gt;0.01))*('Recurring Items'!$H$21&lt;&gt;"Skip")*(DAY(AB284)='Recurring Items'!$F$21)*IFERROR(N('Recurring Items'!$D$21),0)+(IF(AC284=1,'Debt Tracker'!$P$19&gt;0.01,INDEX('Debt Tracker'!$T$5:$AE$29,15,AC284-1)&gt;0.01))*('Recurring Items'!$H$22&lt;&gt;"Skip")*(DAY(AB284)='Recurring Items'!$F$22)*IFERROR(N('Recurring Items'!$D$22),0)+(IF(AC284=1,'Debt Tracker'!$P$20&gt;0.01,INDEX('Debt Tracker'!$T$5:$AE$29,16,AC284-1)&gt;0.01))*('Recurring Items'!$H$23&lt;&gt;"Skip")*(DAY(AB284)='Recurring Items'!$F$23)*IFERROR(N('Recurring Items'!$D$23),0)+(IF(AC284=1,'Debt Tracker'!$P$21&gt;0.01,INDEX('Debt Tracker'!$T$5:$AE$29,17,AC284-1)&gt;0.01))*('Recurring Items'!$H$24&lt;&gt;"Skip")*(DAY(AB284)='Recurring Items'!$F$24)*IFERROR(N('Recurring Items'!$D$24),0)+(IF(AC284=1,'Debt Tracker'!$P$22&gt;0.01,INDEX('Debt Tracker'!$T$5:$AE$29,18,AC284-1)&gt;0.01))*('Recurring Items'!$H$25&lt;&gt;"Skip")*(DAY(AB284)='Recurring Items'!$F$25)*IFERROR(N('Recurring Items'!$D$25),0)+(IF(AC284=1,'Debt Tracker'!$P$23&gt;0.01,INDEX('Debt Tracker'!$T$5:$AE$29,19,AC284-1)&gt;0.01))*('Recurring Items'!$H$26&lt;&gt;"Skip")*(DAY(AB284)='Recurring Items'!$F$26)*IFERROR(N('Recurring Items'!$D$26),0)+(IF(AC284=1,'Debt Tracker'!$P$24&gt;0.01,INDEX('Debt Tracker'!$T$5:$AE$29,20,AC284-1)&gt;0.01))*('Recurring Items'!$H$27&lt;&gt;"Skip")*(DAY(AB284)='Recurring Items'!$F$27)*IFERROR(N('Recurring Items'!$D$27),0)+(IF(AC284=1,'Debt Tracker'!$P$25&gt;0.01,INDEX('Debt Tracker'!$T$5:$AE$29,21,AC284-1)&gt;0.01))*('Recurring Items'!$H$28&lt;&gt;"Skip")*(DAY(AB284)='Recurring Items'!$F$28)*IFERROR(N('Recurring Items'!$D$28),0)+(IF(AC284=1,'Debt Tracker'!$P$26&gt;0.01,INDEX('Debt Tracker'!$T$5:$AE$29,22,AC284-1)&gt;0.01))*('Recurring Items'!$H$29&lt;&gt;"Skip")*(DAY(AB284)='Recurring Items'!$F$29)*IFERROR(N('Recurring Items'!$D$29),0)+(IF(AC284=1,'Debt Tracker'!$P$27&gt;0.01,INDEX('Debt Tracker'!$T$5:$AE$29,23,AC284-1)&gt;0.01))*('Recurring Items'!$H$30&lt;&gt;"Skip")*(DAY(AB284)='Recurring Items'!$F$30)*IFERROR(N('Recurring Items'!$D$30),0)+(IF(AC284=1,'Debt Tracker'!$P$28&gt;0.01,INDEX('Debt Tracker'!$T$5:$AE$29,24,AC284-1)&gt;0.01))*('Recurring Items'!$H$31&lt;&gt;"Skip")*(DAY(AB284)='Recurring Items'!$F$31)*IFERROR(N('Recurring Items'!$D$31),0)+(IF(AC284=1,'Debt Tracker'!$P$29&gt;0.01,INDEX('Debt Tracker'!$T$5:$AE$29,25,AC284-1)&gt;0.01))*('Recurring Items'!$H$32&lt;&gt;"Skip")*(DAY(AB284)='Recurring Items'!$F$32)*IFERROR(N('Recurring Items'!$D$32),0)</f>
        <v>0</v>
      </c>
      <c r="AG284" s="1" t="n">
        <f aca="false">AD284-AE284-AF284</f>
        <v>3258.77</v>
      </c>
      <c r="AH284" s="1" t="n">
        <f aca="false">AH283+AG284</f>
        <v>7930.52</v>
      </c>
    </row>
    <row r="285" customFormat="false" ht="15" hidden="false" customHeight="true" outlineLevel="0" collapsed="false">
      <c r="AA285" s="1" t="n">
        <v>85</v>
      </c>
      <c r="AB285" s="145" t="n">
        <f aca="false">$D$3+85</f>
        <v>46228</v>
      </c>
      <c r="AC285" s="1" t="n">
        <f aca="false">MIN(12,1+DATEDIF($D$3,AB285,"M"))</f>
        <v>3</v>
      </c>
      <c r="AD285" s="1" t="n">
        <f aca="false">SUMPRODUCT(('Recurring Items'!$C$6:$C$56="Income")*('Recurring Items'!$H$6:$H$56&lt;&gt;"Skip")*IFERROR(N('Recurring Items'!$D$6:$D$56),0)*(('Recurring Items'!$E$6:$E$56="Monthly")*(DAY(AB285)='Recurring Items'!$F$6:$F$56)+('Recurring Items'!$E$6:$E$56="Bi-weekly")*(WEEKDAY(AB285)=IFERROR(WEEKDAY('Recurring Items'!$G$6:$G$56),0))*(MOD(AB285-IFERROR('Recurring Items'!$G$6:$G$56,0),14)=0)*(AB285&gt;=IFERROR('Recurring Items'!$G$6:$G$56,9000000000))+('Recurring Items'!$E$6:$E$56="Weekly")*(WEEKDAY(AB285)=IFERROR(WEEKDAY('Recurring Items'!$G$6:$G$56),0))*(AB285&gt;=IFERROR('Recurring Items'!$G$6:$G$56,9000000000))+('Recurring Items'!$E$6:$E$56="One-time")*(AB285='Recurring Items'!$G$6:$G$56)))</f>
        <v>0</v>
      </c>
      <c r="AE285" s="1" t="n">
        <f aca="false">SUMPRODUCT(('Recurring Items'!$C$6:$C$56="Expense")*('Recurring Items'!$H$6:$H$56&lt;&gt;"Skip")*IFERROR(N('Recurring Items'!$D$6:$D$56),0)*(('Recurring Items'!$E$6:$E$56="Monthly")*(DAY(AB285)='Recurring Items'!$F$6:$F$56)+('Recurring Items'!$E$6:$E$56="Bi-weekly")*(WEEKDAY(AB285)=IFERROR(WEEKDAY('Recurring Items'!$G$6:$G$56),0))*(MOD(AB285-IFERROR('Recurring Items'!$G$6:$G$56,0),14)=0)*(AB285&gt;=IFERROR('Recurring Items'!$G$6:$G$56,9000000000))+('Recurring Items'!$E$6:$E$56="Weekly")*(WEEKDAY(AB285)=IFERROR(WEEKDAY('Recurring Items'!$G$6:$G$56),0))*(AB285&gt;=IFERROR('Recurring Items'!$G$6:$G$56,9000000000))+('Recurring Items'!$E$6:$E$56="One-time")*(AB285='Recurring Items'!$G$6:$G$56)))</f>
        <v>0</v>
      </c>
      <c r="AF285" s="1" t="n">
        <f aca="false">(IF(AC285=1,'Debt Tracker'!$P$5&gt;0.01,INDEX('Debt Tracker'!$T$5:$AE$29,1,AC285-1)&gt;0.01))*('Recurring Items'!$H$8&lt;&gt;"Skip")*(DAY(AB285)='Recurring Items'!$F$8)*IFERROR(N('Recurring Items'!$D$8),0)+(IF(AC285=1,'Debt Tracker'!$P$6&gt;0.01,INDEX('Debt Tracker'!$T$5:$AE$29,2,AC285-1)&gt;0.01))*('Recurring Items'!$H$9&lt;&gt;"Skip")*(DAY(AB285)='Recurring Items'!$F$9)*IFERROR(N('Recurring Items'!$D$9),0)+(IF(AC285=1,'Debt Tracker'!$P$7&gt;0.01,INDEX('Debt Tracker'!$T$5:$AE$29,3,AC285-1)&gt;0.01))*('Recurring Items'!$H$10&lt;&gt;"Skip")*(DAY(AB285)='Recurring Items'!$F$10)*IFERROR(N('Recurring Items'!$D$10),0)+(IF(AC285=1,'Debt Tracker'!$P$8&gt;0.01,INDEX('Debt Tracker'!$T$5:$AE$29,4,AC285-1)&gt;0.01))*('Recurring Items'!$H$11&lt;&gt;"Skip")*(DAY(AB285)='Recurring Items'!$F$11)*IFERROR(N('Recurring Items'!$D$11),0)+(IF(AC285=1,'Debt Tracker'!$P$9&gt;0.01,INDEX('Debt Tracker'!$T$5:$AE$29,5,AC285-1)&gt;0.01))*('Recurring Items'!$H$12&lt;&gt;"Skip")*(DAY(AB285)='Recurring Items'!$F$12)*IFERROR(N('Recurring Items'!$D$12),0)+(IF(AC285=1,'Debt Tracker'!$P$10&gt;0.01,INDEX('Debt Tracker'!$T$5:$AE$29,6,AC285-1)&gt;0.01))*('Recurring Items'!$H$13&lt;&gt;"Skip")*(DAY(AB285)='Recurring Items'!$F$13)*IFERROR(N('Recurring Items'!$D$13),0)+(IF(AC285=1,'Debt Tracker'!$P$11&gt;0.01,INDEX('Debt Tracker'!$T$5:$AE$29,7,AC285-1)&gt;0.01))*('Recurring Items'!$H$14&lt;&gt;"Skip")*(DAY(AB285)='Recurring Items'!$F$14)*IFERROR(N('Recurring Items'!$D$14),0)+(IF(AC285=1,'Debt Tracker'!$P$12&gt;0.01,INDEX('Debt Tracker'!$T$5:$AE$29,8,AC285-1)&gt;0.01))*('Recurring Items'!$H$15&lt;&gt;"Skip")*(DAY(AB285)='Recurring Items'!$F$15)*IFERROR(N('Recurring Items'!$D$15),0)+(IF(AC285=1,'Debt Tracker'!$P$13&gt;0.01,INDEX('Debt Tracker'!$T$5:$AE$29,9,AC285-1)&gt;0.01))*('Recurring Items'!$H$16&lt;&gt;"Skip")*(DAY(AB285)='Recurring Items'!$F$16)*IFERROR(N('Recurring Items'!$D$16),0)+(IF(AC285=1,'Debt Tracker'!$P$14&gt;0.01,INDEX('Debt Tracker'!$T$5:$AE$29,10,AC285-1)&gt;0.01))*('Recurring Items'!$H$17&lt;&gt;"Skip")*(DAY(AB285)='Recurring Items'!$F$17)*IFERROR(N('Recurring Items'!$D$17),0)+(IF(AC285=1,'Debt Tracker'!$P$15&gt;0.01,INDEX('Debt Tracker'!$T$5:$AE$29,11,AC285-1)&gt;0.01))*('Recurring Items'!$H$18&lt;&gt;"Skip")*(DAY(AB285)='Recurring Items'!$F$18)*IFERROR(N('Recurring Items'!$D$18),0)+(IF(AC285=1,'Debt Tracker'!$P$16&gt;0.01,INDEX('Debt Tracker'!$T$5:$AE$29,12,AC285-1)&gt;0.01))*('Recurring Items'!$H$19&lt;&gt;"Skip")*(DAY(AB285)='Recurring Items'!$F$19)*IFERROR(N('Recurring Items'!$D$19),0)+(IF(AC285=1,'Debt Tracker'!$P$17&gt;0.01,INDEX('Debt Tracker'!$T$5:$AE$29,13,AC285-1)&gt;0.01))*('Recurring Items'!$H$20&lt;&gt;"Skip")*(DAY(AB285)='Recurring Items'!$F$20)*IFERROR(N('Recurring Items'!$D$20),0)+(IF(AC285=1,'Debt Tracker'!$P$18&gt;0.01,INDEX('Debt Tracker'!$T$5:$AE$29,14,AC285-1)&gt;0.01))*('Recurring Items'!$H$21&lt;&gt;"Skip")*(DAY(AB285)='Recurring Items'!$F$21)*IFERROR(N('Recurring Items'!$D$21),0)+(IF(AC285=1,'Debt Tracker'!$P$19&gt;0.01,INDEX('Debt Tracker'!$T$5:$AE$29,15,AC285-1)&gt;0.01))*('Recurring Items'!$H$22&lt;&gt;"Skip")*(DAY(AB285)='Recurring Items'!$F$22)*IFERROR(N('Recurring Items'!$D$22),0)+(IF(AC285=1,'Debt Tracker'!$P$20&gt;0.01,INDEX('Debt Tracker'!$T$5:$AE$29,16,AC285-1)&gt;0.01))*('Recurring Items'!$H$23&lt;&gt;"Skip")*(DAY(AB285)='Recurring Items'!$F$23)*IFERROR(N('Recurring Items'!$D$23),0)+(IF(AC285=1,'Debt Tracker'!$P$21&gt;0.01,INDEX('Debt Tracker'!$T$5:$AE$29,17,AC285-1)&gt;0.01))*('Recurring Items'!$H$24&lt;&gt;"Skip")*(DAY(AB285)='Recurring Items'!$F$24)*IFERROR(N('Recurring Items'!$D$24),0)+(IF(AC285=1,'Debt Tracker'!$P$22&gt;0.01,INDEX('Debt Tracker'!$T$5:$AE$29,18,AC285-1)&gt;0.01))*('Recurring Items'!$H$25&lt;&gt;"Skip")*(DAY(AB285)='Recurring Items'!$F$25)*IFERROR(N('Recurring Items'!$D$25),0)+(IF(AC285=1,'Debt Tracker'!$P$23&gt;0.01,INDEX('Debt Tracker'!$T$5:$AE$29,19,AC285-1)&gt;0.01))*('Recurring Items'!$H$26&lt;&gt;"Skip")*(DAY(AB285)='Recurring Items'!$F$26)*IFERROR(N('Recurring Items'!$D$26),0)+(IF(AC285=1,'Debt Tracker'!$P$24&gt;0.01,INDEX('Debt Tracker'!$T$5:$AE$29,20,AC285-1)&gt;0.01))*('Recurring Items'!$H$27&lt;&gt;"Skip")*(DAY(AB285)='Recurring Items'!$F$27)*IFERROR(N('Recurring Items'!$D$27),0)+(IF(AC285=1,'Debt Tracker'!$P$25&gt;0.01,INDEX('Debt Tracker'!$T$5:$AE$29,21,AC285-1)&gt;0.01))*('Recurring Items'!$H$28&lt;&gt;"Skip")*(DAY(AB285)='Recurring Items'!$F$28)*IFERROR(N('Recurring Items'!$D$28),0)+(IF(AC285=1,'Debt Tracker'!$P$26&gt;0.01,INDEX('Debt Tracker'!$T$5:$AE$29,22,AC285-1)&gt;0.01))*('Recurring Items'!$H$29&lt;&gt;"Skip")*(DAY(AB285)='Recurring Items'!$F$29)*IFERROR(N('Recurring Items'!$D$29),0)+(IF(AC285=1,'Debt Tracker'!$P$27&gt;0.01,INDEX('Debt Tracker'!$T$5:$AE$29,23,AC285-1)&gt;0.01))*('Recurring Items'!$H$30&lt;&gt;"Skip")*(DAY(AB285)='Recurring Items'!$F$30)*IFERROR(N('Recurring Items'!$D$30),0)+(IF(AC285=1,'Debt Tracker'!$P$28&gt;0.01,INDEX('Debt Tracker'!$T$5:$AE$29,24,AC285-1)&gt;0.01))*('Recurring Items'!$H$31&lt;&gt;"Skip")*(DAY(AB285)='Recurring Items'!$F$31)*IFERROR(N('Recurring Items'!$D$31),0)+(IF(AC285=1,'Debt Tracker'!$P$29&gt;0.01,INDEX('Debt Tracker'!$T$5:$AE$29,25,AC285-1)&gt;0.01))*('Recurring Items'!$H$32&lt;&gt;"Skip")*(DAY(AB285)='Recurring Items'!$F$32)*IFERROR(N('Recurring Items'!$D$32),0)</f>
        <v>0</v>
      </c>
      <c r="AG285" s="1" t="n">
        <f aca="false">AD285-AE285-AF285</f>
        <v>0</v>
      </c>
      <c r="AH285" s="1" t="n">
        <f aca="false">AH284+AG285</f>
        <v>7930.52</v>
      </c>
    </row>
    <row r="286" customFormat="false" ht="15" hidden="false" customHeight="true" outlineLevel="0" collapsed="false">
      <c r="AA286" s="1" t="n">
        <v>86</v>
      </c>
      <c r="AB286" s="145" t="n">
        <f aca="false">$D$3+86</f>
        <v>46229</v>
      </c>
      <c r="AC286" s="1" t="n">
        <f aca="false">MIN(12,1+DATEDIF($D$3,AB286,"M"))</f>
        <v>3</v>
      </c>
      <c r="AD286" s="1" t="n">
        <f aca="false">SUMPRODUCT(('Recurring Items'!$C$6:$C$56="Income")*('Recurring Items'!$H$6:$H$56&lt;&gt;"Skip")*IFERROR(N('Recurring Items'!$D$6:$D$56),0)*(('Recurring Items'!$E$6:$E$56="Monthly")*(DAY(AB286)='Recurring Items'!$F$6:$F$56)+('Recurring Items'!$E$6:$E$56="Bi-weekly")*(WEEKDAY(AB286)=IFERROR(WEEKDAY('Recurring Items'!$G$6:$G$56),0))*(MOD(AB286-IFERROR('Recurring Items'!$G$6:$G$56,0),14)=0)*(AB286&gt;=IFERROR('Recurring Items'!$G$6:$G$56,9000000000))+('Recurring Items'!$E$6:$E$56="Weekly")*(WEEKDAY(AB286)=IFERROR(WEEKDAY('Recurring Items'!$G$6:$G$56),0))*(AB286&gt;=IFERROR('Recurring Items'!$G$6:$G$56,9000000000))+('Recurring Items'!$E$6:$E$56="One-time")*(AB286='Recurring Items'!$G$6:$G$56)))</f>
        <v>0</v>
      </c>
      <c r="AE286" s="1" t="n">
        <f aca="false">SUMPRODUCT(('Recurring Items'!$C$6:$C$56="Expense")*('Recurring Items'!$H$6:$H$56&lt;&gt;"Skip")*IFERROR(N('Recurring Items'!$D$6:$D$56),0)*(('Recurring Items'!$E$6:$E$56="Monthly")*(DAY(AB286)='Recurring Items'!$F$6:$F$56)+('Recurring Items'!$E$6:$E$56="Bi-weekly")*(WEEKDAY(AB286)=IFERROR(WEEKDAY('Recurring Items'!$G$6:$G$56),0))*(MOD(AB286-IFERROR('Recurring Items'!$G$6:$G$56,0),14)=0)*(AB286&gt;=IFERROR('Recurring Items'!$G$6:$G$56,9000000000))+('Recurring Items'!$E$6:$E$56="Weekly")*(WEEKDAY(AB286)=IFERROR(WEEKDAY('Recurring Items'!$G$6:$G$56),0))*(AB286&gt;=IFERROR('Recurring Items'!$G$6:$G$56,9000000000))+('Recurring Items'!$E$6:$E$56="One-time")*(AB286='Recurring Items'!$G$6:$G$56)))</f>
        <v>0</v>
      </c>
      <c r="AF286" s="1" t="n">
        <f aca="false">(IF(AC286=1,'Debt Tracker'!$P$5&gt;0.01,INDEX('Debt Tracker'!$T$5:$AE$29,1,AC286-1)&gt;0.01))*('Recurring Items'!$H$8&lt;&gt;"Skip")*(DAY(AB286)='Recurring Items'!$F$8)*IFERROR(N('Recurring Items'!$D$8),0)+(IF(AC286=1,'Debt Tracker'!$P$6&gt;0.01,INDEX('Debt Tracker'!$T$5:$AE$29,2,AC286-1)&gt;0.01))*('Recurring Items'!$H$9&lt;&gt;"Skip")*(DAY(AB286)='Recurring Items'!$F$9)*IFERROR(N('Recurring Items'!$D$9),0)+(IF(AC286=1,'Debt Tracker'!$P$7&gt;0.01,INDEX('Debt Tracker'!$T$5:$AE$29,3,AC286-1)&gt;0.01))*('Recurring Items'!$H$10&lt;&gt;"Skip")*(DAY(AB286)='Recurring Items'!$F$10)*IFERROR(N('Recurring Items'!$D$10),0)+(IF(AC286=1,'Debt Tracker'!$P$8&gt;0.01,INDEX('Debt Tracker'!$T$5:$AE$29,4,AC286-1)&gt;0.01))*('Recurring Items'!$H$11&lt;&gt;"Skip")*(DAY(AB286)='Recurring Items'!$F$11)*IFERROR(N('Recurring Items'!$D$11),0)+(IF(AC286=1,'Debt Tracker'!$P$9&gt;0.01,INDEX('Debt Tracker'!$T$5:$AE$29,5,AC286-1)&gt;0.01))*('Recurring Items'!$H$12&lt;&gt;"Skip")*(DAY(AB286)='Recurring Items'!$F$12)*IFERROR(N('Recurring Items'!$D$12),0)+(IF(AC286=1,'Debt Tracker'!$P$10&gt;0.01,INDEX('Debt Tracker'!$T$5:$AE$29,6,AC286-1)&gt;0.01))*('Recurring Items'!$H$13&lt;&gt;"Skip")*(DAY(AB286)='Recurring Items'!$F$13)*IFERROR(N('Recurring Items'!$D$13),0)+(IF(AC286=1,'Debt Tracker'!$P$11&gt;0.01,INDEX('Debt Tracker'!$T$5:$AE$29,7,AC286-1)&gt;0.01))*('Recurring Items'!$H$14&lt;&gt;"Skip")*(DAY(AB286)='Recurring Items'!$F$14)*IFERROR(N('Recurring Items'!$D$14),0)+(IF(AC286=1,'Debt Tracker'!$P$12&gt;0.01,INDEX('Debt Tracker'!$T$5:$AE$29,8,AC286-1)&gt;0.01))*('Recurring Items'!$H$15&lt;&gt;"Skip")*(DAY(AB286)='Recurring Items'!$F$15)*IFERROR(N('Recurring Items'!$D$15),0)+(IF(AC286=1,'Debt Tracker'!$P$13&gt;0.01,INDEX('Debt Tracker'!$T$5:$AE$29,9,AC286-1)&gt;0.01))*('Recurring Items'!$H$16&lt;&gt;"Skip")*(DAY(AB286)='Recurring Items'!$F$16)*IFERROR(N('Recurring Items'!$D$16),0)+(IF(AC286=1,'Debt Tracker'!$P$14&gt;0.01,INDEX('Debt Tracker'!$T$5:$AE$29,10,AC286-1)&gt;0.01))*('Recurring Items'!$H$17&lt;&gt;"Skip")*(DAY(AB286)='Recurring Items'!$F$17)*IFERROR(N('Recurring Items'!$D$17),0)+(IF(AC286=1,'Debt Tracker'!$P$15&gt;0.01,INDEX('Debt Tracker'!$T$5:$AE$29,11,AC286-1)&gt;0.01))*('Recurring Items'!$H$18&lt;&gt;"Skip")*(DAY(AB286)='Recurring Items'!$F$18)*IFERROR(N('Recurring Items'!$D$18),0)+(IF(AC286=1,'Debt Tracker'!$P$16&gt;0.01,INDEX('Debt Tracker'!$T$5:$AE$29,12,AC286-1)&gt;0.01))*('Recurring Items'!$H$19&lt;&gt;"Skip")*(DAY(AB286)='Recurring Items'!$F$19)*IFERROR(N('Recurring Items'!$D$19),0)+(IF(AC286=1,'Debt Tracker'!$P$17&gt;0.01,INDEX('Debt Tracker'!$T$5:$AE$29,13,AC286-1)&gt;0.01))*('Recurring Items'!$H$20&lt;&gt;"Skip")*(DAY(AB286)='Recurring Items'!$F$20)*IFERROR(N('Recurring Items'!$D$20),0)+(IF(AC286=1,'Debt Tracker'!$P$18&gt;0.01,INDEX('Debt Tracker'!$T$5:$AE$29,14,AC286-1)&gt;0.01))*('Recurring Items'!$H$21&lt;&gt;"Skip")*(DAY(AB286)='Recurring Items'!$F$21)*IFERROR(N('Recurring Items'!$D$21),0)+(IF(AC286=1,'Debt Tracker'!$P$19&gt;0.01,INDEX('Debt Tracker'!$T$5:$AE$29,15,AC286-1)&gt;0.01))*('Recurring Items'!$H$22&lt;&gt;"Skip")*(DAY(AB286)='Recurring Items'!$F$22)*IFERROR(N('Recurring Items'!$D$22),0)+(IF(AC286=1,'Debt Tracker'!$P$20&gt;0.01,INDEX('Debt Tracker'!$T$5:$AE$29,16,AC286-1)&gt;0.01))*('Recurring Items'!$H$23&lt;&gt;"Skip")*(DAY(AB286)='Recurring Items'!$F$23)*IFERROR(N('Recurring Items'!$D$23),0)+(IF(AC286=1,'Debt Tracker'!$P$21&gt;0.01,INDEX('Debt Tracker'!$T$5:$AE$29,17,AC286-1)&gt;0.01))*('Recurring Items'!$H$24&lt;&gt;"Skip")*(DAY(AB286)='Recurring Items'!$F$24)*IFERROR(N('Recurring Items'!$D$24),0)+(IF(AC286=1,'Debt Tracker'!$P$22&gt;0.01,INDEX('Debt Tracker'!$T$5:$AE$29,18,AC286-1)&gt;0.01))*('Recurring Items'!$H$25&lt;&gt;"Skip")*(DAY(AB286)='Recurring Items'!$F$25)*IFERROR(N('Recurring Items'!$D$25),0)+(IF(AC286=1,'Debt Tracker'!$P$23&gt;0.01,INDEX('Debt Tracker'!$T$5:$AE$29,19,AC286-1)&gt;0.01))*('Recurring Items'!$H$26&lt;&gt;"Skip")*(DAY(AB286)='Recurring Items'!$F$26)*IFERROR(N('Recurring Items'!$D$26),0)+(IF(AC286=1,'Debt Tracker'!$P$24&gt;0.01,INDEX('Debt Tracker'!$T$5:$AE$29,20,AC286-1)&gt;0.01))*('Recurring Items'!$H$27&lt;&gt;"Skip")*(DAY(AB286)='Recurring Items'!$F$27)*IFERROR(N('Recurring Items'!$D$27),0)+(IF(AC286=1,'Debt Tracker'!$P$25&gt;0.01,INDEX('Debt Tracker'!$T$5:$AE$29,21,AC286-1)&gt;0.01))*('Recurring Items'!$H$28&lt;&gt;"Skip")*(DAY(AB286)='Recurring Items'!$F$28)*IFERROR(N('Recurring Items'!$D$28),0)+(IF(AC286=1,'Debt Tracker'!$P$26&gt;0.01,INDEX('Debt Tracker'!$T$5:$AE$29,22,AC286-1)&gt;0.01))*('Recurring Items'!$H$29&lt;&gt;"Skip")*(DAY(AB286)='Recurring Items'!$F$29)*IFERROR(N('Recurring Items'!$D$29),0)+(IF(AC286=1,'Debt Tracker'!$P$27&gt;0.01,INDEX('Debt Tracker'!$T$5:$AE$29,23,AC286-1)&gt;0.01))*('Recurring Items'!$H$30&lt;&gt;"Skip")*(DAY(AB286)='Recurring Items'!$F$30)*IFERROR(N('Recurring Items'!$D$30),0)+(IF(AC286=1,'Debt Tracker'!$P$28&gt;0.01,INDEX('Debt Tracker'!$T$5:$AE$29,24,AC286-1)&gt;0.01))*('Recurring Items'!$H$31&lt;&gt;"Skip")*(DAY(AB286)='Recurring Items'!$F$31)*IFERROR(N('Recurring Items'!$D$31),0)+(IF(AC286=1,'Debt Tracker'!$P$29&gt;0.01,INDEX('Debt Tracker'!$T$5:$AE$29,25,AC286-1)&gt;0.01))*('Recurring Items'!$H$32&lt;&gt;"Skip")*(DAY(AB286)='Recurring Items'!$F$32)*IFERROR(N('Recurring Items'!$D$32),0)</f>
        <v>0</v>
      </c>
      <c r="AG286" s="1" t="n">
        <f aca="false">AD286-AE286-AF286</f>
        <v>0</v>
      </c>
      <c r="AH286" s="1" t="n">
        <f aca="false">AH285+AG286</f>
        <v>7930.52</v>
      </c>
    </row>
    <row r="287" customFormat="false" ht="15" hidden="false" customHeight="true" outlineLevel="0" collapsed="false">
      <c r="AA287" s="1" t="n">
        <v>87</v>
      </c>
      <c r="AB287" s="145" t="n">
        <f aca="false">$D$3+87</f>
        <v>46230</v>
      </c>
      <c r="AC287" s="1" t="n">
        <f aca="false">MIN(12,1+DATEDIF($D$3,AB287,"M"))</f>
        <v>3</v>
      </c>
      <c r="AD287" s="1" t="n">
        <f aca="false">SUMPRODUCT(('Recurring Items'!$C$6:$C$56="Income")*('Recurring Items'!$H$6:$H$56&lt;&gt;"Skip")*IFERROR(N('Recurring Items'!$D$6:$D$56),0)*(('Recurring Items'!$E$6:$E$56="Monthly")*(DAY(AB287)='Recurring Items'!$F$6:$F$56)+('Recurring Items'!$E$6:$E$56="Bi-weekly")*(WEEKDAY(AB287)=IFERROR(WEEKDAY('Recurring Items'!$G$6:$G$56),0))*(MOD(AB287-IFERROR('Recurring Items'!$G$6:$G$56,0),14)=0)*(AB287&gt;=IFERROR('Recurring Items'!$G$6:$G$56,9000000000))+('Recurring Items'!$E$6:$E$56="Weekly")*(WEEKDAY(AB287)=IFERROR(WEEKDAY('Recurring Items'!$G$6:$G$56),0))*(AB287&gt;=IFERROR('Recurring Items'!$G$6:$G$56,9000000000))+('Recurring Items'!$E$6:$E$56="One-time")*(AB287='Recurring Items'!$G$6:$G$56)))</f>
        <v>0</v>
      </c>
      <c r="AE287" s="1" t="n">
        <f aca="false">SUMPRODUCT(('Recurring Items'!$C$6:$C$56="Expense")*('Recurring Items'!$H$6:$H$56&lt;&gt;"Skip")*IFERROR(N('Recurring Items'!$D$6:$D$56),0)*(('Recurring Items'!$E$6:$E$56="Monthly")*(DAY(AB287)='Recurring Items'!$F$6:$F$56)+('Recurring Items'!$E$6:$E$56="Bi-weekly")*(WEEKDAY(AB287)=IFERROR(WEEKDAY('Recurring Items'!$G$6:$G$56),0))*(MOD(AB287-IFERROR('Recurring Items'!$G$6:$G$56,0),14)=0)*(AB287&gt;=IFERROR('Recurring Items'!$G$6:$G$56,9000000000))+('Recurring Items'!$E$6:$E$56="Weekly")*(WEEKDAY(AB287)=IFERROR(WEEKDAY('Recurring Items'!$G$6:$G$56),0))*(AB287&gt;=IFERROR('Recurring Items'!$G$6:$G$56,9000000000))+('Recurring Items'!$E$6:$E$56="One-time")*(AB287='Recurring Items'!$G$6:$G$56)))</f>
        <v>0</v>
      </c>
      <c r="AF287" s="1" t="n">
        <f aca="false">(IF(AC287=1,'Debt Tracker'!$P$5&gt;0.01,INDEX('Debt Tracker'!$T$5:$AE$29,1,AC287-1)&gt;0.01))*('Recurring Items'!$H$8&lt;&gt;"Skip")*(DAY(AB287)='Recurring Items'!$F$8)*IFERROR(N('Recurring Items'!$D$8),0)+(IF(AC287=1,'Debt Tracker'!$P$6&gt;0.01,INDEX('Debt Tracker'!$T$5:$AE$29,2,AC287-1)&gt;0.01))*('Recurring Items'!$H$9&lt;&gt;"Skip")*(DAY(AB287)='Recurring Items'!$F$9)*IFERROR(N('Recurring Items'!$D$9),0)+(IF(AC287=1,'Debt Tracker'!$P$7&gt;0.01,INDEX('Debt Tracker'!$T$5:$AE$29,3,AC287-1)&gt;0.01))*('Recurring Items'!$H$10&lt;&gt;"Skip")*(DAY(AB287)='Recurring Items'!$F$10)*IFERROR(N('Recurring Items'!$D$10),0)+(IF(AC287=1,'Debt Tracker'!$P$8&gt;0.01,INDEX('Debt Tracker'!$T$5:$AE$29,4,AC287-1)&gt;0.01))*('Recurring Items'!$H$11&lt;&gt;"Skip")*(DAY(AB287)='Recurring Items'!$F$11)*IFERROR(N('Recurring Items'!$D$11),0)+(IF(AC287=1,'Debt Tracker'!$P$9&gt;0.01,INDEX('Debt Tracker'!$T$5:$AE$29,5,AC287-1)&gt;0.01))*('Recurring Items'!$H$12&lt;&gt;"Skip")*(DAY(AB287)='Recurring Items'!$F$12)*IFERROR(N('Recurring Items'!$D$12),0)+(IF(AC287=1,'Debt Tracker'!$P$10&gt;0.01,INDEX('Debt Tracker'!$T$5:$AE$29,6,AC287-1)&gt;0.01))*('Recurring Items'!$H$13&lt;&gt;"Skip")*(DAY(AB287)='Recurring Items'!$F$13)*IFERROR(N('Recurring Items'!$D$13),0)+(IF(AC287=1,'Debt Tracker'!$P$11&gt;0.01,INDEX('Debt Tracker'!$T$5:$AE$29,7,AC287-1)&gt;0.01))*('Recurring Items'!$H$14&lt;&gt;"Skip")*(DAY(AB287)='Recurring Items'!$F$14)*IFERROR(N('Recurring Items'!$D$14),0)+(IF(AC287=1,'Debt Tracker'!$P$12&gt;0.01,INDEX('Debt Tracker'!$T$5:$AE$29,8,AC287-1)&gt;0.01))*('Recurring Items'!$H$15&lt;&gt;"Skip")*(DAY(AB287)='Recurring Items'!$F$15)*IFERROR(N('Recurring Items'!$D$15),0)+(IF(AC287=1,'Debt Tracker'!$P$13&gt;0.01,INDEX('Debt Tracker'!$T$5:$AE$29,9,AC287-1)&gt;0.01))*('Recurring Items'!$H$16&lt;&gt;"Skip")*(DAY(AB287)='Recurring Items'!$F$16)*IFERROR(N('Recurring Items'!$D$16),0)+(IF(AC287=1,'Debt Tracker'!$P$14&gt;0.01,INDEX('Debt Tracker'!$T$5:$AE$29,10,AC287-1)&gt;0.01))*('Recurring Items'!$H$17&lt;&gt;"Skip")*(DAY(AB287)='Recurring Items'!$F$17)*IFERROR(N('Recurring Items'!$D$17),0)+(IF(AC287=1,'Debt Tracker'!$P$15&gt;0.01,INDEX('Debt Tracker'!$T$5:$AE$29,11,AC287-1)&gt;0.01))*('Recurring Items'!$H$18&lt;&gt;"Skip")*(DAY(AB287)='Recurring Items'!$F$18)*IFERROR(N('Recurring Items'!$D$18),0)+(IF(AC287=1,'Debt Tracker'!$P$16&gt;0.01,INDEX('Debt Tracker'!$T$5:$AE$29,12,AC287-1)&gt;0.01))*('Recurring Items'!$H$19&lt;&gt;"Skip")*(DAY(AB287)='Recurring Items'!$F$19)*IFERROR(N('Recurring Items'!$D$19),0)+(IF(AC287=1,'Debt Tracker'!$P$17&gt;0.01,INDEX('Debt Tracker'!$T$5:$AE$29,13,AC287-1)&gt;0.01))*('Recurring Items'!$H$20&lt;&gt;"Skip")*(DAY(AB287)='Recurring Items'!$F$20)*IFERROR(N('Recurring Items'!$D$20),0)+(IF(AC287=1,'Debt Tracker'!$P$18&gt;0.01,INDEX('Debt Tracker'!$T$5:$AE$29,14,AC287-1)&gt;0.01))*('Recurring Items'!$H$21&lt;&gt;"Skip")*(DAY(AB287)='Recurring Items'!$F$21)*IFERROR(N('Recurring Items'!$D$21),0)+(IF(AC287=1,'Debt Tracker'!$P$19&gt;0.01,INDEX('Debt Tracker'!$T$5:$AE$29,15,AC287-1)&gt;0.01))*('Recurring Items'!$H$22&lt;&gt;"Skip")*(DAY(AB287)='Recurring Items'!$F$22)*IFERROR(N('Recurring Items'!$D$22),0)+(IF(AC287=1,'Debt Tracker'!$P$20&gt;0.01,INDEX('Debt Tracker'!$T$5:$AE$29,16,AC287-1)&gt;0.01))*('Recurring Items'!$H$23&lt;&gt;"Skip")*(DAY(AB287)='Recurring Items'!$F$23)*IFERROR(N('Recurring Items'!$D$23),0)+(IF(AC287=1,'Debt Tracker'!$P$21&gt;0.01,INDEX('Debt Tracker'!$T$5:$AE$29,17,AC287-1)&gt;0.01))*('Recurring Items'!$H$24&lt;&gt;"Skip")*(DAY(AB287)='Recurring Items'!$F$24)*IFERROR(N('Recurring Items'!$D$24),0)+(IF(AC287=1,'Debt Tracker'!$P$22&gt;0.01,INDEX('Debt Tracker'!$T$5:$AE$29,18,AC287-1)&gt;0.01))*('Recurring Items'!$H$25&lt;&gt;"Skip")*(DAY(AB287)='Recurring Items'!$F$25)*IFERROR(N('Recurring Items'!$D$25),0)+(IF(AC287=1,'Debt Tracker'!$P$23&gt;0.01,INDEX('Debt Tracker'!$T$5:$AE$29,19,AC287-1)&gt;0.01))*('Recurring Items'!$H$26&lt;&gt;"Skip")*(DAY(AB287)='Recurring Items'!$F$26)*IFERROR(N('Recurring Items'!$D$26),0)+(IF(AC287=1,'Debt Tracker'!$P$24&gt;0.01,INDEX('Debt Tracker'!$T$5:$AE$29,20,AC287-1)&gt;0.01))*('Recurring Items'!$H$27&lt;&gt;"Skip")*(DAY(AB287)='Recurring Items'!$F$27)*IFERROR(N('Recurring Items'!$D$27),0)+(IF(AC287=1,'Debt Tracker'!$P$25&gt;0.01,INDEX('Debt Tracker'!$T$5:$AE$29,21,AC287-1)&gt;0.01))*('Recurring Items'!$H$28&lt;&gt;"Skip")*(DAY(AB287)='Recurring Items'!$F$28)*IFERROR(N('Recurring Items'!$D$28),0)+(IF(AC287=1,'Debt Tracker'!$P$26&gt;0.01,INDEX('Debt Tracker'!$T$5:$AE$29,22,AC287-1)&gt;0.01))*('Recurring Items'!$H$29&lt;&gt;"Skip")*(DAY(AB287)='Recurring Items'!$F$29)*IFERROR(N('Recurring Items'!$D$29),0)+(IF(AC287=1,'Debt Tracker'!$P$27&gt;0.01,INDEX('Debt Tracker'!$T$5:$AE$29,23,AC287-1)&gt;0.01))*('Recurring Items'!$H$30&lt;&gt;"Skip")*(DAY(AB287)='Recurring Items'!$F$30)*IFERROR(N('Recurring Items'!$D$30),0)+(IF(AC287=1,'Debt Tracker'!$P$28&gt;0.01,INDEX('Debt Tracker'!$T$5:$AE$29,24,AC287-1)&gt;0.01))*('Recurring Items'!$H$31&lt;&gt;"Skip")*(DAY(AB287)='Recurring Items'!$F$31)*IFERROR(N('Recurring Items'!$D$31),0)+(IF(AC287=1,'Debt Tracker'!$P$29&gt;0.01,INDEX('Debt Tracker'!$T$5:$AE$29,25,AC287-1)&gt;0.01))*('Recurring Items'!$H$32&lt;&gt;"Skip")*(DAY(AB287)='Recurring Items'!$F$32)*IFERROR(N('Recurring Items'!$D$32),0)</f>
        <v>0</v>
      </c>
      <c r="AG287" s="1" t="n">
        <f aca="false">AD287-AE287-AF287</f>
        <v>0</v>
      </c>
      <c r="AH287" s="1" t="n">
        <f aca="false">AH286+AG287</f>
        <v>7930.52</v>
      </c>
    </row>
    <row r="288" customFormat="false" ht="15" hidden="false" customHeight="true" outlineLevel="0" collapsed="false">
      <c r="AA288" s="1" t="n">
        <v>88</v>
      </c>
      <c r="AB288" s="145" t="n">
        <f aca="false">$D$3+88</f>
        <v>46231</v>
      </c>
      <c r="AC288" s="1" t="n">
        <f aca="false">MIN(12,1+DATEDIF($D$3,AB288,"M"))</f>
        <v>3</v>
      </c>
      <c r="AD288" s="1" t="n">
        <f aca="false">SUMPRODUCT(('Recurring Items'!$C$6:$C$56="Income")*('Recurring Items'!$H$6:$H$56&lt;&gt;"Skip")*IFERROR(N('Recurring Items'!$D$6:$D$56),0)*(('Recurring Items'!$E$6:$E$56="Monthly")*(DAY(AB288)='Recurring Items'!$F$6:$F$56)+('Recurring Items'!$E$6:$E$56="Bi-weekly")*(WEEKDAY(AB288)=IFERROR(WEEKDAY('Recurring Items'!$G$6:$G$56),0))*(MOD(AB288-IFERROR('Recurring Items'!$G$6:$G$56,0),14)=0)*(AB288&gt;=IFERROR('Recurring Items'!$G$6:$G$56,9000000000))+('Recurring Items'!$E$6:$E$56="Weekly")*(WEEKDAY(AB288)=IFERROR(WEEKDAY('Recurring Items'!$G$6:$G$56),0))*(AB288&gt;=IFERROR('Recurring Items'!$G$6:$G$56,9000000000))+('Recurring Items'!$E$6:$E$56="One-time")*(AB288='Recurring Items'!$G$6:$G$56)))</f>
        <v>0</v>
      </c>
      <c r="AE288" s="1" t="n">
        <f aca="false">SUMPRODUCT(('Recurring Items'!$C$6:$C$56="Expense")*('Recurring Items'!$H$6:$H$56&lt;&gt;"Skip")*IFERROR(N('Recurring Items'!$D$6:$D$56),0)*(('Recurring Items'!$E$6:$E$56="Monthly")*(DAY(AB288)='Recurring Items'!$F$6:$F$56)+('Recurring Items'!$E$6:$E$56="Bi-weekly")*(WEEKDAY(AB288)=IFERROR(WEEKDAY('Recurring Items'!$G$6:$G$56),0))*(MOD(AB288-IFERROR('Recurring Items'!$G$6:$G$56,0),14)=0)*(AB288&gt;=IFERROR('Recurring Items'!$G$6:$G$56,9000000000))+('Recurring Items'!$E$6:$E$56="Weekly")*(WEEKDAY(AB288)=IFERROR(WEEKDAY('Recurring Items'!$G$6:$G$56),0))*(AB288&gt;=IFERROR('Recurring Items'!$G$6:$G$56,9000000000))+('Recurring Items'!$E$6:$E$56="One-time")*(AB288='Recurring Items'!$G$6:$G$56)))</f>
        <v>0</v>
      </c>
      <c r="AF288" s="1" t="n">
        <f aca="false">(IF(AC288=1,'Debt Tracker'!$P$5&gt;0.01,INDEX('Debt Tracker'!$T$5:$AE$29,1,AC288-1)&gt;0.01))*('Recurring Items'!$H$8&lt;&gt;"Skip")*(DAY(AB288)='Recurring Items'!$F$8)*IFERROR(N('Recurring Items'!$D$8),0)+(IF(AC288=1,'Debt Tracker'!$P$6&gt;0.01,INDEX('Debt Tracker'!$T$5:$AE$29,2,AC288-1)&gt;0.01))*('Recurring Items'!$H$9&lt;&gt;"Skip")*(DAY(AB288)='Recurring Items'!$F$9)*IFERROR(N('Recurring Items'!$D$9),0)+(IF(AC288=1,'Debt Tracker'!$P$7&gt;0.01,INDEX('Debt Tracker'!$T$5:$AE$29,3,AC288-1)&gt;0.01))*('Recurring Items'!$H$10&lt;&gt;"Skip")*(DAY(AB288)='Recurring Items'!$F$10)*IFERROR(N('Recurring Items'!$D$10),0)+(IF(AC288=1,'Debt Tracker'!$P$8&gt;0.01,INDEX('Debt Tracker'!$T$5:$AE$29,4,AC288-1)&gt;0.01))*('Recurring Items'!$H$11&lt;&gt;"Skip")*(DAY(AB288)='Recurring Items'!$F$11)*IFERROR(N('Recurring Items'!$D$11),0)+(IF(AC288=1,'Debt Tracker'!$P$9&gt;0.01,INDEX('Debt Tracker'!$T$5:$AE$29,5,AC288-1)&gt;0.01))*('Recurring Items'!$H$12&lt;&gt;"Skip")*(DAY(AB288)='Recurring Items'!$F$12)*IFERROR(N('Recurring Items'!$D$12),0)+(IF(AC288=1,'Debt Tracker'!$P$10&gt;0.01,INDEX('Debt Tracker'!$T$5:$AE$29,6,AC288-1)&gt;0.01))*('Recurring Items'!$H$13&lt;&gt;"Skip")*(DAY(AB288)='Recurring Items'!$F$13)*IFERROR(N('Recurring Items'!$D$13),0)+(IF(AC288=1,'Debt Tracker'!$P$11&gt;0.01,INDEX('Debt Tracker'!$T$5:$AE$29,7,AC288-1)&gt;0.01))*('Recurring Items'!$H$14&lt;&gt;"Skip")*(DAY(AB288)='Recurring Items'!$F$14)*IFERROR(N('Recurring Items'!$D$14),0)+(IF(AC288=1,'Debt Tracker'!$P$12&gt;0.01,INDEX('Debt Tracker'!$T$5:$AE$29,8,AC288-1)&gt;0.01))*('Recurring Items'!$H$15&lt;&gt;"Skip")*(DAY(AB288)='Recurring Items'!$F$15)*IFERROR(N('Recurring Items'!$D$15),0)+(IF(AC288=1,'Debt Tracker'!$P$13&gt;0.01,INDEX('Debt Tracker'!$T$5:$AE$29,9,AC288-1)&gt;0.01))*('Recurring Items'!$H$16&lt;&gt;"Skip")*(DAY(AB288)='Recurring Items'!$F$16)*IFERROR(N('Recurring Items'!$D$16),0)+(IF(AC288=1,'Debt Tracker'!$P$14&gt;0.01,INDEX('Debt Tracker'!$T$5:$AE$29,10,AC288-1)&gt;0.01))*('Recurring Items'!$H$17&lt;&gt;"Skip")*(DAY(AB288)='Recurring Items'!$F$17)*IFERROR(N('Recurring Items'!$D$17),0)+(IF(AC288=1,'Debt Tracker'!$P$15&gt;0.01,INDEX('Debt Tracker'!$T$5:$AE$29,11,AC288-1)&gt;0.01))*('Recurring Items'!$H$18&lt;&gt;"Skip")*(DAY(AB288)='Recurring Items'!$F$18)*IFERROR(N('Recurring Items'!$D$18),0)+(IF(AC288=1,'Debt Tracker'!$P$16&gt;0.01,INDEX('Debt Tracker'!$T$5:$AE$29,12,AC288-1)&gt;0.01))*('Recurring Items'!$H$19&lt;&gt;"Skip")*(DAY(AB288)='Recurring Items'!$F$19)*IFERROR(N('Recurring Items'!$D$19),0)+(IF(AC288=1,'Debt Tracker'!$P$17&gt;0.01,INDEX('Debt Tracker'!$T$5:$AE$29,13,AC288-1)&gt;0.01))*('Recurring Items'!$H$20&lt;&gt;"Skip")*(DAY(AB288)='Recurring Items'!$F$20)*IFERROR(N('Recurring Items'!$D$20),0)+(IF(AC288=1,'Debt Tracker'!$P$18&gt;0.01,INDEX('Debt Tracker'!$T$5:$AE$29,14,AC288-1)&gt;0.01))*('Recurring Items'!$H$21&lt;&gt;"Skip")*(DAY(AB288)='Recurring Items'!$F$21)*IFERROR(N('Recurring Items'!$D$21),0)+(IF(AC288=1,'Debt Tracker'!$P$19&gt;0.01,INDEX('Debt Tracker'!$T$5:$AE$29,15,AC288-1)&gt;0.01))*('Recurring Items'!$H$22&lt;&gt;"Skip")*(DAY(AB288)='Recurring Items'!$F$22)*IFERROR(N('Recurring Items'!$D$22),0)+(IF(AC288=1,'Debt Tracker'!$P$20&gt;0.01,INDEX('Debt Tracker'!$T$5:$AE$29,16,AC288-1)&gt;0.01))*('Recurring Items'!$H$23&lt;&gt;"Skip")*(DAY(AB288)='Recurring Items'!$F$23)*IFERROR(N('Recurring Items'!$D$23),0)+(IF(AC288=1,'Debt Tracker'!$P$21&gt;0.01,INDEX('Debt Tracker'!$T$5:$AE$29,17,AC288-1)&gt;0.01))*('Recurring Items'!$H$24&lt;&gt;"Skip")*(DAY(AB288)='Recurring Items'!$F$24)*IFERROR(N('Recurring Items'!$D$24),0)+(IF(AC288=1,'Debt Tracker'!$P$22&gt;0.01,INDEX('Debt Tracker'!$T$5:$AE$29,18,AC288-1)&gt;0.01))*('Recurring Items'!$H$25&lt;&gt;"Skip")*(DAY(AB288)='Recurring Items'!$F$25)*IFERROR(N('Recurring Items'!$D$25),0)+(IF(AC288=1,'Debt Tracker'!$P$23&gt;0.01,INDEX('Debt Tracker'!$T$5:$AE$29,19,AC288-1)&gt;0.01))*('Recurring Items'!$H$26&lt;&gt;"Skip")*(DAY(AB288)='Recurring Items'!$F$26)*IFERROR(N('Recurring Items'!$D$26),0)+(IF(AC288=1,'Debt Tracker'!$P$24&gt;0.01,INDEX('Debt Tracker'!$T$5:$AE$29,20,AC288-1)&gt;0.01))*('Recurring Items'!$H$27&lt;&gt;"Skip")*(DAY(AB288)='Recurring Items'!$F$27)*IFERROR(N('Recurring Items'!$D$27),0)+(IF(AC288=1,'Debt Tracker'!$P$25&gt;0.01,INDEX('Debt Tracker'!$T$5:$AE$29,21,AC288-1)&gt;0.01))*('Recurring Items'!$H$28&lt;&gt;"Skip")*(DAY(AB288)='Recurring Items'!$F$28)*IFERROR(N('Recurring Items'!$D$28),0)+(IF(AC288=1,'Debt Tracker'!$P$26&gt;0.01,INDEX('Debt Tracker'!$T$5:$AE$29,22,AC288-1)&gt;0.01))*('Recurring Items'!$H$29&lt;&gt;"Skip")*(DAY(AB288)='Recurring Items'!$F$29)*IFERROR(N('Recurring Items'!$D$29),0)+(IF(AC288=1,'Debt Tracker'!$P$27&gt;0.01,INDEX('Debt Tracker'!$T$5:$AE$29,23,AC288-1)&gt;0.01))*('Recurring Items'!$H$30&lt;&gt;"Skip")*(DAY(AB288)='Recurring Items'!$F$30)*IFERROR(N('Recurring Items'!$D$30),0)+(IF(AC288=1,'Debt Tracker'!$P$28&gt;0.01,INDEX('Debt Tracker'!$T$5:$AE$29,24,AC288-1)&gt;0.01))*('Recurring Items'!$H$31&lt;&gt;"Skip")*(DAY(AB288)='Recurring Items'!$F$31)*IFERROR(N('Recurring Items'!$D$31),0)+(IF(AC288=1,'Debt Tracker'!$P$29&gt;0.01,INDEX('Debt Tracker'!$T$5:$AE$29,25,AC288-1)&gt;0.01))*('Recurring Items'!$H$32&lt;&gt;"Skip")*(DAY(AB288)='Recurring Items'!$F$32)*IFERROR(N('Recurring Items'!$D$32),0)</f>
        <v>0</v>
      </c>
      <c r="AG288" s="1" t="n">
        <f aca="false">AD288-AE288-AF288</f>
        <v>0</v>
      </c>
      <c r="AH288" s="1" t="n">
        <f aca="false">AH287+AG288</f>
        <v>7930.52</v>
      </c>
    </row>
    <row r="289" customFormat="false" ht="15" hidden="false" customHeight="true" outlineLevel="0" collapsed="false">
      <c r="AA289" s="1" t="n">
        <v>89</v>
      </c>
      <c r="AB289" s="145" t="n">
        <f aca="false">$D$3+89</f>
        <v>46232</v>
      </c>
      <c r="AC289" s="1" t="n">
        <f aca="false">MIN(12,1+DATEDIF($D$3,AB289,"M"))</f>
        <v>3</v>
      </c>
      <c r="AD289" s="1" t="n">
        <f aca="false">SUMPRODUCT(('Recurring Items'!$C$6:$C$56="Income")*('Recurring Items'!$H$6:$H$56&lt;&gt;"Skip")*IFERROR(N('Recurring Items'!$D$6:$D$56),0)*(('Recurring Items'!$E$6:$E$56="Monthly")*(DAY(AB289)='Recurring Items'!$F$6:$F$56)+('Recurring Items'!$E$6:$E$56="Bi-weekly")*(WEEKDAY(AB289)=IFERROR(WEEKDAY('Recurring Items'!$G$6:$G$56),0))*(MOD(AB289-IFERROR('Recurring Items'!$G$6:$G$56,0),14)=0)*(AB289&gt;=IFERROR('Recurring Items'!$G$6:$G$56,9000000000))+('Recurring Items'!$E$6:$E$56="Weekly")*(WEEKDAY(AB289)=IFERROR(WEEKDAY('Recurring Items'!$G$6:$G$56),0))*(AB289&gt;=IFERROR('Recurring Items'!$G$6:$G$56,9000000000))+('Recurring Items'!$E$6:$E$56="One-time")*(AB289='Recurring Items'!$G$6:$G$56)))</f>
        <v>0</v>
      </c>
      <c r="AE289" s="1" t="n">
        <f aca="false">SUMPRODUCT(('Recurring Items'!$C$6:$C$56="Expense")*('Recurring Items'!$H$6:$H$56&lt;&gt;"Skip")*IFERROR(N('Recurring Items'!$D$6:$D$56),0)*(('Recurring Items'!$E$6:$E$56="Monthly")*(DAY(AB289)='Recurring Items'!$F$6:$F$56)+('Recurring Items'!$E$6:$E$56="Bi-weekly")*(WEEKDAY(AB289)=IFERROR(WEEKDAY('Recurring Items'!$G$6:$G$56),0))*(MOD(AB289-IFERROR('Recurring Items'!$G$6:$G$56,0),14)=0)*(AB289&gt;=IFERROR('Recurring Items'!$G$6:$G$56,9000000000))+('Recurring Items'!$E$6:$E$56="Weekly")*(WEEKDAY(AB289)=IFERROR(WEEKDAY('Recurring Items'!$G$6:$G$56),0))*(AB289&gt;=IFERROR('Recurring Items'!$G$6:$G$56,9000000000))+('Recurring Items'!$E$6:$E$56="One-time")*(AB289='Recurring Items'!$G$6:$G$56)))</f>
        <v>237.58</v>
      </c>
      <c r="AF289" s="1" t="n">
        <f aca="false">(IF(AC289=1,'Debt Tracker'!$P$5&gt;0.01,INDEX('Debt Tracker'!$T$5:$AE$29,1,AC289-1)&gt;0.01))*('Recurring Items'!$H$8&lt;&gt;"Skip")*(DAY(AB289)='Recurring Items'!$F$8)*IFERROR(N('Recurring Items'!$D$8),0)+(IF(AC289=1,'Debt Tracker'!$P$6&gt;0.01,INDEX('Debt Tracker'!$T$5:$AE$29,2,AC289-1)&gt;0.01))*('Recurring Items'!$H$9&lt;&gt;"Skip")*(DAY(AB289)='Recurring Items'!$F$9)*IFERROR(N('Recurring Items'!$D$9),0)+(IF(AC289=1,'Debt Tracker'!$P$7&gt;0.01,INDEX('Debt Tracker'!$T$5:$AE$29,3,AC289-1)&gt;0.01))*('Recurring Items'!$H$10&lt;&gt;"Skip")*(DAY(AB289)='Recurring Items'!$F$10)*IFERROR(N('Recurring Items'!$D$10),0)+(IF(AC289=1,'Debt Tracker'!$P$8&gt;0.01,INDEX('Debt Tracker'!$T$5:$AE$29,4,AC289-1)&gt;0.01))*('Recurring Items'!$H$11&lt;&gt;"Skip")*(DAY(AB289)='Recurring Items'!$F$11)*IFERROR(N('Recurring Items'!$D$11),0)+(IF(AC289=1,'Debt Tracker'!$P$9&gt;0.01,INDEX('Debt Tracker'!$T$5:$AE$29,5,AC289-1)&gt;0.01))*('Recurring Items'!$H$12&lt;&gt;"Skip")*(DAY(AB289)='Recurring Items'!$F$12)*IFERROR(N('Recurring Items'!$D$12),0)+(IF(AC289=1,'Debt Tracker'!$P$10&gt;0.01,INDEX('Debt Tracker'!$T$5:$AE$29,6,AC289-1)&gt;0.01))*('Recurring Items'!$H$13&lt;&gt;"Skip")*(DAY(AB289)='Recurring Items'!$F$13)*IFERROR(N('Recurring Items'!$D$13),0)+(IF(AC289=1,'Debt Tracker'!$P$11&gt;0.01,INDEX('Debt Tracker'!$T$5:$AE$29,7,AC289-1)&gt;0.01))*('Recurring Items'!$H$14&lt;&gt;"Skip")*(DAY(AB289)='Recurring Items'!$F$14)*IFERROR(N('Recurring Items'!$D$14),0)+(IF(AC289=1,'Debt Tracker'!$P$12&gt;0.01,INDEX('Debt Tracker'!$T$5:$AE$29,8,AC289-1)&gt;0.01))*('Recurring Items'!$H$15&lt;&gt;"Skip")*(DAY(AB289)='Recurring Items'!$F$15)*IFERROR(N('Recurring Items'!$D$15),0)+(IF(AC289=1,'Debt Tracker'!$P$13&gt;0.01,INDEX('Debt Tracker'!$T$5:$AE$29,9,AC289-1)&gt;0.01))*('Recurring Items'!$H$16&lt;&gt;"Skip")*(DAY(AB289)='Recurring Items'!$F$16)*IFERROR(N('Recurring Items'!$D$16),0)+(IF(AC289=1,'Debt Tracker'!$P$14&gt;0.01,INDEX('Debt Tracker'!$T$5:$AE$29,10,AC289-1)&gt;0.01))*('Recurring Items'!$H$17&lt;&gt;"Skip")*(DAY(AB289)='Recurring Items'!$F$17)*IFERROR(N('Recurring Items'!$D$17),0)+(IF(AC289=1,'Debt Tracker'!$P$15&gt;0.01,INDEX('Debt Tracker'!$T$5:$AE$29,11,AC289-1)&gt;0.01))*('Recurring Items'!$H$18&lt;&gt;"Skip")*(DAY(AB289)='Recurring Items'!$F$18)*IFERROR(N('Recurring Items'!$D$18),0)+(IF(AC289=1,'Debt Tracker'!$P$16&gt;0.01,INDEX('Debt Tracker'!$T$5:$AE$29,12,AC289-1)&gt;0.01))*('Recurring Items'!$H$19&lt;&gt;"Skip")*(DAY(AB289)='Recurring Items'!$F$19)*IFERROR(N('Recurring Items'!$D$19),0)+(IF(AC289=1,'Debt Tracker'!$P$17&gt;0.01,INDEX('Debt Tracker'!$T$5:$AE$29,13,AC289-1)&gt;0.01))*('Recurring Items'!$H$20&lt;&gt;"Skip")*(DAY(AB289)='Recurring Items'!$F$20)*IFERROR(N('Recurring Items'!$D$20),0)+(IF(AC289=1,'Debt Tracker'!$P$18&gt;0.01,INDEX('Debt Tracker'!$T$5:$AE$29,14,AC289-1)&gt;0.01))*('Recurring Items'!$H$21&lt;&gt;"Skip")*(DAY(AB289)='Recurring Items'!$F$21)*IFERROR(N('Recurring Items'!$D$21),0)+(IF(AC289=1,'Debt Tracker'!$P$19&gt;0.01,INDEX('Debt Tracker'!$T$5:$AE$29,15,AC289-1)&gt;0.01))*('Recurring Items'!$H$22&lt;&gt;"Skip")*(DAY(AB289)='Recurring Items'!$F$22)*IFERROR(N('Recurring Items'!$D$22),0)+(IF(AC289=1,'Debt Tracker'!$P$20&gt;0.01,INDEX('Debt Tracker'!$T$5:$AE$29,16,AC289-1)&gt;0.01))*('Recurring Items'!$H$23&lt;&gt;"Skip")*(DAY(AB289)='Recurring Items'!$F$23)*IFERROR(N('Recurring Items'!$D$23),0)+(IF(AC289=1,'Debt Tracker'!$P$21&gt;0.01,INDEX('Debt Tracker'!$T$5:$AE$29,17,AC289-1)&gt;0.01))*('Recurring Items'!$H$24&lt;&gt;"Skip")*(DAY(AB289)='Recurring Items'!$F$24)*IFERROR(N('Recurring Items'!$D$24),0)+(IF(AC289=1,'Debt Tracker'!$P$22&gt;0.01,INDEX('Debt Tracker'!$T$5:$AE$29,18,AC289-1)&gt;0.01))*('Recurring Items'!$H$25&lt;&gt;"Skip")*(DAY(AB289)='Recurring Items'!$F$25)*IFERROR(N('Recurring Items'!$D$25),0)+(IF(AC289=1,'Debt Tracker'!$P$23&gt;0.01,INDEX('Debt Tracker'!$T$5:$AE$29,19,AC289-1)&gt;0.01))*('Recurring Items'!$H$26&lt;&gt;"Skip")*(DAY(AB289)='Recurring Items'!$F$26)*IFERROR(N('Recurring Items'!$D$26),0)+(IF(AC289=1,'Debt Tracker'!$P$24&gt;0.01,INDEX('Debt Tracker'!$T$5:$AE$29,20,AC289-1)&gt;0.01))*('Recurring Items'!$H$27&lt;&gt;"Skip")*(DAY(AB289)='Recurring Items'!$F$27)*IFERROR(N('Recurring Items'!$D$27),0)+(IF(AC289=1,'Debt Tracker'!$P$25&gt;0.01,INDEX('Debt Tracker'!$T$5:$AE$29,21,AC289-1)&gt;0.01))*('Recurring Items'!$H$28&lt;&gt;"Skip")*(DAY(AB289)='Recurring Items'!$F$28)*IFERROR(N('Recurring Items'!$D$28),0)+(IF(AC289=1,'Debt Tracker'!$P$26&gt;0.01,INDEX('Debt Tracker'!$T$5:$AE$29,22,AC289-1)&gt;0.01))*('Recurring Items'!$H$29&lt;&gt;"Skip")*(DAY(AB289)='Recurring Items'!$F$29)*IFERROR(N('Recurring Items'!$D$29),0)+(IF(AC289=1,'Debt Tracker'!$P$27&gt;0.01,INDEX('Debt Tracker'!$T$5:$AE$29,23,AC289-1)&gt;0.01))*('Recurring Items'!$H$30&lt;&gt;"Skip")*(DAY(AB289)='Recurring Items'!$F$30)*IFERROR(N('Recurring Items'!$D$30),0)+(IF(AC289=1,'Debt Tracker'!$P$28&gt;0.01,INDEX('Debt Tracker'!$T$5:$AE$29,24,AC289-1)&gt;0.01))*('Recurring Items'!$H$31&lt;&gt;"Skip")*(DAY(AB289)='Recurring Items'!$F$31)*IFERROR(N('Recurring Items'!$D$31),0)+(IF(AC289=1,'Debt Tracker'!$P$29&gt;0.01,INDEX('Debt Tracker'!$T$5:$AE$29,25,AC289-1)&gt;0.01))*('Recurring Items'!$H$32&lt;&gt;"Skip")*(DAY(AB289)='Recurring Items'!$F$32)*IFERROR(N('Recurring Items'!$D$32),0)</f>
        <v>206.43</v>
      </c>
      <c r="AG289" s="1" t="n">
        <f aca="false">AD289-AE289-AF289</f>
        <v>-444.01</v>
      </c>
      <c r="AH289" s="1" t="n">
        <f aca="false">AH288+AG289</f>
        <v>7486.51</v>
      </c>
    </row>
    <row r="290" customFormat="false" ht="15" hidden="false" customHeight="true" outlineLevel="0" collapsed="false">
      <c r="AA290" s="1" t="n">
        <v>90</v>
      </c>
      <c r="AB290" s="145" t="n">
        <f aca="false">$D$3+90</f>
        <v>46233</v>
      </c>
      <c r="AC290" s="1" t="n">
        <f aca="false">MIN(12,1+DATEDIF($D$3,AB290,"M"))</f>
        <v>3</v>
      </c>
      <c r="AD290" s="1" t="n">
        <f aca="false">SUMPRODUCT(('Recurring Items'!$C$6:$C$56="Income")*('Recurring Items'!$H$6:$H$56&lt;&gt;"Skip")*IFERROR(N('Recurring Items'!$D$6:$D$56),0)*(('Recurring Items'!$E$6:$E$56="Monthly")*(DAY(AB290)='Recurring Items'!$F$6:$F$56)+('Recurring Items'!$E$6:$E$56="Bi-weekly")*(WEEKDAY(AB290)=IFERROR(WEEKDAY('Recurring Items'!$G$6:$G$56),0))*(MOD(AB290-IFERROR('Recurring Items'!$G$6:$G$56,0),14)=0)*(AB290&gt;=IFERROR('Recurring Items'!$G$6:$G$56,9000000000))+('Recurring Items'!$E$6:$E$56="Weekly")*(WEEKDAY(AB290)=IFERROR(WEEKDAY('Recurring Items'!$G$6:$G$56),0))*(AB290&gt;=IFERROR('Recurring Items'!$G$6:$G$56,9000000000))+('Recurring Items'!$E$6:$E$56="One-time")*(AB290='Recurring Items'!$G$6:$G$56)))</f>
        <v>2274.42</v>
      </c>
      <c r="AE290" s="1" t="n">
        <f aca="false">SUMPRODUCT(('Recurring Items'!$C$6:$C$56="Expense")*('Recurring Items'!$H$6:$H$56&lt;&gt;"Skip")*IFERROR(N('Recurring Items'!$D$6:$D$56),0)*(('Recurring Items'!$E$6:$E$56="Monthly")*(DAY(AB290)='Recurring Items'!$F$6:$F$56)+('Recurring Items'!$E$6:$E$56="Bi-weekly")*(WEEKDAY(AB290)=IFERROR(WEEKDAY('Recurring Items'!$G$6:$G$56),0))*(MOD(AB290-IFERROR('Recurring Items'!$G$6:$G$56,0),14)=0)*(AB290&gt;=IFERROR('Recurring Items'!$G$6:$G$56,9000000000))+('Recurring Items'!$E$6:$E$56="Weekly")*(WEEKDAY(AB290)=IFERROR(WEEKDAY('Recurring Items'!$G$6:$G$56),0))*(AB290&gt;=IFERROR('Recurring Items'!$G$6:$G$56,9000000000))+('Recurring Items'!$E$6:$E$56="One-time")*(AB290='Recurring Items'!$G$6:$G$56)))</f>
        <v>0</v>
      </c>
      <c r="AF290" s="1" t="n">
        <f aca="false">(IF(AC290=1,'Debt Tracker'!$P$5&gt;0.01,INDEX('Debt Tracker'!$T$5:$AE$29,1,AC290-1)&gt;0.01))*('Recurring Items'!$H$8&lt;&gt;"Skip")*(DAY(AB290)='Recurring Items'!$F$8)*IFERROR(N('Recurring Items'!$D$8),0)+(IF(AC290=1,'Debt Tracker'!$P$6&gt;0.01,INDEX('Debt Tracker'!$T$5:$AE$29,2,AC290-1)&gt;0.01))*('Recurring Items'!$H$9&lt;&gt;"Skip")*(DAY(AB290)='Recurring Items'!$F$9)*IFERROR(N('Recurring Items'!$D$9),0)+(IF(AC290=1,'Debt Tracker'!$P$7&gt;0.01,INDEX('Debt Tracker'!$T$5:$AE$29,3,AC290-1)&gt;0.01))*('Recurring Items'!$H$10&lt;&gt;"Skip")*(DAY(AB290)='Recurring Items'!$F$10)*IFERROR(N('Recurring Items'!$D$10),0)+(IF(AC290=1,'Debt Tracker'!$P$8&gt;0.01,INDEX('Debt Tracker'!$T$5:$AE$29,4,AC290-1)&gt;0.01))*('Recurring Items'!$H$11&lt;&gt;"Skip")*(DAY(AB290)='Recurring Items'!$F$11)*IFERROR(N('Recurring Items'!$D$11),0)+(IF(AC290=1,'Debt Tracker'!$P$9&gt;0.01,INDEX('Debt Tracker'!$T$5:$AE$29,5,AC290-1)&gt;0.01))*('Recurring Items'!$H$12&lt;&gt;"Skip")*(DAY(AB290)='Recurring Items'!$F$12)*IFERROR(N('Recurring Items'!$D$12),0)+(IF(AC290=1,'Debt Tracker'!$P$10&gt;0.01,INDEX('Debt Tracker'!$T$5:$AE$29,6,AC290-1)&gt;0.01))*('Recurring Items'!$H$13&lt;&gt;"Skip")*(DAY(AB290)='Recurring Items'!$F$13)*IFERROR(N('Recurring Items'!$D$13),0)+(IF(AC290=1,'Debt Tracker'!$P$11&gt;0.01,INDEX('Debt Tracker'!$T$5:$AE$29,7,AC290-1)&gt;0.01))*('Recurring Items'!$H$14&lt;&gt;"Skip")*(DAY(AB290)='Recurring Items'!$F$14)*IFERROR(N('Recurring Items'!$D$14),0)+(IF(AC290=1,'Debt Tracker'!$P$12&gt;0.01,INDEX('Debt Tracker'!$T$5:$AE$29,8,AC290-1)&gt;0.01))*('Recurring Items'!$H$15&lt;&gt;"Skip")*(DAY(AB290)='Recurring Items'!$F$15)*IFERROR(N('Recurring Items'!$D$15),0)+(IF(AC290=1,'Debt Tracker'!$P$13&gt;0.01,INDEX('Debt Tracker'!$T$5:$AE$29,9,AC290-1)&gt;0.01))*('Recurring Items'!$H$16&lt;&gt;"Skip")*(DAY(AB290)='Recurring Items'!$F$16)*IFERROR(N('Recurring Items'!$D$16),0)+(IF(AC290=1,'Debt Tracker'!$P$14&gt;0.01,INDEX('Debt Tracker'!$T$5:$AE$29,10,AC290-1)&gt;0.01))*('Recurring Items'!$H$17&lt;&gt;"Skip")*(DAY(AB290)='Recurring Items'!$F$17)*IFERROR(N('Recurring Items'!$D$17),0)+(IF(AC290=1,'Debt Tracker'!$P$15&gt;0.01,INDEX('Debt Tracker'!$T$5:$AE$29,11,AC290-1)&gt;0.01))*('Recurring Items'!$H$18&lt;&gt;"Skip")*(DAY(AB290)='Recurring Items'!$F$18)*IFERROR(N('Recurring Items'!$D$18),0)+(IF(AC290=1,'Debt Tracker'!$P$16&gt;0.01,INDEX('Debt Tracker'!$T$5:$AE$29,12,AC290-1)&gt;0.01))*('Recurring Items'!$H$19&lt;&gt;"Skip")*(DAY(AB290)='Recurring Items'!$F$19)*IFERROR(N('Recurring Items'!$D$19),0)+(IF(AC290=1,'Debt Tracker'!$P$17&gt;0.01,INDEX('Debt Tracker'!$T$5:$AE$29,13,AC290-1)&gt;0.01))*('Recurring Items'!$H$20&lt;&gt;"Skip")*(DAY(AB290)='Recurring Items'!$F$20)*IFERROR(N('Recurring Items'!$D$20),0)+(IF(AC290=1,'Debt Tracker'!$P$18&gt;0.01,INDEX('Debt Tracker'!$T$5:$AE$29,14,AC290-1)&gt;0.01))*('Recurring Items'!$H$21&lt;&gt;"Skip")*(DAY(AB290)='Recurring Items'!$F$21)*IFERROR(N('Recurring Items'!$D$21),0)+(IF(AC290=1,'Debt Tracker'!$P$19&gt;0.01,INDEX('Debt Tracker'!$T$5:$AE$29,15,AC290-1)&gt;0.01))*('Recurring Items'!$H$22&lt;&gt;"Skip")*(DAY(AB290)='Recurring Items'!$F$22)*IFERROR(N('Recurring Items'!$D$22),0)+(IF(AC290=1,'Debt Tracker'!$P$20&gt;0.01,INDEX('Debt Tracker'!$T$5:$AE$29,16,AC290-1)&gt;0.01))*('Recurring Items'!$H$23&lt;&gt;"Skip")*(DAY(AB290)='Recurring Items'!$F$23)*IFERROR(N('Recurring Items'!$D$23),0)+(IF(AC290=1,'Debt Tracker'!$P$21&gt;0.01,INDEX('Debt Tracker'!$T$5:$AE$29,17,AC290-1)&gt;0.01))*('Recurring Items'!$H$24&lt;&gt;"Skip")*(DAY(AB290)='Recurring Items'!$F$24)*IFERROR(N('Recurring Items'!$D$24),0)+(IF(AC290=1,'Debt Tracker'!$P$22&gt;0.01,INDEX('Debt Tracker'!$T$5:$AE$29,18,AC290-1)&gt;0.01))*('Recurring Items'!$H$25&lt;&gt;"Skip")*(DAY(AB290)='Recurring Items'!$F$25)*IFERROR(N('Recurring Items'!$D$25),0)+(IF(AC290=1,'Debt Tracker'!$P$23&gt;0.01,INDEX('Debt Tracker'!$T$5:$AE$29,19,AC290-1)&gt;0.01))*('Recurring Items'!$H$26&lt;&gt;"Skip")*(DAY(AB290)='Recurring Items'!$F$26)*IFERROR(N('Recurring Items'!$D$26),0)+(IF(AC290=1,'Debt Tracker'!$P$24&gt;0.01,INDEX('Debt Tracker'!$T$5:$AE$29,20,AC290-1)&gt;0.01))*('Recurring Items'!$H$27&lt;&gt;"Skip")*(DAY(AB290)='Recurring Items'!$F$27)*IFERROR(N('Recurring Items'!$D$27),0)+(IF(AC290=1,'Debt Tracker'!$P$25&gt;0.01,INDEX('Debt Tracker'!$T$5:$AE$29,21,AC290-1)&gt;0.01))*('Recurring Items'!$H$28&lt;&gt;"Skip")*(DAY(AB290)='Recurring Items'!$F$28)*IFERROR(N('Recurring Items'!$D$28),0)+(IF(AC290=1,'Debt Tracker'!$P$26&gt;0.01,INDEX('Debt Tracker'!$T$5:$AE$29,22,AC290-1)&gt;0.01))*('Recurring Items'!$H$29&lt;&gt;"Skip")*(DAY(AB290)='Recurring Items'!$F$29)*IFERROR(N('Recurring Items'!$D$29),0)+(IF(AC290=1,'Debt Tracker'!$P$27&gt;0.01,INDEX('Debt Tracker'!$T$5:$AE$29,23,AC290-1)&gt;0.01))*('Recurring Items'!$H$30&lt;&gt;"Skip")*(DAY(AB290)='Recurring Items'!$F$30)*IFERROR(N('Recurring Items'!$D$30),0)+(IF(AC290=1,'Debt Tracker'!$P$28&gt;0.01,INDEX('Debt Tracker'!$T$5:$AE$29,24,AC290-1)&gt;0.01))*('Recurring Items'!$H$31&lt;&gt;"Skip")*(DAY(AB290)='Recurring Items'!$F$31)*IFERROR(N('Recurring Items'!$D$31),0)+(IF(AC290=1,'Debt Tracker'!$P$29&gt;0.01,INDEX('Debt Tracker'!$T$5:$AE$29,25,AC290-1)&gt;0.01))*('Recurring Items'!$H$32&lt;&gt;"Skip")*(DAY(AB290)='Recurring Items'!$F$32)*IFERROR(N('Recurring Items'!$D$32),0)</f>
        <v>0</v>
      </c>
      <c r="AG290" s="1" t="n">
        <f aca="false">AD290-AE290-AF290</f>
        <v>2274.42</v>
      </c>
      <c r="AH290" s="1" t="n">
        <f aca="false">AH289+AG290</f>
        <v>9760.93</v>
      </c>
    </row>
    <row r="291" customFormat="false" ht="15" hidden="false" customHeight="true" outlineLevel="0" collapsed="false">
      <c r="AA291" s="1" t="n">
        <v>91</v>
      </c>
      <c r="AB291" s="145" t="n">
        <f aca="false">$D$3+91</f>
        <v>46234</v>
      </c>
      <c r="AC291" s="1" t="n">
        <f aca="false">MIN(12,1+DATEDIF($D$3,AB291,"M"))</f>
        <v>3</v>
      </c>
      <c r="AD291" s="1" t="n">
        <f aca="false">SUMPRODUCT(('Recurring Items'!$C$6:$C$56="Income")*('Recurring Items'!$H$6:$H$56&lt;&gt;"Skip")*IFERROR(N('Recurring Items'!$D$6:$D$56),0)*(('Recurring Items'!$E$6:$E$56="Monthly")*(DAY(AB291)='Recurring Items'!$F$6:$F$56)+('Recurring Items'!$E$6:$E$56="Bi-weekly")*(WEEKDAY(AB291)=IFERROR(WEEKDAY('Recurring Items'!$G$6:$G$56),0))*(MOD(AB291-IFERROR('Recurring Items'!$G$6:$G$56,0),14)=0)*(AB291&gt;=IFERROR('Recurring Items'!$G$6:$G$56,9000000000))+('Recurring Items'!$E$6:$E$56="Weekly")*(WEEKDAY(AB291)=IFERROR(WEEKDAY('Recurring Items'!$G$6:$G$56),0))*(AB291&gt;=IFERROR('Recurring Items'!$G$6:$G$56,9000000000))+('Recurring Items'!$E$6:$E$56="One-time")*(AB291='Recurring Items'!$G$6:$G$56)))</f>
        <v>0</v>
      </c>
      <c r="AE291" s="1" t="n">
        <f aca="false">SUMPRODUCT(('Recurring Items'!$C$6:$C$56="Expense")*('Recurring Items'!$H$6:$H$56&lt;&gt;"Skip")*IFERROR(N('Recurring Items'!$D$6:$D$56),0)*(('Recurring Items'!$E$6:$E$56="Monthly")*(DAY(AB291)='Recurring Items'!$F$6:$F$56)+('Recurring Items'!$E$6:$E$56="Bi-weekly")*(WEEKDAY(AB291)=IFERROR(WEEKDAY('Recurring Items'!$G$6:$G$56),0))*(MOD(AB291-IFERROR('Recurring Items'!$G$6:$G$56,0),14)=0)*(AB291&gt;=IFERROR('Recurring Items'!$G$6:$G$56,9000000000))+('Recurring Items'!$E$6:$E$56="Weekly")*(WEEKDAY(AB291)=IFERROR(WEEKDAY('Recurring Items'!$G$6:$G$56),0))*(AB291&gt;=IFERROR('Recurring Items'!$G$6:$G$56,9000000000))+('Recurring Items'!$E$6:$E$56="One-time")*(AB291='Recurring Items'!$G$6:$G$56)))</f>
        <v>460</v>
      </c>
      <c r="AF291" s="1" t="n">
        <f aca="false">(IF(AC291=1,'Debt Tracker'!$P$5&gt;0.01,INDEX('Debt Tracker'!$T$5:$AE$29,1,AC291-1)&gt;0.01))*('Recurring Items'!$H$8&lt;&gt;"Skip")*(DAY(AB291)='Recurring Items'!$F$8)*IFERROR(N('Recurring Items'!$D$8),0)+(IF(AC291=1,'Debt Tracker'!$P$6&gt;0.01,INDEX('Debt Tracker'!$T$5:$AE$29,2,AC291-1)&gt;0.01))*('Recurring Items'!$H$9&lt;&gt;"Skip")*(DAY(AB291)='Recurring Items'!$F$9)*IFERROR(N('Recurring Items'!$D$9),0)+(IF(AC291=1,'Debt Tracker'!$P$7&gt;0.01,INDEX('Debt Tracker'!$T$5:$AE$29,3,AC291-1)&gt;0.01))*('Recurring Items'!$H$10&lt;&gt;"Skip")*(DAY(AB291)='Recurring Items'!$F$10)*IFERROR(N('Recurring Items'!$D$10),0)+(IF(AC291=1,'Debt Tracker'!$P$8&gt;0.01,INDEX('Debt Tracker'!$T$5:$AE$29,4,AC291-1)&gt;0.01))*('Recurring Items'!$H$11&lt;&gt;"Skip")*(DAY(AB291)='Recurring Items'!$F$11)*IFERROR(N('Recurring Items'!$D$11),0)+(IF(AC291=1,'Debt Tracker'!$P$9&gt;0.01,INDEX('Debt Tracker'!$T$5:$AE$29,5,AC291-1)&gt;0.01))*('Recurring Items'!$H$12&lt;&gt;"Skip")*(DAY(AB291)='Recurring Items'!$F$12)*IFERROR(N('Recurring Items'!$D$12),0)+(IF(AC291=1,'Debt Tracker'!$P$10&gt;0.01,INDEX('Debt Tracker'!$T$5:$AE$29,6,AC291-1)&gt;0.01))*('Recurring Items'!$H$13&lt;&gt;"Skip")*(DAY(AB291)='Recurring Items'!$F$13)*IFERROR(N('Recurring Items'!$D$13),0)+(IF(AC291=1,'Debt Tracker'!$P$11&gt;0.01,INDEX('Debt Tracker'!$T$5:$AE$29,7,AC291-1)&gt;0.01))*('Recurring Items'!$H$14&lt;&gt;"Skip")*(DAY(AB291)='Recurring Items'!$F$14)*IFERROR(N('Recurring Items'!$D$14),0)+(IF(AC291=1,'Debt Tracker'!$P$12&gt;0.01,INDEX('Debt Tracker'!$T$5:$AE$29,8,AC291-1)&gt;0.01))*('Recurring Items'!$H$15&lt;&gt;"Skip")*(DAY(AB291)='Recurring Items'!$F$15)*IFERROR(N('Recurring Items'!$D$15),0)+(IF(AC291=1,'Debt Tracker'!$P$13&gt;0.01,INDEX('Debt Tracker'!$T$5:$AE$29,9,AC291-1)&gt;0.01))*('Recurring Items'!$H$16&lt;&gt;"Skip")*(DAY(AB291)='Recurring Items'!$F$16)*IFERROR(N('Recurring Items'!$D$16),0)+(IF(AC291=1,'Debt Tracker'!$P$14&gt;0.01,INDEX('Debt Tracker'!$T$5:$AE$29,10,AC291-1)&gt;0.01))*('Recurring Items'!$H$17&lt;&gt;"Skip")*(DAY(AB291)='Recurring Items'!$F$17)*IFERROR(N('Recurring Items'!$D$17),0)+(IF(AC291=1,'Debt Tracker'!$P$15&gt;0.01,INDEX('Debt Tracker'!$T$5:$AE$29,11,AC291-1)&gt;0.01))*('Recurring Items'!$H$18&lt;&gt;"Skip")*(DAY(AB291)='Recurring Items'!$F$18)*IFERROR(N('Recurring Items'!$D$18),0)+(IF(AC291=1,'Debt Tracker'!$P$16&gt;0.01,INDEX('Debt Tracker'!$T$5:$AE$29,12,AC291-1)&gt;0.01))*('Recurring Items'!$H$19&lt;&gt;"Skip")*(DAY(AB291)='Recurring Items'!$F$19)*IFERROR(N('Recurring Items'!$D$19),0)+(IF(AC291=1,'Debt Tracker'!$P$17&gt;0.01,INDEX('Debt Tracker'!$T$5:$AE$29,13,AC291-1)&gt;0.01))*('Recurring Items'!$H$20&lt;&gt;"Skip")*(DAY(AB291)='Recurring Items'!$F$20)*IFERROR(N('Recurring Items'!$D$20),0)+(IF(AC291=1,'Debt Tracker'!$P$18&gt;0.01,INDEX('Debt Tracker'!$T$5:$AE$29,14,AC291-1)&gt;0.01))*('Recurring Items'!$H$21&lt;&gt;"Skip")*(DAY(AB291)='Recurring Items'!$F$21)*IFERROR(N('Recurring Items'!$D$21),0)+(IF(AC291=1,'Debt Tracker'!$P$19&gt;0.01,INDEX('Debt Tracker'!$T$5:$AE$29,15,AC291-1)&gt;0.01))*('Recurring Items'!$H$22&lt;&gt;"Skip")*(DAY(AB291)='Recurring Items'!$F$22)*IFERROR(N('Recurring Items'!$D$22),0)+(IF(AC291=1,'Debt Tracker'!$P$20&gt;0.01,INDEX('Debt Tracker'!$T$5:$AE$29,16,AC291-1)&gt;0.01))*('Recurring Items'!$H$23&lt;&gt;"Skip")*(DAY(AB291)='Recurring Items'!$F$23)*IFERROR(N('Recurring Items'!$D$23),0)+(IF(AC291=1,'Debt Tracker'!$P$21&gt;0.01,INDEX('Debt Tracker'!$T$5:$AE$29,17,AC291-1)&gt;0.01))*('Recurring Items'!$H$24&lt;&gt;"Skip")*(DAY(AB291)='Recurring Items'!$F$24)*IFERROR(N('Recurring Items'!$D$24),0)+(IF(AC291=1,'Debt Tracker'!$P$22&gt;0.01,INDEX('Debt Tracker'!$T$5:$AE$29,18,AC291-1)&gt;0.01))*('Recurring Items'!$H$25&lt;&gt;"Skip")*(DAY(AB291)='Recurring Items'!$F$25)*IFERROR(N('Recurring Items'!$D$25),0)+(IF(AC291=1,'Debt Tracker'!$P$23&gt;0.01,INDEX('Debt Tracker'!$T$5:$AE$29,19,AC291-1)&gt;0.01))*('Recurring Items'!$H$26&lt;&gt;"Skip")*(DAY(AB291)='Recurring Items'!$F$26)*IFERROR(N('Recurring Items'!$D$26),0)+(IF(AC291=1,'Debt Tracker'!$P$24&gt;0.01,INDEX('Debt Tracker'!$T$5:$AE$29,20,AC291-1)&gt;0.01))*('Recurring Items'!$H$27&lt;&gt;"Skip")*(DAY(AB291)='Recurring Items'!$F$27)*IFERROR(N('Recurring Items'!$D$27),0)+(IF(AC291=1,'Debt Tracker'!$P$25&gt;0.01,INDEX('Debt Tracker'!$T$5:$AE$29,21,AC291-1)&gt;0.01))*('Recurring Items'!$H$28&lt;&gt;"Skip")*(DAY(AB291)='Recurring Items'!$F$28)*IFERROR(N('Recurring Items'!$D$28),0)+(IF(AC291=1,'Debt Tracker'!$P$26&gt;0.01,INDEX('Debt Tracker'!$T$5:$AE$29,22,AC291-1)&gt;0.01))*('Recurring Items'!$H$29&lt;&gt;"Skip")*(DAY(AB291)='Recurring Items'!$F$29)*IFERROR(N('Recurring Items'!$D$29),0)+(IF(AC291=1,'Debt Tracker'!$P$27&gt;0.01,INDEX('Debt Tracker'!$T$5:$AE$29,23,AC291-1)&gt;0.01))*('Recurring Items'!$H$30&lt;&gt;"Skip")*(DAY(AB291)='Recurring Items'!$F$30)*IFERROR(N('Recurring Items'!$D$30),0)+(IF(AC291=1,'Debt Tracker'!$P$28&gt;0.01,INDEX('Debt Tracker'!$T$5:$AE$29,24,AC291-1)&gt;0.01))*('Recurring Items'!$H$31&lt;&gt;"Skip")*(DAY(AB291)='Recurring Items'!$F$31)*IFERROR(N('Recurring Items'!$D$31),0)+(IF(AC291=1,'Debt Tracker'!$P$29&gt;0.01,INDEX('Debt Tracker'!$T$5:$AE$29,25,AC291-1)&gt;0.01))*('Recurring Items'!$H$32&lt;&gt;"Skip")*(DAY(AB291)='Recurring Items'!$F$32)*IFERROR(N('Recurring Items'!$D$32),0)</f>
        <v>0</v>
      </c>
      <c r="AG291" s="1" t="n">
        <f aca="false">AD291-AE291-AF291</f>
        <v>-460</v>
      </c>
      <c r="AH291" s="1" t="n">
        <f aca="false">AH290+AG291</f>
        <v>9300.93</v>
      </c>
    </row>
    <row r="292" customFormat="false" ht="15" hidden="false" customHeight="true" outlineLevel="0" collapsed="false">
      <c r="AA292" s="1" t="n">
        <v>92</v>
      </c>
      <c r="AB292" s="145" t="n">
        <f aca="false">$D$3+92</f>
        <v>46235</v>
      </c>
      <c r="AC292" s="1" t="n">
        <f aca="false">MIN(12,1+DATEDIF($D$3,AB292,"M"))</f>
        <v>4</v>
      </c>
      <c r="AD292" s="1" t="n">
        <f aca="false">SUMPRODUCT(('Recurring Items'!$C$6:$C$56="Income")*('Recurring Items'!$H$6:$H$56&lt;&gt;"Skip")*IFERROR(N('Recurring Items'!$D$6:$D$56),0)*(('Recurring Items'!$E$6:$E$56="Monthly")*(DAY(AB292)='Recurring Items'!$F$6:$F$56)+('Recurring Items'!$E$6:$E$56="Bi-weekly")*(WEEKDAY(AB292)=IFERROR(WEEKDAY('Recurring Items'!$G$6:$G$56),0))*(MOD(AB292-IFERROR('Recurring Items'!$G$6:$G$56,0),14)=0)*(AB292&gt;=IFERROR('Recurring Items'!$G$6:$G$56,9000000000))+('Recurring Items'!$E$6:$E$56="Weekly")*(WEEKDAY(AB292)=IFERROR(WEEKDAY('Recurring Items'!$G$6:$G$56),0))*(AB292&gt;=IFERROR('Recurring Items'!$G$6:$G$56,9000000000))+('Recurring Items'!$E$6:$E$56="One-time")*(AB292='Recurring Items'!$G$6:$G$56)))</f>
        <v>0</v>
      </c>
      <c r="AE292" s="1" t="n">
        <f aca="false">SUMPRODUCT(('Recurring Items'!$C$6:$C$56="Expense")*('Recurring Items'!$H$6:$H$56&lt;&gt;"Skip")*IFERROR(N('Recurring Items'!$D$6:$D$56),0)*(('Recurring Items'!$E$6:$E$56="Monthly")*(DAY(AB292)='Recurring Items'!$F$6:$F$56)+('Recurring Items'!$E$6:$E$56="Bi-weekly")*(WEEKDAY(AB292)=IFERROR(WEEKDAY('Recurring Items'!$G$6:$G$56),0))*(MOD(AB292-IFERROR('Recurring Items'!$G$6:$G$56,0),14)=0)*(AB292&gt;=IFERROR('Recurring Items'!$G$6:$G$56,9000000000))+('Recurring Items'!$E$6:$E$56="Weekly")*(WEEKDAY(AB292)=IFERROR(WEEKDAY('Recurring Items'!$G$6:$G$56),0))*(AB292&gt;=IFERROR('Recurring Items'!$G$6:$G$56,9000000000))+('Recurring Items'!$E$6:$E$56="One-time")*(AB292='Recurring Items'!$G$6:$G$56)))</f>
        <v>141.16</v>
      </c>
      <c r="AF292" s="1" t="n">
        <f aca="false">(IF(AC292=1,'Debt Tracker'!$P$5&gt;0.01,INDEX('Debt Tracker'!$T$5:$AE$29,1,AC292-1)&gt;0.01))*('Recurring Items'!$H$8&lt;&gt;"Skip")*(DAY(AB292)='Recurring Items'!$F$8)*IFERROR(N('Recurring Items'!$D$8),0)+(IF(AC292=1,'Debt Tracker'!$P$6&gt;0.01,INDEX('Debt Tracker'!$T$5:$AE$29,2,AC292-1)&gt;0.01))*('Recurring Items'!$H$9&lt;&gt;"Skip")*(DAY(AB292)='Recurring Items'!$F$9)*IFERROR(N('Recurring Items'!$D$9),0)+(IF(AC292=1,'Debt Tracker'!$P$7&gt;0.01,INDEX('Debt Tracker'!$T$5:$AE$29,3,AC292-1)&gt;0.01))*('Recurring Items'!$H$10&lt;&gt;"Skip")*(DAY(AB292)='Recurring Items'!$F$10)*IFERROR(N('Recurring Items'!$D$10),0)+(IF(AC292=1,'Debt Tracker'!$P$8&gt;0.01,INDEX('Debt Tracker'!$T$5:$AE$29,4,AC292-1)&gt;0.01))*('Recurring Items'!$H$11&lt;&gt;"Skip")*(DAY(AB292)='Recurring Items'!$F$11)*IFERROR(N('Recurring Items'!$D$11),0)+(IF(AC292=1,'Debt Tracker'!$P$9&gt;0.01,INDEX('Debt Tracker'!$T$5:$AE$29,5,AC292-1)&gt;0.01))*('Recurring Items'!$H$12&lt;&gt;"Skip")*(DAY(AB292)='Recurring Items'!$F$12)*IFERROR(N('Recurring Items'!$D$12),0)+(IF(AC292=1,'Debt Tracker'!$P$10&gt;0.01,INDEX('Debt Tracker'!$T$5:$AE$29,6,AC292-1)&gt;0.01))*('Recurring Items'!$H$13&lt;&gt;"Skip")*(DAY(AB292)='Recurring Items'!$F$13)*IFERROR(N('Recurring Items'!$D$13),0)+(IF(AC292=1,'Debt Tracker'!$P$11&gt;0.01,INDEX('Debt Tracker'!$T$5:$AE$29,7,AC292-1)&gt;0.01))*('Recurring Items'!$H$14&lt;&gt;"Skip")*(DAY(AB292)='Recurring Items'!$F$14)*IFERROR(N('Recurring Items'!$D$14),0)+(IF(AC292=1,'Debt Tracker'!$P$12&gt;0.01,INDEX('Debt Tracker'!$T$5:$AE$29,8,AC292-1)&gt;0.01))*('Recurring Items'!$H$15&lt;&gt;"Skip")*(DAY(AB292)='Recurring Items'!$F$15)*IFERROR(N('Recurring Items'!$D$15),0)+(IF(AC292=1,'Debt Tracker'!$P$13&gt;0.01,INDEX('Debt Tracker'!$T$5:$AE$29,9,AC292-1)&gt;0.01))*('Recurring Items'!$H$16&lt;&gt;"Skip")*(DAY(AB292)='Recurring Items'!$F$16)*IFERROR(N('Recurring Items'!$D$16),0)+(IF(AC292=1,'Debt Tracker'!$P$14&gt;0.01,INDEX('Debt Tracker'!$T$5:$AE$29,10,AC292-1)&gt;0.01))*('Recurring Items'!$H$17&lt;&gt;"Skip")*(DAY(AB292)='Recurring Items'!$F$17)*IFERROR(N('Recurring Items'!$D$17),0)+(IF(AC292=1,'Debt Tracker'!$P$15&gt;0.01,INDEX('Debt Tracker'!$T$5:$AE$29,11,AC292-1)&gt;0.01))*('Recurring Items'!$H$18&lt;&gt;"Skip")*(DAY(AB292)='Recurring Items'!$F$18)*IFERROR(N('Recurring Items'!$D$18),0)+(IF(AC292=1,'Debt Tracker'!$P$16&gt;0.01,INDEX('Debt Tracker'!$T$5:$AE$29,12,AC292-1)&gt;0.01))*('Recurring Items'!$H$19&lt;&gt;"Skip")*(DAY(AB292)='Recurring Items'!$F$19)*IFERROR(N('Recurring Items'!$D$19),0)+(IF(AC292=1,'Debt Tracker'!$P$17&gt;0.01,INDEX('Debt Tracker'!$T$5:$AE$29,13,AC292-1)&gt;0.01))*('Recurring Items'!$H$20&lt;&gt;"Skip")*(DAY(AB292)='Recurring Items'!$F$20)*IFERROR(N('Recurring Items'!$D$20),0)+(IF(AC292=1,'Debt Tracker'!$P$18&gt;0.01,INDEX('Debt Tracker'!$T$5:$AE$29,14,AC292-1)&gt;0.01))*('Recurring Items'!$H$21&lt;&gt;"Skip")*(DAY(AB292)='Recurring Items'!$F$21)*IFERROR(N('Recurring Items'!$D$21),0)+(IF(AC292=1,'Debt Tracker'!$P$19&gt;0.01,INDEX('Debt Tracker'!$T$5:$AE$29,15,AC292-1)&gt;0.01))*('Recurring Items'!$H$22&lt;&gt;"Skip")*(DAY(AB292)='Recurring Items'!$F$22)*IFERROR(N('Recurring Items'!$D$22),0)+(IF(AC292=1,'Debt Tracker'!$P$20&gt;0.01,INDEX('Debt Tracker'!$T$5:$AE$29,16,AC292-1)&gt;0.01))*('Recurring Items'!$H$23&lt;&gt;"Skip")*(DAY(AB292)='Recurring Items'!$F$23)*IFERROR(N('Recurring Items'!$D$23),0)+(IF(AC292=1,'Debt Tracker'!$P$21&gt;0.01,INDEX('Debt Tracker'!$T$5:$AE$29,17,AC292-1)&gt;0.01))*('Recurring Items'!$H$24&lt;&gt;"Skip")*(DAY(AB292)='Recurring Items'!$F$24)*IFERROR(N('Recurring Items'!$D$24),0)+(IF(AC292=1,'Debt Tracker'!$P$22&gt;0.01,INDEX('Debt Tracker'!$T$5:$AE$29,18,AC292-1)&gt;0.01))*('Recurring Items'!$H$25&lt;&gt;"Skip")*(DAY(AB292)='Recurring Items'!$F$25)*IFERROR(N('Recurring Items'!$D$25),0)+(IF(AC292=1,'Debt Tracker'!$P$23&gt;0.01,INDEX('Debt Tracker'!$T$5:$AE$29,19,AC292-1)&gt;0.01))*('Recurring Items'!$H$26&lt;&gt;"Skip")*(DAY(AB292)='Recurring Items'!$F$26)*IFERROR(N('Recurring Items'!$D$26),0)+(IF(AC292=1,'Debt Tracker'!$P$24&gt;0.01,INDEX('Debt Tracker'!$T$5:$AE$29,20,AC292-1)&gt;0.01))*('Recurring Items'!$H$27&lt;&gt;"Skip")*(DAY(AB292)='Recurring Items'!$F$27)*IFERROR(N('Recurring Items'!$D$27),0)+(IF(AC292=1,'Debt Tracker'!$P$25&gt;0.01,INDEX('Debt Tracker'!$T$5:$AE$29,21,AC292-1)&gt;0.01))*('Recurring Items'!$H$28&lt;&gt;"Skip")*(DAY(AB292)='Recurring Items'!$F$28)*IFERROR(N('Recurring Items'!$D$28),0)+(IF(AC292=1,'Debt Tracker'!$P$26&gt;0.01,INDEX('Debt Tracker'!$T$5:$AE$29,22,AC292-1)&gt;0.01))*('Recurring Items'!$H$29&lt;&gt;"Skip")*(DAY(AB292)='Recurring Items'!$F$29)*IFERROR(N('Recurring Items'!$D$29),0)+(IF(AC292=1,'Debt Tracker'!$P$27&gt;0.01,INDEX('Debt Tracker'!$T$5:$AE$29,23,AC292-1)&gt;0.01))*('Recurring Items'!$H$30&lt;&gt;"Skip")*(DAY(AB292)='Recurring Items'!$F$30)*IFERROR(N('Recurring Items'!$D$30),0)+(IF(AC292=1,'Debt Tracker'!$P$28&gt;0.01,INDEX('Debt Tracker'!$T$5:$AE$29,24,AC292-1)&gt;0.01))*('Recurring Items'!$H$31&lt;&gt;"Skip")*(DAY(AB292)='Recurring Items'!$F$31)*IFERROR(N('Recurring Items'!$D$31),0)+(IF(AC292=1,'Debt Tracker'!$P$29&gt;0.01,INDEX('Debt Tracker'!$T$5:$AE$29,25,AC292-1)&gt;0.01))*('Recurring Items'!$H$32&lt;&gt;"Skip")*(DAY(AB292)='Recurring Items'!$F$32)*IFERROR(N('Recurring Items'!$D$32),0)</f>
        <v>357.5</v>
      </c>
      <c r="AG292" s="1" t="n">
        <f aca="false">AD292-AE292-AF292</f>
        <v>-498.66</v>
      </c>
      <c r="AH292" s="1" t="n">
        <f aca="false">AH291+AG292</f>
        <v>8802.27</v>
      </c>
    </row>
    <row r="293" customFormat="false" ht="15" hidden="false" customHeight="true" outlineLevel="0" collapsed="false">
      <c r="AA293" s="1" t="n">
        <v>93</v>
      </c>
      <c r="AB293" s="145" t="n">
        <f aca="false">$D$3+93</f>
        <v>46236</v>
      </c>
      <c r="AC293" s="1" t="n">
        <f aca="false">MIN(12,1+DATEDIF($D$3,AB293,"M"))</f>
        <v>4</v>
      </c>
      <c r="AD293" s="1" t="n">
        <f aca="false">SUMPRODUCT(('Recurring Items'!$C$6:$C$56="Income")*('Recurring Items'!$H$6:$H$56&lt;&gt;"Skip")*IFERROR(N('Recurring Items'!$D$6:$D$56),0)*(('Recurring Items'!$E$6:$E$56="Monthly")*(DAY(AB293)='Recurring Items'!$F$6:$F$56)+('Recurring Items'!$E$6:$E$56="Bi-weekly")*(WEEKDAY(AB293)=IFERROR(WEEKDAY('Recurring Items'!$G$6:$G$56),0))*(MOD(AB293-IFERROR('Recurring Items'!$G$6:$G$56,0),14)=0)*(AB293&gt;=IFERROR('Recurring Items'!$G$6:$G$56,9000000000))+('Recurring Items'!$E$6:$E$56="Weekly")*(WEEKDAY(AB293)=IFERROR(WEEKDAY('Recurring Items'!$G$6:$G$56),0))*(AB293&gt;=IFERROR('Recurring Items'!$G$6:$G$56,9000000000))+('Recurring Items'!$E$6:$E$56="One-time")*(AB293='Recurring Items'!$G$6:$G$56)))</f>
        <v>0</v>
      </c>
      <c r="AE293" s="1" t="n">
        <f aca="false">SUMPRODUCT(('Recurring Items'!$C$6:$C$56="Expense")*('Recurring Items'!$H$6:$H$56&lt;&gt;"Skip")*IFERROR(N('Recurring Items'!$D$6:$D$56),0)*(('Recurring Items'!$E$6:$E$56="Monthly")*(DAY(AB293)='Recurring Items'!$F$6:$F$56)+('Recurring Items'!$E$6:$E$56="Bi-weekly")*(WEEKDAY(AB293)=IFERROR(WEEKDAY('Recurring Items'!$G$6:$G$56),0))*(MOD(AB293-IFERROR('Recurring Items'!$G$6:$G$56,0),14)=0)*(AB293&gt;=IFERROR('Recurring Items'!$G$6:$G$56,9000000000))+('Recurring Items'!$E$6:$E$56="Weekly")*(WEEKDAY(AB293)=IFERROR(WEEKDAY('Recurring Items'!$G$6:$G$56),0))*(AB293&gt;=IFERROR('Recurring Items'!$G$6:$G$56,9000000000))+('Recurring Items'!$E$6:$E$56="One-time")*(AB293='Recurring Items'!$G$6:$G$56)))</f>
        <v>0</v>
      </c>
      <c r="AF293" s="1" t="n">
        <f aca="false">(IF(AC293=1,'Debt Tracker'!$P$5&gt;0.01,INDEX('Debt Tracker'!$T$5:$AE$29,1,AC293-1)&gt;0.01))*('Recurring Items'!$H$8&lt;&gt;"Skip")*(DAY(AB293)='Recurring Items'!$F$8)*IFERROR(N('Recurring Items'!$D$8),0)+(IF(AC293=1,'Debt Tracker'!$P$6&gt;0.01,INDEX('Debt Tracker'!$T$5:$AE$29,2,AC293-1)&gt;0.01))*('Recurring Items'!$H$9&lt;&gt;"Skip")*(DAY(AB293)='Recurring Items'!$F$9)*IFERROR(N('Recurring Items'!$D$9),0)+(IF(AC293=1,'Debt Tracker'!$P$7&gt;0.01,INDEX('Debt Tracker'!$T$5:$AE$29,3,AC293-1)&gt;0.01))*('Recurring Items'!$H$10&lt;&gt;"Skip")*(DAY(AB293)='Recurring Items'!$F$10)*IFERROR(N('Recurring Items'!$D$10),0)+(IF(AC293=1,'Debt Tracker'!$P$8&gt;0.01,INDEX('Debt Tracker'!$T$5:$AE$29,4,AC293-1)&gt;0.01))*('Recurring Items'!$H$11&lt;&gt;"Skip")*(DAY(AB293)='Recurring Items'!$F$11)*IFERROR(N('Recurring Items'!$D$11),0)+(IF(AC293=1,'Debt Tracker'!$P$9&gt;0.01,INDEX('Debt Tracker'!$T$5:$AE$29,5,AC293-1)&gt;0.01))*('Recurring Items'!$H$12&lt;&gt;"Skip")*(DAY(AB293)='Recurring Items'!$F$12)*IFERROR(N('Recurring Items'!$D$12),0)+(IF(AC293=1,'Debt Tracker'!$P$10&gt;0.01,INDEX('Debt Tracker'!$T$5:$AE$29,6,AC293-1)&gt;0.01))*('Recurring Items'!$H$13&lt;&gt;"Skip")*(DAY(AB293)='Recurring Items'!$F$13)*IFERROR(N('Recurring Items'!$D$13),0)+(IF(AC293=1,'Debt Tracker'!$P$11&gt;0.01,INDEX('Debt Tracker'!$T$5:$AE$29,7,AC293-1)&gt;0.01))*('Recurring Items'!$H$14&lt;&gt;"Skip")*(DAY(AB293)='Recurring Items'!$F$14)*IFERROR(N('Recurring Items'!$D$14),0)+(IF(AC293=1,'Debt Tracker'!$P$12&gt;0.01,INDEX('Debt Tracker'!$T$5:$AE$29,8,AC293-1)&gt;0.01))*('Recurring Items'!$H$15&lt;&gt;"Skip")*(DAY(AB293)='Recurring Items'!$F$15)*IFERROR(N('Recurring Items'!$D$15),0)+(IF(AC293=1,'Debt Tracker'!$P$13&gt;0.01,INDEX('Debt Tracker'!$T$5:$AE$29,9,AC293-1)&gt;0.01))*('Recurring Items'!$H$16&lt;&gt;"Skip")*(DAY(AB293)='Recurring Items'!$F$16)*IFERROR(N('Recurring Items'!$D$16),0)+(IF(AC293=1,'Debt Tracker'!$P$14&gt;0.01,INDEX('Debt Tracker'!$T$5:$AE$29,10,AC293-1)&gt;0.01))*('Recurring Items'!$H$17&lt;&gt;"Skip")*(DAY(AB293)='Recurring Items'!$F$17)*IFERROR(N('Recurring Items'!$D$17),0)+(IF(AC293=1,'Debt Tracker'!$P$15&gt;0.01,INDEX('Debt Tracker'!$T$5:$AE$29,11,AC293-1)&gt;0.01))*('Recurring Items'!$H$18&lt;&gt;"Skip")*(DAY(AB293)='Recurring Items'!$F$18)*IFERROR(N('Recurring Items'!$D$18),0)+(IF(AC293=1,'Debt Tracker'!$P$16&gt;0.01,INDEX('Debt Tracker'!$T$5:$AE$29,12,AC293-1)&gt;0.01))*('Recurring Items'!$H$19&lt;&gt;"Skip")*(DAY(AB293)='Recurring Items'!$F$19)*IFERROR(N('Recurring Items'!$D$19),0)+(IF(AC293=1,'Debt Tracker'!$P$17&gt;0.01,INDEX('Debt Tracker'!$T$5:$AE$29,13,AC293-1)&gt;0.01))*('Recurring Items'!$H$20&lt;&gt;"Skip")*(DAY(AB293)='Recurring Items'!$F$20)*IFERROR(N('Recurring Items'!$D$20),0)+(IF(AC293=1,'Debt Tracker'!$P$18&gt;0.01,INDEX('Debt Tracker'!$T$5:$AE$29,14,AC293-1)&gt;0.01))*('Recurring Items'!$H$21&lt;&gt;"Skip")*(DAY(AB293)='Recurring Items'!$F$21)*IFERROR(N('Recurring Items'!$D$21),0)+(IF(AC293=1,'Debt Tracker'!$P$19&gt;0.01,INDEX('Debt Tracker'!$T$5:$AE$29,15,AC293-1)&gt;0.01))*('Recurring Items'!$H$22&lt;&gt;"Skip")*(DAY(AB293)='Recurring Items'!$F$22)*IFERROR(N('Recurring Items'!$D$22),0)+(IF(AC293=1,'Debt Tracker'!$P$20&gt;0.01,INDEX('Debt Tracker'!$T$5:$AE$29,16,AC293-1)&gt;0.01))*('Recurring Items'!$H$23&lt;&gt;"Skip")*(DAY(AB293)='Recurring Items'!$F$23)*IFERROR(N('Recurring Items'!$D$23),0)+(IF(AC293=1,'Debt Tracker'!$P$21&gt;0.01,INDEX('Debt Tracker'!$T$5:$AE$29,17,AC293-1)&gt;0.01))*('Recurring Items'!$H$24&lt;&gt;"Skip")*(DAY(AB293)='Recurring Items'!$F$24)*IFERROR(N('Recurring Items'!$D$24),0)+(IF(AC293=1,'Debt Tracker'!$P$22&gt;0.01,INDEX('Debt Tracker'!$T$5:$AE$29,18,AC293-1)&gt;0.01))*('Recurring Items'!$H$25&lt;&gt;"Skip")*(DAY(AB293)='Recurring Items'!$F$25)*IFERROR(N('Recurring Items'!$D$25),0)+(IF(AC293=1,'Debt Tracker'!$P$23&gt;0.01,INDEX('Debt Tracker'!$T$5:$AE$29,19,AC293-1)&gt;0.01))*('Recurring Items'!$H$26&lt;&gt;"Skip")*(DAY(AB293)='Recurring Items'!$F$26)*IFERROR(N('Recurring Items'!$D$26),0)+(IF(AC293=1,'Debt Tracker'!$P$24&gt;0.01,INDEX('Debt Tracker'!$T$5:$AE$29,20,AC293-1)&gt;0.01))*('Recurring Items'!$H$27&lt;&gt;"Skip")*(DAY(AB293)='Recurring Items'!$F$27)*IFERROR(N('Recurring Items'!$D$27),0)+(IF(AC293=1,'Debt Tracker'!$P$25&gt;0.01,INDEX('Debt Tracker'!$T$5:$AE$29,21,AC293-1)&gt;0.01))*('Recurring Items'!$H$28&lt;&gt;"Skip")*(DAY(AB293)='Recurring Items'!$F$28)*IFERROR(N('Recurring Items'!$D$28),0)+(IF(AC293=1,'Debt Tracker'!$P$26&gt;0.01,INDEX('Debt Tracker'!$T$5:$AE$29,22,AC293-1)&gt;0.01))*('Recurring Items'!$H$29&lt;&gt;"Skip")*(DAY(AB293)='Recurring Items'!$F$29)*IFERROR(N('Recurring Items'!$D$29),0)+(IF(AC293=1,'Debt Tracker'!$P$27&gt;0.01,INDEX('Debt Tracker'!$T$5:$AE$29,23,AC293-1)&gt;0.01))*('Recurring Items'!$H$30&lt;&gt;"Skip")*(DAY(AB293)='Recurring Items'!$F$30)*IFERROR(N('Recurring Items'!$D$30),0)+(IF(AC293=1,'Debt Tracker'!$P$28&gt;0.01,INDEX('Debt Tracker'!$T$5:$AE$29,24,AC293-1)&gt;0.01))*('Recurring Items'!$H$31&lt;&gt;"Skip")*(DAY(AB293)='Recurring Items'!$F$31)*IFERROR(N('Recurring Items'!$D$31),0)+(IF(AC293=1,'Debt Tracker'!$P$29&gt;0.01,INDEX('Debt Tracker'!$T$5:$AE$29,25,AC293-1)&gt;0.01))*('Recurring Items'!$H$32&lt;&gt;"Skip")*(DAY(AB293)='Recurring Items'!$F$32)*IFERROR(N('Recurring Items'!$D$32),0)</f>
        <v>1309.17</v>
      </c>
      <c r="AG293" s="1" t="n">
        <f aca="false">AD293-AE293-AF293</f>
        <v>-1309.17</v>
      </c>
      <c r="AH293" s="1" t="n">
        <f aca="false">AH292+AG293</f>
        <v>7493.1</v>
      </c>
    </row>
    <row r="294" customFormat="false" ht="15" hidden="false" customHeight="true" outlineLevel="0" collapsed="false">
      <c r="AA294" s="1" t="n">
        <v>94</v>
      </c>
      <c r="AB294" s="145" t="n">
        <f aca="false">$D$3+94</f>
        <v>46237</v>
      </c>
      <c r="AC294" s="1" t="n">
        <f aca="false">MIN(12,1+DATEDIF($D$3,AB294,"M"))</f>
        <v>4</v>
      </c>
      <c r="AD294" s="1" t="n">
        <f aca="false">SUMPRODUCT(('Recurring Items'!$C$6:$C$56="Income")*('Recurring Items'!$H$6:$H$56&lt;&gt;"Skip")*IFERROR(N('Recurring Items'!$D$6:$D$56),0)*(('Recurring Items'!$E$6:$E$56="Monthly")*(DAY(AB294)='Recurring Items'!$F$6:$F$56)+('Recurring Items'!$E$6:$E$56="Bi-weekly")*(WEEKDAY(AB294)=IFERROR(WEEKDAY('Recurring Items'!$G$6:$G$56),0))*(MOD(AB294-IFERROR('Recurring Items'!$G$6:$G$56,0),14)=0)*(AB294&gt;=IFERROR('Recurring Items'!$G$6:$G$56,9000000000))+('Recurring Items'!$E$6:$E$56="Weekly")*(WEEKDAY(AB294)=IFERROR(WEEKDAY('Recurring Items'!$G$6:$G$56),0))*(AB294&gt;=IFERROR('Recurring Items'!$G$6:$G$56,9000000000))+('Recurring Items'!$E$6:$E$56="One-time")*(AB294='Recurring Items'!$G$6:$G$56)))</f>
        <v>0</v>
      </c>
      <c r="AE294" s="1" t="n">
        <f aca="false">SUMPRODUCT(('Recurring Items'!$C$6:$C$56="Expense")*('Recurring Items'!$H$6:$H$56&lt;&gt;"Skip")*IFERROR(N('Recurring Items'!$D$6:$D$56),0)*(('Recurring Items'!$E$6:$E$56="Monthly")*(DAY(AB294)='Recurring Items'!$F$6:$F$56)+('Recurring Items'!$E$6:$E$56="Bi-weekly")*(WEEKDAY(AB294)=IFERROR(WEEKDAY('Recurring Items'!$G$6:$G$56),0))*(MOD(AB294-IFERROR('Recurring Items'!$G$6:$G$56,0),14)=0)*(AB294&gt;=IFERROR('Recurring Items'!$G$6:$G$56,9000000000))+('Recurring Items'!$E$6:$E$56="Weekly")*(WEEKDAY(AB294)=IFERROR(WEEKDAY('Recurring Items'!$G$6:$G$56),0))*(AB294&gt;=IFERROR('Recurring Items'!$G$6:$G$56,9000000000))+('Recurring Items'!$E$6:$E$56="One-time")*(AB294='Recurring Items'!$G$6:$G$56)))</f>
        <v>927.53</v>
      </c>
      <c r="AF294" s="1" t="n">
        <f aca="false">(IF(AC294=1,'Debt Tracker'!$P$5&gt;0.01,INDEX('Debt Tracker'!$T$5:$AE$29,1,AC294-1)&gt;0.01))*('Recurring Items'!$H$8&lt;&gt;"Skip")*(DAY(AB294)='Recurring Items'!$F$8)*IFERROR(N('Recurring Items'!$D$8),0)+(IF(AC294=1,'Debt Tracker'!$P$6&gt;0.01,INDEX('Debt Tracker'!$T$5:$AE$29,2,AC294-1)&gt;0.01))*('Recurring Items'!$H$9&lt;&gt;"Skip")*(DAY(AB294)='Recurring Items'!$F$9)*IFERROR(N('Recurring Items'!$D$9),0)+(IF(AC294=1,'Debt Tracker'!$P$7&gt;0.01,INDEX('Debt Tracker'!$T$5:$AE$29,3,AC294-1)&gt;0.01))*('Recurring Items'!$H$10&lt;&gt;"Skip")*(DAY(AB294)='Recurring Items'!$F$10)*IFERROR(N('Recurring Items'!$D$10),0)+(IF(AC294=1,'Debt Tracker'!$P$8&gt;0.01,INDEX('Debt Tracker'!$T$5:$AE$29,4,AC294-1)&gt;0.01))*('Recurring Items'!$H$11&lt;&gt;"Skip")*(DAY(AB294)='Recurring Items'!$F$11)*IFERROR(N('Recurring Items'!$D$11),0)+(IF(AC294=1,'Debt Tracker'!$P$9&gt;0.01,INDEX('Debt Tracker'!$T$5:$AE$29,5,AC294-1)&gt;0.01))*('Recurring Items'!$H$12&lt;&gt;"Skip")*(DAY(AB294)='Recurring Items'!$F$12)*IFERROR(N('Recurring Items'!$D$12),0)+(IF(AC294=1,'Debt Tracker'!$P$10&gt;0.01,INDEX('Debt Tracker'!$T$5:$AE$29,6,AC294-1)&gt;0.01))*('Recurring Items'!$H$13&lt;&gt;"Skip")*(DAY(AB294)='Recurring Items'!$F$13)*IFERROR(N('Recurring Items'!$D$13),0)+(IF(AC294=1,'Debt Tracker'!$P$11&gt;0.01,INDEX('Debt Tracker'!$T$5:$AE$29,7,AC294-1)&gt;0.01))*('Recurring Items'!$H$14&lt;&gt;"Skip")*(DAY(AB294)='Recurring Items'!$F$14)*IFERROR(N('Recurring Items'!$D$14),0)+(IF(AC294=1,'Debt Tracker'!$P$12&gt;0.01,INDEX('Debt Tracker'!$T$5:$AE$29,8,AC294-1)&gt;0.01))*('Recurring Items'!$H$15&lt;&gt;"Skip")*(DAY(AB294)='Recurring Items'!$F$15)*IFERROR(N('Recurring Items'!$D$15),0)+(IF(AC294=1,'Debt Tracker'!$P$13&gt;0.01,INDEX('Debt Tracker'!$T$5:$AE$29,9,AC294-1)&gt;0.01))*('Recurring Items'!$H$16&lt;&gt;"Skip")*(DAY(AB294)='Recurring Items'!$F$16)*IFERROR(N('Recurring Items'!$D$16),0)+(IF(AC294=1,'Debt Tracker'!$P$14&gt;0.01,INDEX('Debt Tracker'!$T$5:$AE$29,10,AC294-1)&gt;0.01))*('Recurring Items'!$H$17&lt;&gt;"Skip")*(DAY(AB294)='Recurring Items'!$F$17)*IFERROR(N('Recurring Items'!$D$17),0)+(IF(AC294=1,'Debt Tracker'!$P$15&gt;0.01,INDEX('Debt Tracker'!$T$5:$AE$29,11,AC294-1)&gt;0.01))*('Recurring Items'!$H$18&lt;&gt;"Skip")*(DAY(AB294)='Recurring Items'!$F$18)*IFERROR(N('Recurring Items'!$D$18),0)+(IF(AC294=1,'Debt Tracker'!$P$16&gt;0.01,INDEX('Debt Tracker'!$T$5:$AE$29,12,AC294-1)&gt;0.01))*('Recurring Items'!$H$19&lt;&gt;"Skip")*(DAY(AB294)='Recurring Items'!$F$19)*IFERROR(N('Recurring Items'!$D$19),0)+(IF(AC294=1,'Debt Tracker'!$P$17&gt;0.01,INDEX('Debt Tracker'!$T$5:$AE$29,13,AC294-1)&gt;0.01))*('Recurring Items'!$H$20&lt;&gt;"Skip")*(DAY(AB294)='Recurring Items'!$F$20)*IFERROR(N('Recurring Items'!$D$20),0)+(IF(AC294=1,'Debt Tracker'!$P$18&gt;0.01,INDEX('Debt Tracker'!$T$5:$AE$29,14,AC294-1)&gt;0.01))*('Recurring Items'!$H$21&lt;&gt;"Skip")*(DAY(AB294)='Recurring Items'!$F$21)*IFERROR(N('Recurring Items'!$D$21),0)+(IF(AC294=1,'Debt Tracker'!$P$19&gt;0.01,INDEX('Debt Tracker'!$T$5:$AE$29,15,AC294-1)&gt;0.01))*('Recurring Items'!$H$22&lt;&gt;"Skip")*(DAY(AB294)='Recurring Items'!$F$22)*IFERROR(N('Recurring Items'!$D$22),0)+(IF(AC294=1,'Debt Tracker'!$P$20&gt;0.01,INDEX('Debt Tracker'!$T$5:$AE$29,16,AC294-1)&gt;0.01))*('Recurring Items'!$H$23&lt;&gt;"Skip")*(DAY(AB294)='Recurring Items'!$F$23)*IFERROR(N('Recurring Items'!$D$23),0)+(IF(AC294=1,'Debt Tracker'!$P$21&gt;0.01,INDEX('Debt Tracker'!$T$5:$AE$29,17,AC294-1)&gt;0.01))*('Recurring Items'!$H$24&lt;&gt;"Skip")*(DAY(AB294)='Recurring Items'!$F$24)*IFERROR(N('Recurring Items'!$D$24),0)+(IF(AC294=1,'Debt Tracker'!$P$22&gt;0.01,INDEX('Debt Tracker'!$T$5:$AE$29,18,AC294-1)&gt;0.01))*('Recurring Items'!$H$25&lt;&gt;"Skip")*(DAY(AB294)='Recurring Items'!$F$25)*IFERROR(N('Recurring Items'!$D$25),0)+(IF(AC294=1,'Debt Tracker'!$P$23&gt;0.01,INDEX('Debt Tracker'!$T$5:$AE$29,19,AC294-1)&gt;0.01))*('Recurring Items'!$H$26&lt;&gt;"Skip")*(DAY(AB294)='Recurring Items'!$F$26)*IFERROR(N('Recurring Items'!$D$26),0)+(IF(AC294=1,'Debt Tracker'!$P$24&gt;0.01,INDEX('Debt Tracker'!$T$5:$AE$29,20,AC294-1)&gt;0.01))*('Recurring Items'!$H$27&lt;&gt;"Skip")*(DAY(AB294)='Recurring Items'!$F$27)*IFERROR(N('Recurring Items'!$D$27),0)+(IF(AC294=1,'Debt Tracker'!$P$25&gt;0.01,INDEX('Debt Tracker'!$T$5:$AE$29,21,AC294-1)&gt;0.01))*('Recurring Items'!$H$28&lt;&gt;"Skip")*(DAY(AB294)='Recurring Items'!$F$28)*IFERROR(N('Recurring Items'!$D$28),0)+(IF(AC294=1,'Debt Tracker'!$P$26&gt;0.01,INDEX('Debt Tracker'!$T$5:$AE$29,22,AC294-1)&gt;0.01))*('Recurring Items'!$H$29&lt;&gt;"Skip")*(DAY(AB294)='Recurring Items'!$F$29)*IFERROR(N('Recurring Items'!$D$29),0)+(IF(AC294=1,'Debt Tracker'!$P$27&gt;0.01,INDEX('Debt Tracker'!$T$5:$AE$29,23,AC294-1)&gt;0.01))*('Recurring Items'!$H$30&lt;&gt;"Skip")*(DAY(AB294)='Recurring Items'!$F$30)*IFERROR(N('Recurring Items'!$D$30),0)+(IF(AC294=1,'Debt Tracker'!$P$28&gt;0.01,INDEX('Debt Tracker'!$T$5:$AE$29,24,AC294-1)&gt;0.01))*('Recurring Items'!$H$31&lt;&gt;"Skip")*(DAY(AB294)='Recurring Items'!$F$31)*IFERROR(N('Recurring Items'!$D$31),0)+(IF(AC294=1,'Debt Tracker'!$P$29&gt;0.01,INDEX('Debt Tracker'!$T$5:$AE$29,25,AC294-1)&gt;0.01))*('Recurring Items'!$H$32&lt;&gt;"Skip")*(DAY(AB294)='Recurring Items'!$F$32)*IFERROR(N('Recurring Items'!$D$32),0)</f>
        <v>0</v>
      </c>
      <c r="AG294" s="1" t="n">
        <f aca="false">AD294-AE294-AF294</f>
        <v>-927.53</v>
      </c>
      <c r="AH294" s="1" t="n">
        <f aca="false">AH293+AG294</f>
        <v>6565.57</v>
      </c>
    </row>
    <row r="295" customFormat="false" ht="15" hidden="false" customHeight="true" outlineLevel="0" collapsed="false">
      <c r="AA295" s="1" t="n">
        <v>95</v>
      </c>
      <c r="AB295" s="145" t="n">
        <f aca="false">$D$3+95</f>
        <v>46238</v>
      </c>
      <c r="AC295" s="1" t="n">
        <f aca="false">MIN(12,1+DATEDIF($D$3,AB295,"M"))</f>
        <v>4</v>
      </c>
      <c r="AD295" s="1" t="n">
        <f aca="false">SUMPRODUCT(('Recurring Items'!$C$6:$C$56="Income")*('Recurring Items'!$H$6:$H$56&lt;&gt;"Skip")*IFERROR(N('Recurring Items'!$D$6:$D$56),0)*(('Recurring Items'!$E$6:$E$56="Monthly")*(DAY(AB295)='Recurring Items'!$F$6:$F$56)+('Recurring Items'!$E$6:$E$56="Bi-weekly")*(WEEKDAY(AB295)=IFERROR(WEEKDAY('Recurring Items'!$G$6:$G$56),0))*(MOD(AB295-IFERROR('Recurring Items'!$G$6:$G$56,0),14)=0)*(AB295&gt;=IFERROR('Recurring Items'!$G$6:$G$56,9000000000))+('Recurring Items'!$E$6:$E$56="Weekly")*(WEEKDAY(AB295)=IFERROR(WEEKDAY('Recurring Items'!$G$6:$G$56),0))*(AB295&gt;=IFERROR('Recurring Items'!$G$6:$G$56,9000000000))+('Recurring Items'!$E$6:$E$56="One-time")*(AB295='Recurring Items'!$G$6:$G$56)))</f>
        <v>0</v>
      </c>
      <c r="AE295" s="1" t="n">
        <f aca="false">SUMPRODUCT(('Recurring Items'!$C$6:$C$56="Expense")*('Recurring Items'!$H$6:$H$56&lt;&gt;"Skip")*IFERROR(N('Recurring Items'!$D$6:$D$56),0)*(('Recurring Items'!$E$6:$E$56="Monthly")*(DAY(AB295)='Recurring Items'!$F$6:$F$56)+('Recurring Items'!$E$6:$E$56="Bi-weekly")*(WEEKDAY(AB295)=IFERROR(WEEKDAY('Recurring Items'!$G$6:$G$56),0))*(MOD(AB295-IFERROR('Recurring Items'!$G$6:$G$56,0),14)=0)*(AB295&gt;=IFERROR('Recurring Items'!$G$6:$G$56,9000000000))+('Recurring Items'!$E$6:$E$56="Weekly")*(WEEKDAY(AB295)=IFERROR(WEEKDAY('Recurring Items'!$G$6:$G$56),0))*(AB295&gt;=IFERROR('Recurring Items'!$G$6:$G$56,9000000000))+('Recurring Items'!$E$6:$E$56="One-time")*(AB295='Recurring Items'!$G$6:$G$56)))</f>
        <v>0</v>
      </c>
      <c r="AF295" s="1" t="n">
        <f aca="false">(IF(AC295=1,'Debt Tracker'!$P$5&gt;0.01,INDEX('Debt Tracker'!$T$5:$AE$29,1,AC295-1)&gt;0.01))*('Recurring Items'!$H$8&lt;&gt;"Skip")*(DAY(AB295)='Recurring Items'!$F$8)*IFERROR(N('Recurring Items'!$D$8),0)+(IF(AC295=1,'Debt Tracker'!$P$6&gt;0.01,INDEX('Debt Tracker'!$T$5:$AE$29,2,AC295-1)&gt;0.01))*('Recurring Items'!$H$9&lt;&gt;"Skip")*(DAY(AB295)='Recurring Items'!$F$9)*IFERROR(N('Recurring Items'!$D$9),0)+(IF(AC295=1,'Debt Tracker'!$P$7&gt;0.01,INDEX('Debt Tracker'!$T$5:$AE$29,3,AC295-1)&gt;0.01))*('Recurring Items'!$H$10&lt;&gt;"Skip")*(DAY(AB295)='Recurring Items'!$F$10)*IFERROR(N('Recurring Items'!$D$10),0)+(IF(AC295=1,'Debt Tracker'!$P$8&gt;0.01,INDEX('Debt Tracker'!$T$5:$AE$29,4,AC295-1)&gt;0.01))*('Recurring Items'!$H$11&lt;&gt;"Skip")*(DAY(AB295)='Recurring Items'!$F$11)*IFERROR(N('Recurring Items'!$D$11),0)+(IF(AC295=1,'Debt Tracker'!$P$9&gt;0.01,INDEX('Debt Tracker'!$T$5:$AE$29,5,AC295-1)&gt;0.01))*('Recurring Items'!$H$12&lt;&gt;"Skip")*(DAY(AB295)='Recurring Items'!$F$12)*IFERROR(N('Recurring Items'!$D$12),0)+(IF(AC295=1,'Debt Tracker'!$P$10&gt;0.01,INDEX('Debt Tracker'!$T$5:$AE$29,6,AC295-1)&gt;0.01))*('Recurring Items'!$H$13&lt;&gt;"Skip")*(DAY(AB295)='Recurring Items'!$F$13)*IFERROR(N('Recurring Items'!$D$13),0)+(IF(AC295=1,'Debt Tracker'!$P$11&gt;0.01,INDEX('Debt Tracker'!$T$5:$AE$29,7,AC295-1)&gt;0.01))*('Recurring Items'!$H$14&lt;&gt;"Skip")*(DAY(AB295)='Recurring Items'!$F$14)*IFERROR(N('Recurring Items'!$D$14),0)+(IF(AC295=1,'Debt Tracker'!$P$12&gt;0.01,INDEX('Debt Tracker'!$T$5:$AE$29,8,AC295-1)&gt;0.01))*('Recurring Items'!$H$15&lt;&gt;"Skip")*(DAY(AB295)='Recurring Items'!$F$15)*IFERROR(N('Recurring Items'!$D$15),0)+(IF(AC295=1,'Debt Tracker'!$P$13&gt;0.01,INDEX('Debt Tracker'!$T$5:$AE$29,9,AC295-1)&gt;0.01))*('Recurring Items'!$H$16&lt;&gt;"Skip")*(DAY(AB295)='Recurring Items'!$F$16)*IFERROR(N('Recurring Items'!$D$16),0)+(IF(AC295=1,'Debt Tracker'!$P$14&gt;0.01,INDEX('Debt Tracker'!$T$5:$AE$29,10,AC295-1)&gt;0.01))*('Recurring Items'!$H$17&lt;&gt;"Skip")*(DAY(AB295)='Recurring Items'!$F$17)*IFERROR(N('Recurring Items'!$D$17),0)+(IF(AC295=1,'Debt Tracker'!$P$15&gt;0.01,INDEX('Debt Tracker'!$T$5:$AE$29,11,AC295-1)&gt;0.01))*('Recurring Items'!$H$18&lt;&gt;"Skip")*(DAY(AB295)='Recurring Items'!$F$18)*IFERROR(N('Recurring Items'!$D$18),0)+(IF(AC295=1,'Debt Tracker'!$P$16&gt;0.01,INDEX('Debt Tracker'!$T$5:$AE$29,12,AC295-1)&gt;0.01))*('Recurring Items'!$H$19&lt;&gt;"Skip")*(DAY(AB295)='Recurring Items'!$F$19)*IFERROR(N('Recurring Items'!$D$19),0)+(IF(AC295=1,'Debt Tracker'!$P$17&gt;0.01,INDEX('Debt Tracker'!$T$5:$AE$29,13,AC295-1)&gt;0.01))*('Recurring Items'!$H$20&lt;&gt;"Skip")*(DAY(AB295)='Recurring Items'!$F$20)*IFERROR(N('Recurring Items'!$D$20),0)+(IF(AC295=1,'Debt Tracker'!$P$18&gt;0.01,INDEX('Debt Tracker'!$T$5:$AE$29,14,AC295-1)&gt;0.01))*('Recurring Items'!$H$21&lt;&gt;"Skip")*(DAY(AB295)='Recurring Items'!$F$21)*IFERROR(N('Recurring Items'!$D$21),0)+(IF(AC295=1,'Debt Tracker'!$P$19&gt;0.01,INDEX('Debt Tracker'!$T$5:$AE$29,15,AC295-1)&gt;0.01))*('Recurring Items'!$H$22&lt;&gt;"Skip")*(DAY(AB295)='Recurring Items'!$F$22)*IFERROR(N('Recurring Items'!$D$22),0)+(IF(AC295=1,'Debt Tracker'!$P$20&gt;0.01,INDEX('Debt Tracker'!$T$5:$AE$29,16,AC295-1)&gt;0.01))*('Recurring Items'!$H$23&lt;&gt;"Skip")*(DAY(AB295)='Recurring Items'!$F$23)*IFERROR(N('Recurring Items'!$D$23),0)+(IF(AC295=1,'Debt Tracker'!$P$21&gt;0.01,INDEX('Debt Tracker'!$T$5:$AE$29,17,AC295-1)&gt;0.01))*('Recurring Items'!$H$24&lt;&gt;"Skip")*(DAY(AB295)='Recurring Items'!$F$24)*IFERROR(N('Recurring Items'!$D$24),0)+(IF(AC295=1,'Debt Tracker'!$P$22&gt;0.01,INDEX('Debt Tracker'!$T$5:$AE$29,18,AC295-1)&gt;0.01))*('Recurring Items'!$H$25&lt;&gt;"Skip")*(DAY(AB295)='Recurring Items'!$F$25)*IFERROR(N('Recurring Items'!$D$25),0)+(IF(AC295=1,'Debt Tracker'!$P$23&gt;0.01,INDEX('Debt Tracker'!$T$5:$AE$29,19,AC295-1)&gt;0.01))*('Recurring Items'!$H$26&lt;&gt;"Skip")*(DAY(AB295)='Recurring Items'!$F$26)*IFERROR(N('Recurring Items'!$D$26),0)+(IF(AC295=1,'Debt Tracker'!$P$24&gt;0.01,INDEX('Debt Tracker'!$T$5:$AE$29,20,AC295-1)&gt;0.01))*('Recurring Items'!$H$27&lt;&gt;"Skip")*(DAY(AB295)='Recurring Items'!$F$27)*IFERROR(N('Recurring Items'!$D$27),0)+(IF(AC295=1,'Debt Tracker'!$P$25&gt;0.01,INDEX('Debt Tracker'!$T$5:$AE$29,21,AC295-1)&gt;0.01))*('Recurring Items'!$H$28&lt;&gt;"Skip")*(DAY(AB295)='Recurring Items'!$F$28)*IFERROR(N('Recurring Items'!$D$28),0)+(IF(AC295=1,'Debt Tracker'!$P$26&gt;0.01,INDEX('Debt Tracker'!$T$5:$AE$29,22,AC295-1)&gt;0.01))*('Recurring Items'!$H$29&lt;&gt;"Skip")*(DAY(AB295)='Recurring Items'!$F$29)*IFERROR(N('Recurring Items'!$D$29),0)+(IF(AC295=1,'Debt Tracker'!$P$27&gt;0.01,INDEX('Debt Tracker'!$T$5:$AE$29,23,AC295-1)&gt;0.01))*('Recurring Items'!$H$30&lt;&gt;"Skip")*(DAY(AB295)='Recurring Items'!$F$30)*IFERROR(N('Recurring Items'!$D$30),0)+(IF(AC295=1,'Debt Tracker'!$P$28&gt;0.01,INDEX('Debt Tracker'!$T$5:$AE$29,24,AC295-1)&gt;0.01))*('Recurring Items'!$H$31&lt;&gt;"Skip")*(DAY(AB295)='Recurring Items'!$F$31)*IFERROR(N('Recurring Items'!$D$31),0)+(IF(AC295=1,'Debt Tracker'!$P$29&gt;0.01,INDEX('Debt Tracker'!$T$5:$AE$29,25,AC295-1)&gt;0.01))*('Recurring Items'!$H$32&lt;&gt;"Skip")*(DAY(AB295)='Recurring Items'!$F$32)*IFERROR(N('Recurring Items'!$D$32),0)</f>
        <v>0</v>
      </c>
      <c r="AG295" s="1" t="n">
        <f aca="false">AD295-AE295-AF295</f>
        <v>0</v>
      </c>
      <c r="AH295" s="1" t="n">
        <f aca="false">AH294+AG295</f>
        <v>6565.57</v>
      </c>
    </row>
    <row r="296" customFormat="false" ht="15" hidden="false" customHeight="true" outlineLevel="0" collapsed="false">
      <c r="AA296" s="1" t="n">
        <v>96</v>
      </c>
      <c r="AB296" s="145" t="n">
        <f aca="false">$D$3+96</f>
        <v>46239</v>
      </c>
      <c r="AC296" s="1" t="n">
        <f aca="false">MIN(12,1+DATEDIF($D$3,AB296,"M"))</f>
        <v>4</v>
      </c>
      <c r="AD296" s="1" t="n">
        <f aca="false">SUMPRODUCT(('Recurring Items'!$C$6:$C$56="Income")*('Recurring Items'!$H$6:$H$56&lt;&gt;"Skip")*IFERROR(N('Recurring Items'!$D$6:$D$56),0)*(('Recurring Items'!$E$6:$E$56="Monthly")*(DAY(AB296)='Recurring Items'!$F$6:$F$56)+('Recurring Items'!$E$6:$E$56="Bi-weekly")*(WEEKDAY(AB296)=IFERROR(WEEKDAY('Recurring Items'!$G$6:$G$56),0))*(MOD(AB296-IFERROR('Recurring Items'!$G$6:$G$56,0),14)=0)*(AB296&gt;=IFERROR('Recurring Items'!$G$6:$G$56,9000000000))+('Recurring Items'!$E$6:$E$56="Weekly")*(WEEKDAY(AB296)=IFERROR(WEEKDAY('Recurring Items'!$G$6:$G$56),0))*(AB296&gt;=IFERROR('Recurring Items'!$G$6:$G$56,9000000000))+('Recurring Items'!$E$6:$E$56="One-time")*(AB296='Recurring Items'!$G$6:$G$56)))</f>
        <v>0</v>
      </c>
      <c r="AE296" s="1" t="n">
        <f aca="false">SUMPRODUCT(('Recurring Items'!$C$6:$C$56="Expense")*('Recurring Items'!$H$6:$H$56&lt;&gt;"Skip")*IFERROR(N('Recurring Items'!$D$6:$D$56),0)*(('Recurring Items'!$E$6:$E$56="Monthly")*(DAY(AB296)='Recurring Items'!$F$6:$F$56)+('Recurring Items'!$E$6:$E$56="Bi-weekly")*(WEEKDAY(AB296)=IFERROR(WEEKDAY('Recurring Items'!$G$6:$G$56),0))*(MOD(AB296-IFERROR('Recurring Items'!$G$6:$G$56,0),14)=0)*(AB296&gt;=IFERROR('Recurring Items'!$G$6:$G$56,9000000000))+('Recurring Items'!$E$6:$E$56="Weekly")*(WEEKDAY(AB296)=IFERROR(WEEKDAY('Recurring Items'!$G$6:$G$56),0))*(AB296&gt;=IFERROR('Recurring Items'!$G$6:$G$56,9000000000))+('Recurring Items'!$E$6:$E$56="One-time")*(AB296='Recurring Items'!$G$6:$G$56)))</f>
        <v>51.01</v>
      </c>
      <c r="AF296" s="1" t="n">
        <f aca="false">(IF(AC296=1,'Debt Tracker'!$P$5&gt;0.01,INDEX('Debt Tracker'!$T$5:$AE$29,1,AC296-1)&gt;0.01))*('Recurring Items'!$H$8&lt;&gt;"Skip")*(DAY(AB296)='Recurring Items'!$F$8)*IFERROR(N('Recurring Items'!$D$8),0)+(IF(AC296=1,'Debt Tracker'!$P$6&gt;0.01,INDEX('Debt Tracker'!$T$5:$AE$29,2,AC296-1)&gt;0.01))*('Recurring Items'!$H$9&lt;&gt;"Skip")*(DAY(AB296)='Recurring Items'!$F$9)*IFERROR(N('Recurring Items'!$D$9),0)+(IF(AC296=1,'Debt Tracker'!$P$7&gt;0.01,INDEX('Debt Tracker'!$T$5:$AE$29,3,AC296-1)&gt;0.01))*('Recurring Items'!$H$10&lt;&gt;"Skip")*(DAY(AB296)='Recurring Items'!$F$10)*IFERROR(N('Recurring Items'!$D$10),0)+(IF(AC296=1,'Debt Tracker'!$P$8&gt;0.01,INDEX('Debt Tracker'!$T$5:$AE$29,4,AC296-1)&gt;0.01))*('Recurring Items'!$H$11&lt;&gt;"Skip")*(DAY(AB296)='Recurring Items'!$F$11)*IFERROR(N('Recurring Items'!$D$11),0)+(IF(AC296=1,'Debt Tracker'!$P$9&gt;0.01,INDEX('Debt Tracker'!$T$5:$AE$29,5,AC296-1)&gt;0.01))*('Recurring Items'!$H$12&lt;&gt;"Skip")*(DAY(AB296)='Recurring Items'!$F$12)*IFERROR(N('Recurring Items'!$D$12),0)+(IF(AC296=1,'Debt Tracker'!$P$10&gt;0.01,INDEX('Debt Tracker'!$T$5:$AE$29,6,AC296-1)&gt;0.01))*('Recurring Items'!$H$13&lt;&gt;"Skip")*(DAY(AB296)='Recurring Items'!$F$13)*IFERROR(N('Recurring Items'!$D$13),0)+(IF(AC296=1,'Debt Tracker'!$P$11&gt;0.01,INDEX('Debt Tracker'!$T$5:$AE$29,7,AC296-1)&gt;0.01))*('Recurring Items'!$H$14&lt;&gt;"Skip")*(DAY(AB296)='Recurring Items'!$F$14)*IFERROR(N('Recurring Items'!$D$14),0)+(IF(AC296=1,'Debt Tracker'!$P$12&gt;0.01,INDEX('Debt Tracker'!$T$5:$AE$29,8,AC296-1)&gt;0.01))*('Recurring Items'!$H$15&lt;&gt;"Skip")*(DAY(AB296)='Recurring Items'!$F$15)*IFERROR(N('Recurring Items'!$D$15),0)+(IF(AC296=1,'Debt Tracker'!$P$13&gt;0.01,INDEX('Debt Tracker'!$T$5:$AE$29,9,AC296-1)&gt;0.01))*('Recurring Items'!$H$16&lt;&gt;"Skip")*(DAY(AB296)='Recurring Items'!$F$16)*IFERROR(N('Recurring Items'!$D$16),0)+(IF(AC296=1,'Debt Tracker'!$P$14&gt;0.01,INDEX('Debt Tracker'!$T$5:$AE$29,10,AC296-1)&gt;0.01))*('Recurring Items'!$H$17&lt;&gt;"Skip")*(DAY(AB296)='Recurring Items'!$F$17)*IFERROR(N('Recurring Items'!$D$17),0)+(IF(AC296=1,'Debt Tracker'!$P$15&gt;0.01,INDEX('Debt Tracker'!$T$5:$AE$29,11,AC296-1)&gt;0.01))*('Recurring Items'!$H$18&lt;&gt;"Skip")*(DAY(AB296)='Recurring Items'!$F$18)*IFERROR(N('Recurring Items'!$D$18),0)+(IF(AC296=1,'Debt Tracker'!$P$16&gt;0.01,INDEX('Debt Tracker'!$T$5:$AE$29,12,AC296-1)&gt;0.01))*('Recurring Items'!$H$19&lt;&gt;"Skip")*(DAY(AB296)='Recurring Items'!$F$19)*IFERROR(N('Recurring Items'!$D$19),0)+(IF(AC296=1,'Debt Tracker'!$P$17&gt;0.01,INDEX('Debt Tracker'!$T$5:$AE$29,13,AC296-1)&gt;0.01))*('Recurring Items'!$H$20&lt;&gt;"Skip")*(DAY(AB296)='Recurring Items'!$F$20)*IFERROR(N('Recurring Items'!$D$20),0)+(IF(AC296=1,'Debt Tracker'!$P$18&gt;0.01,INDEX('Debt Tracker'!$T$5:$AE$29,14,AC296-1)&gt;0.01))*('Recurring Items'!$H$21&lt;&gt;"Skip")*(DAY(AB296)='Recurring Items'!$F$21)*IFERROR(N('Recurring Items'!$D$21),0)+(IF(AC296=1,'Debt Tracker'!$P$19&gt;0.01,INDEX('Debt Tracker'!$T$5:$AE$29,15,AC296-1)&gt;0.01))*('Recurring Items'!$H$22&lt;&gt;"Skip")*(DAY(AB296)='Recurring Items'!$F$22)*IFERROR(N('Recurring Items'!$D$22),0)+(IF(AC296=1,'Debt Tracker'!$P$20&gt;0.01,INDEX('Debt Tracker'!$T$5:$AE$29,16,AC296-1)&gt;0.01))*('Recurring Items'!$H$23&lt;&gt;"Skip")*(DAY(AB296)='Recurring Items'!$F$23)*IFERROR(N('Recurring Items'!$D$23),0)+(IF(AC296=1,'Debt Tracker'!$P$21&gt;0.01,INDEX('Debt Tracker'!$T$5:$AE$29,17,AC296-1)&gt;0.01))*('Recurring Items'!$H$24&lt;&gt;"Skip")*(DAY(AB296)='Recurring Items'!$F$24)*IFERROR(N('Recurring Items'!$D$24),0)+(IF(AC296=1,'Debt Tracker'!$P$22&gt;0.01,INDEX('Debt Tracker'!$T$5:$AE$29,18,AC296-1)&gt;0.01))*('Recurring Items'!$H$25&lt;&gt;"Skip")*(DAY(AB296)='Recurring Items'!$F$25)*IFERROR(N('Recurring Items'!$D$25),0)+(IF(AC296=1,'Debt Tracker'!$P$23&gt;0.01,INDEX('Debt Tracker'!$T$5:$AE$29,19,AC296-1)&gt;0.01))*('Recurring Items'!$H$26&lt;&gt;"Skip")*(DAY(AB296)='Recurring Items'!$F$26)*IFERROR(N('Recurring Items'!$D$26),0)+(IF(AC296=1,'Debt Tracker'!$P$24&gt;0.01,INDEX('Debt Tracker'!$T$5:$AE$29,20,AC296-1)&gt;0.01))*('Recurring Items'!$H$27&lt;&gt;"Skip")*(DAY(AB296)='Recurring Items'!$F$27)*IFERROR(N('Recurring Items'!$D$27),0)+(IF(AC296=1,'Debt Tracker'!$P$25&gt;0.01,INDEX('Debt Tracker'!$T$5:$AE$29,21,AC296-1)&gt;0.01))*('Recurring Items'!$H$28&lt;&gt;"Skip")*(DAY(AB296)='Recurring Items'!$F$28)*IFERROR(N('Recurring Items'!$D$28),0)+(IF(AC296=1,'Debt Tracker'!$P$26&gt;0.01,INDEX('Debt Tracker'!$T$5:$AE$29,22,AC296-1)&gt;0.01))*('Recurring Items'!$H$29&lt;&gt;"Skip")*(DAY(AB296)='Recurring Items'!$F$29)*IFERROR(N('Recurring Items'!$D$29),0)+(IF(AC296=1,'Debt Tracker'!$P$27&gt;0.01,INDEX('Debt Tracker'!$T$5:$AE$29,23,AC296-1)&gt;0.01))*('Recurring Items'!$H$30&lt;&gt;"Skip")*(DAY(AB296)='Recurring Items'!$F$30)*IFERROR(N('Recurring Items'!$D$30),0)+(IF(AC296=1,'Debt Tracker'!$P$28&gt;0.01,INDEX('Debt Tracker'!$T$5:$AE$29,24,AC296-1)&gt;0.01))*('Recurring Items'!$H$31&lt;&gt;"Skip")*(DAY(AB296)='Recurring Items'!$F$31)*IFERROR(N('Recurring Items'!$D$31),0)+(IF(AC296=1,'Debt Tracker'!$P$29&gt;0.01,INDEX('Debt Tracker'!$T$5:$AE$29,25,AC296-1)&gt;0.01))*('Recurring Items'!$H$32&lt;&gt;"Skip")*(DAY(AB296)='Recurring Items'!$F$32)*IFERROR(N('Recurring Items'!$D$32),0)</f>
        <v>0</v>
      </c>
      <c r="AG296" s="1" t="n">
        <f aca="false">AD296-AE296-AF296</f>
        <v>-51.01</v>
      </c>
      <c r="AH296" s="1" t="n">
        <f aca="false">AH295+AG296</f>
        <v>6514.56</v>
      </c>
    </row>
    <row r="297" customFormat="false" ht="15" hidden="false" customHeight="true" outlineLevel="0" collapsed="false">
      <c r="AA297" s="1" t="n">
        <v>97</v>
      </c>
      <c r="AB297" s="145" t="n">
        <f aca="false">$D$3+97</f>
        <v>46240</v>
      </c>
      <c r="AC297" s="1" t="n">
        <f aca="false">MIN(12,1+DATEDIF($D$3,AB297,"M"))</f>
        <v>4</v>
      </c>
      <c r="AD297" s="1" t="n">
        <f aca="false">SUMPRODUCT(('Recurring Items'!$C$6:$C$56="Income")*('Recurring Items'!$H$6:$H$56&lt;&gt;"Skip")*IFERROR(N('Recurring Items'!$D$6:$D$56),0)*(('Recurring Items'!$E$6:$E$56="Monthly")*(DAY(AB297)='Recurring Items'!$F$6:$F$56)+('Recurring Items'!$E$6:$E$56="Bi-weekly")*(WEEKDAY(AB297)=IFERROR(WEEKDAY('Recurring Items'!$G$6:$G$56),0))*(MOD(AB297-IFERROR('Recurring Items'!$G$6:$G$56,0),14)=0)*(AB297&gt;=IFERROR('Recurring Items'!$G$6:$G$56,9000000000))+('Recurring Items'!$E$6:$E$56="Weekly")*(WEEKDAY(AB297)=IFERROR(WEEKDAY('Recurring Items'!$G$6:$G$56),0))*(AB297&gt;=IFERROR('Recurring Items'!$G$6:$G$56,9000000000))+('Recurring Items'!$E$6:$E$56="One-time")*(AB297='Recurring Items'!$G$6:$G$56)))</f>
        <v>0</v>
      </c>
      <c r="AE297" s="1" t="n">
        <f aca="false">SUMPRODUCT(('Recurring Items'!$C$6:$C$56="Expense")*('Recurring Items'!$H$6:$H$56&lt;&gt;"Skip")*IFERROR(N('Recurring Items'!$D$6:$D$56),0)*(('Recurring Items'!$E$6:$E$56="Monthly")*(DAY(AB297)='Recurring Items'!$F$6:$F$56)+('Recurring Items'!$E$6:$E$56="Bi-weekly")*(WEEKDAY(AB297)=IFERROR(WEEKDAY('Recurring Items'!$G$6:$G$56),0))*(MOD(AB297-IFERROR('Recurring Items'!$G$6:$G$56,0),14)=0)*(AB297&gt;=IFERROR('Recurring Items'!$G$6:$G$56,9000000000))+('Recurring Items'!$E$6:$E$56="Weekly")*(WEEKDAY(AB297)=IFERROR(WEEKDAY('Recurring Items'!$G$6:$G$56),0))*(AB297&gt;=IFERROR('Recurring Items'!$G$6:$G$56,9000000000))+('Recurring Items'!$E$6:$E$56="One-time")*(AB297='Recurring Items'!$G$6:$G$56)))</f>
        <v>651.55</v>
      </c>
      <c r="AF297" s="1" t="n">
        <f aca="false">(IF(AC297=1,'Debt Tracker'!$P$5&gt;0.01,INDEX('Debt Tracker'!$T$5:$AE$29,1,AC297-1)&gt;0.01))*('Recurring Items'!$H$8&lt;&gt;"Skip")*(DAY(AB297)='Recurring Items'!$F$8)*IFERROR(N('Recurring Items'!$D$8),0)+(IF(AC297=1,'Debt Tracker'!$P$6&gt;0.01,INDEX('Debt Tracker'!$T$5:$AE$29,2,AC297-1)&gt;0.01))*('Recurring Items'!$H$9&lt;&gt;"Skip")*(DAY(AB297)='Recurring Items'!$F$9)*IFERROR(N('Recurring Items'!$D$9),0)+(IF(AC297=1,'Debt Tracker'!$P$7&gt;0.01,INDEX('Debt Tracker'!$T$5:$AE$29,3,AC297-1)&gt;0.01))*('Recurring Items'!$H$10&lt;&gt;"Skip")*(DAY(AB297)='Recurring Items'!$F$10)*IFERROR(N('Recurring Items'!$D$10),0)+(IF(AC297=1,'Debt Tracker'!$P$8&gt;0.01,INDEX('Debt Tracker'!$T$5:$AE$29,4,AC297-1)&gt;0.01))*('Recurring Items'!$H$11&lt;&gt;"Skip")*(DAY(AB297)='Recurring Items'!$F$11)*IFERROR(N('Recurring Items'!$D$11),0)+(IF(AC297=1,'Debt Tracker'!$P$9&gt;0.01,INDEX('Debt Tracker'!$T$5:$AE$29,5,AC297-1)&gt;0.01))*('Recurring Items'!$H$12&lt;&gt;"Skip")*(DAY(AB297)='Recurring Items'!$F$12)*IFERROR(N('Recurring Items'!$D$12),0)+(IF(AC297=1,'Debt Tracker'!$P$10&gt;0.01,INDEX('Debt Tracker'!$T$5:$AE$29,6,AC297-1)&gt;0.01))*('Recurring Items'!$H$13&lt;&gt;"Skip")*(DAY(AB297)='Recurring Items'!$F$13)*IFERROR(N('Recurring Items'!$D$13),0)+(IF(AC297=1,'Debt Tracker'!$P$11&gt;0.01,INDEX('Debt Tracker'!$T$5:$AE$29,7,AC297-1)&gt;0.01))*('Recurring Items'!$H$14&lt;&gt;"Skip")*(DAY(AB297)='Recurring Items'!$F$14)*IFERROR(N('Recurring Items'!$D$14),0)+(IF(AC297=1,'Debt Tracker'!$P$12&gt;0.01,INDEX('Debt Tracker'!$T$5:$AE$29,8,AC297-1)&gt;0.01))*('Recurring Items'!$H$15&lt;&gt;"Skip")*(DAY(AB297)='Recurring Items'!$F$15)*IFERROR(N('Recurring Items'!$D$15),0)+(IF(AC297=1,'Debt Tracker'!$P$13&gt;0.01,INDEX('Debt Tracker'!$T$5:$AE$29,9,AC297-1)&gt;0.01))*('Recurring Items'!$H$16&lt;&gt;"Skip")*(DAY(AB297)='Recurring Items'!$F$16)*IFERROR(N('Recurring Items'!$D$16),0)+(IF(AC297=1,'Debt Tracker'!$P$14&gt;0.01,INDEX('Debt Tracker'!$T$5:$AE$29,10,AC297-1)&gt;0.01))*('Recurring Items'!$H$17&lt;&gt;"Skip")*(DAY(AB297)='Recurring Items'!$F$17)*IFERROR(N('Recurring Items'!$D$17),0)+(IF(AC297=1,'Debt Tracker'!$P$15&gt;0.01,INDEX('Debt Tracker'!$T$5:$AE$29,11,AC297-1)&gt;0.01))*('Recurring Items'!$H$18&lt;&gt;"Skip")*(DAY(AB297)='Recurring Items'!$F$18)*IFERROR(N('Recurring Items'!$D$18),0)+(IF(AC297=1,'Debt Tracker'!$P$16&gt;0.01,INDEX('Debt Tracker'!$T$5:$AE$29,12,AC297-1)&gt;0.01))*('Recurring Items'!$H$19&lt;&gt;"Skip")*(DAY(AB297)='Recurring Items'!$F$19)*IFERROR(N('Recurring Items'!$D$19),0)+(IF(AC297=1,'Debt Tracker'!$P$17&gt;0.01,INDEX('Debt Tracker'!$T$5:$AE$29,13,AC297-1)&gt;0.01))*('Recurring Items'!$H$20&lt;&gt;"Skip")*(DAY(AB297)='Recurring Items'!$F$20)*IFERROR(N('Recurring Items'!$D$20),0)+(IF(AC297=1,'Debt Tracker'!$P$18&gt;0.01,INDEX('Debt Tracker'!$T$5:$AE$29,14,AC297-1)&gt;0.01))*('Recurring Items'!$H$21&lt;&gt;"Skip")*(DAY(AB297)='Recurring Items'!$F$21)*IFERROR(N('Recurring Items'!$D$21),0)+(IF(AC297=1,'Debt Tracker'!$P$19&gt;0.01,INDEX('Debt Tracker'!$T$5:$AE$29,15,AC297-1)&gt;0.01))*('Recurring Items'!$H$22&lt;&gt;"Skip")*(DAY(AB297)='Recurring Items'!$F$22)*IFERROR(N('Recurring Items'!$D$22),0)+(IF(AC297=1,'Debt Tracker'!$P$20&gt;0.01,INDEX('Debt Tracker'!$T$5:$AE$29,16,AC297-1)&gt;0.01))*('Recurring Items'!$H$23&lt;&gt;"Skip")*(DAY(AB297)='Recurring Items'!$F$23)*IFERROR(N('Recurring Items'!$D$23),0)+(IF(AC297=1,'Debt Tracker'!$P$21&gt;0.01,INDEX('Debt Tracker'!$T$5:$AE$29,17,AC297-1)&gt;0.01))*('Recurring Items'!$H$24&lt;&gt;"Skip")*(DAY(AB297)='Recurring Items'!$F$24)*IFERROR(N('Recurring Items'!$D$24),0)+(IF(AC297=1,'Debt Tracker'!$P$22&gt;0.01,INDEX('Debt Tracker'!$T$5:$AE$29,18,AC297-1)&gt;0.01))*('Recurring Items'!$H$25&lt;&gt;"Skip")*(DAY(AB297)='Recurring Items'!$F$25)*IFERROR(N('Recurring Items'!$D$25),0)+(IF(AC297=1,'Debt Tracker'!$P$23&gt;0.01,INDEX('Debt Tracker'!$T$5:$AE$29,19,AC297-1)&gt;0.01))*('Recurring Items'!$H$26&lt;&gt;"Skip")*(DAY(AB297)='Recurring Items'!$F$26)*IFERROR(N('Recurring Items'!$D$26),0)+(IF(AC297=1,'Debt Tracker'!$P$24&gt;0.01,INDEX('Debt Tracker'!$T$5:$AE$29,20,AC297-1)&gt;0.01))*('Recurring Items'!$H$27&lt;&gt;"Skip")*(DAY(AB297)='Recurring Items'!$F$27)*IFERROR(N('Recurring Items'!$D$27),0)+(IF(AC297=1,'Debt Tracker'!$P$25&gt;0.01,INDEX('Debt Tracker'!$T$5:$AE$29,21,AC297-1)&gt;0.01))*('Recurring Items'!$H$28&lt;&gt;"Skip")*(DAY(AB297)='Recurring Items'!$F$28)*IFERROR(N('Recurring Items'!$D$28),0)+(IF(AC297=1,'Debt Tracker'!$P$26&gt;0.01,INDEX('Debt Tracker'!$T$5:$AE$29,22,AC297-1)&gt;0.01))*('Recurring Items'!$H$29&lt;&gt;"Skip")*(DAY(AB297)='Recurring Items'!$F$29)*IFERROR(N('Recurring Items'!$D$29),0)+(IF(AC297=1,'Debt Tracker'!$P$27&gt;0.01,INDEX('Debt Tracker'!$T$5:$AE$29,23,AC297-1)&gt;0.01))*('Recurring Items'!$H$30&lt;&gt;"Skip")*(DAY(AB297)='Recurring Items'!$F$30)*IFERROR(N('Recurring Items'!$D$30),0)+(IF(AC297=1,'Debt Tracker'!$P$28&gt;0.01,INDEX('Debt Tracker'!$T$5:$AE$29,24,AC297-1)&gt;0.01))*('Recurring Items'!$H$31&lt;&gt;"Skip")*(DAY(AB297)='Recurring Items'!$F$31)*IFERROR(N('Recurring Items'!$D$31),0)+(IF(AC297=1,'Debt Tracker'!$P$29&gt;0.01,INDEX('Debt Tracker'!$T$5:$AE$29,25,AC297-1)&gt;0.01))*('Recurring Items'!$H$32&lt;&gt;"Skip")*(DAY(AB297)='Recurring Items'!$F$32)*IFERROR(N('Recurring Items'!$D$32),0)</f>
        <v>259.86</v>
      </c>
      <c r="AG297" s="1" t="n">
        <f aca="false">AD297-AE297-AF297</f>
        <v>-911.41</v>
      </c>
      <c r="AH297" s="1" t="n">
        <f aca="false">AH296+AG297</f>
        <v>5603.15</v>
      </c>
    </row>
    <row r="298" customFormat="false" ht="15" hidden="false" customHeight="true" outlineLevel="0" collapsed="false">
      <c r="AA298" s="1" t="n">
        <v>98</v>
      </c>
      <c r="AB298" s="145" t="n">
        <f aca="false">$D$3+98</f>
        <v>46241</v>
      </c>
      <c r="AC298" s="1" t="n">
        <f aca="false">MIN(12,1+DATEDIF($D$3,AB298,"M"))</f>
        <v>4</v>
      </c>
      <c r="AD298" s="1" t="n">
        <f aca="false">SUMPRODUCT(('Recurring Items'!$C$6:$C$56="Income")*('Recurring Items'!$H$6:$H$56&lt;&gt;"Skip")*IFERROR(N('Recurring Items'!$D$6:$D$56),0)*(('Recurring Items'!$E$6:$E$56="Monthly")*(DAY(AB298)='Recurring Items'!$F$6:$F$56)+('Recurring Items'!$E$6:$E$56="Bi-weekly")*(WEEKDAY(AB298)=IFERROR(WEEKDAY('Recurring Items'!$G$6:$G$56),0))*(MOD(AB298-IFERROR('Recurring Items'!$G$6:$G$56,0),14)=0)*(AB298&gt;=IFERROR('Recurring Items'!$G$6:$G$56,9000000000))+('Recurring Items'!$E$6:$E$56="Weekly")*(WEEKDAY(AB298)=IFERROR(WEEKDAY('Recurring Items'!$G$6:$G$56),0))*(AB298&gt;=IFERROR('Recurring Items'!$G$6:$G$56,9000000000))+('Recurring Items'!$E$6:$E$56="One-time")*(AB298='Recurring Items'!$G$6:$G$56)))</f>
        <v>3819.79</v>
      </c>
      <c r="AE298" s="1" t="n">
        <f aca="false">SUMPRODUCT(('Recurring Items'!$C$6:$C$56="Expense")*('Recurring Items'!$H$6:$H$56&lt;&gt;"Skip")*IFERROR(N('Recurring Items'!$D$6:$D$56),0)*(('Recurring Items'!$E$6:$E$56="Monthly")*(DAY(AB298)='Recurring Items'!$F$6:$F$56)+('Recurring Items'!$E$6:$E$56="Bi-weekly")*(WEEKDAY(AB298)=IFERROR(WEEKDAY('Recurring Items'!$G$6:$G$56),0))*(MOD(AB298-IFERROR('Recurring Items'!$G$6:$G$56,0),14)=0)*(AB298&gt;=IFERROR('Recurring Items'!$G$6:$G$56,9000000000))+('Recurring Items'!$E$6:$E$56="Weekly")*(WEEKDAY(AB298)=IFERROR(WEEKDAY('Recurring Items'!$G$6:$G$56),0))*(AB298&gt;=IFERROR('Recurring Items'!$G$6:$G$56,9000000000))+('Recurring Items'!$E$6:$E$56="One-time")*(AB298='Recurring Items'!$G$6:$G$56)))</f>
        <v>1132.8</v>
      </c>
      <c r="AF298" s="1" t="n">
        <f aca="false">(IF(AC298=1,'Debt Tracker'!$P$5&gt;0.01,INDEX('Debt Tracker'!$T$5:$AE$29,1,AC298-1)&gt;0.01))*('Recurring Items'!$H$8&lt;&gt;"Skip")*(DAY(AB298)='Recurring Items'!$F$8)*IFERROR(N('Recurring Items'!$D$8),0)+(IF(AC298=1,'Debt Tracker'!$P$6&gt;0.01,INDEX('Debt Tracker'!$T$5:$AE$29,2,AC298-1)&gt;0.01))*('Recurring Items'!$H$9&lt;&gt;"Skip")*(DAY(AB298)='Recurring Items'!$F$9)*IFERROR(N('Recurring Items'!$D$9),0)+(IF(AC298=1,'Debt Tracker'!$P$7&gt;0.01,INDEX('Debt Tracker'!$T$5:$AE$29,3,AC298-1)&gt;0.01))*('Recurring Items'!$H$10&lt;&gt;"Skip")*(DAY(AB298)='Recurring Items'!$F$10)*IFERROR(N('Recurring Items'!$D$10),0)+(IF(AC298=1,'Debt Tracker'!$P$8&gt;0.01,INDEX('Debt Tracker'!$T$5:$AE$29,4,AC298-1)&gt;0.01))*('Recurring Items'!$H$11&lt;&gt;"Skip")*(DAY(AB298)='Recurring Items'!$F$11)*IFERROR(N('Recurring Items'!$D$11),0)+(IF(AC298=1,'Debt Tracker'!$P$9&gt;0.01,INDEX('Debt Tracker'!$T$5:$AE$29,5,AC298-1)&gt;0.01))*('Recurring Items'!$H$12&lt;&gt;"Skip")*(DAY(AB298)='Recurring Items'!$F$12)*IFERROR(N('Recurring Items'!$D$12),0)+(IF(AC298=1,'Debt Tracker'!$P$10&gt;0.01,INDEX('Debt Tracker'!$T$5:$AE$29,6,AC298-1)&gt;0.01))*('Recurring Items'!$H$13&lt;&gt;"Skip")*(DAY(AB298)='Recurring Items'!$F$13)*IFERROR(N('Recurring Items'!$D$13),0)+(IF(AC298=1,'Debt Tracker'!$P$11&gt;0.01,INDEX('Debt Tracker'!$T$5:$AE$29,7,AC298-1)&gt;0.01))*('Recurring Items'!$H$14&lt;&gt;"Skip")*(DAY(AB298)='Recurring Items'!$F$14)*IFERROR(N('Recurring Items'!$D$14),0)+(IF(AC298=1,'Debt Tracker'!$P$12&gt;0.01,INDEX('Debt Tracker'!$T$5:$AE$29,8,AC298-1)&gt;0.01))*('Recurring Items'!$H$15&lt;&gt;"Skip")*(DAY(AB298)='Recurring Items'!$F$15)*IFERROR(N('Recurring Items'!$D$15),0)+(IF(AC298=1,'Debt Tracker'!$P$13&gt;0.01,INDEX('Debt Tracker'!$T$5:$AE$29,9,AC298-1)&gt;0.01))*('Recurring Items'!$H$16&lt;&gt;"Skip")*(DAY(AB298)='Recurring Items'!$F$16)*IFERROR(N('Recurring Items'!$D$16),0)+(IF(AC298=1,'Debt Tracker'!$P$14&gt;0.01,INDEX('Debt Tracker'!$T$5:$AE$29,10,AC298-1)&gt;0.01))*('Recurring Items'!$H$17&lt;&gt;"Skip")*(DAY(AB298)='Recurring Items'!$F$17)*IFERROR(N('Recurring Items'!$D$17),0)+(IF(AC298=1,'Debt Tracker'!$P$15&gt;0.01,INDEX('Debt Tracker'!$T$5:$AE$29,11,AC298-1)&gt;0.01))*('Recurring Items'!$H$18&lt;&gt;"Skip")*(DAY(AB298)='Recurring Items'!$F$18)*IFERROR(N('Recurring Items'!$D$18),0)+(IF(AC298=1,'Debt Tracker'!$P$16&gt;0.01,INDEX('Debt Tracker'!$T$5:$AE$29,12,AC298-1)&gt;0.01))*('Recurring Items'!$H$19&lt;&gt;"Skip")*(DAY(AB298)='Recurring Items'!$F$19)*IFERROR(N('Recurring Items'!$D$19),0)+(IF(AC298=1,'Debt Tracker'!$P$17&gt;0.01,INDEX('Debt Tracker'!$T$5:$AE$29,13,AC298-1)&gt;0.01))*('Recurring Items'!$H$20&lt;&gt;"Skip")*(DAY(AB298)='Recurring Items'!$F$20)*IFERROR(N('Recurring Items'!$D$20),0)+(IF(AC298=1,'Debt Tracker'!$P$18&gt;0.01,INDEX('Debt Tracker'!$T$5:$AE$29,14,AC298-1)&gt;0.01))*('Recurring Items'!$H$21&lt;&gt;"Skip")*(DAY(AB298)='Recurring Items'!$F$21)*IFERROR(N('Recurring Items'!$D$21),0)+(IF(AC298=1,'Debt Tracker'!$P$19&gt;0.01,INDEX('Debt Tracker'!$T$5:$AE$29,15,AC298-1)&gt;0.01))*('Recurring Items'!$H$22&lt;&gt;"Skip")*(DAY(AB298)='Recurring Items'!$F$22)*IFERROR(N('Recurring Items'!$D$22),0)+(IF(AC298=1,'Debt Tracker'!$P$20&gt;0.01,INDEX('Debt Tracker'!$T$5:$AE$29,16,AC298-1)&gt;0.01))*('Recurring Items'!$H$23&lt;&gt;"Skip")*(DAY(AB298)='Recurring Items'!$F$23)*IFERROR(N('Recurring Items'!$D$23),0)+(IF(AC298=1,'Debt Tracker'!$P$21&gt;0.01,INDEX('Debt Tracker'!$T$5:$AE$29,17,AC298-1)&gt;0.01))*('Recurring Items'!$H$24&lt;&gt;"Skip")*(DAY(AB298)='Recurring Items'!$F$24)*IFERROR(N('Recurring Items'!$D$24),0)+(IF(AC298=1,'Debt Tracker'!$P$22&gt;0.01,INDEX('Debt Tracker'!$T$5:$AE$29,18,AC298-1)&gt;0.01))*('Recurring Items'!$H$25&lt;&gt;"Skip")*(DAY(AB298)='Recurring Items'!$F$25)*IFERROR(N('Recurring Items'!$D$25),0)+(IF(AC298=1,'Debt Tracker'!$P$23&gt;0.01,INDEX('Debt Tracker'!$T$5:$AE$29,19,AC298-1)&gt;0.01))*('Recurring Items'!$H$26&lt;&gt;"Skip")*(DAY(AB298)='Recurring Items'!$F$26)*IFERROR(N('Recurring Items'!$D$26),0)+(IF(AC298=1,'Debt Tracker'!$P$24&gt;0.01,INDEX('Debt Tracker'!$T$5:$AE$29,20,AC298-1)&gt;0.01))*('Recurring Items'!$H$27&lt;&gt;"Skip")*(DAY(AB298)='Recurring Items'!$F$27)*IFERROR(N('Recurring Items'!$D$27),0)+(IF(AC298=1,'Debt Tracker'!$P$25&gt;0.01,INDEX('Debt Tracker'!$T$5:$AE$29,21,AC298-1)&gt;0.01))*('Recurring Items'!$H$28&lt;&gt;"Skip")*(DAY(AB298)='Recurring Items'!$F$28)*IFERROR(N('Recurring Items'!$D$28),0)+(IF(AC298=1,'Debt Tracker'!$P$26&gt;0.01,INDEX('Debt Tracker'!$T$5:$AE$29,22,AC298-1)&gt;0.01))*('Recurring Items'!$H$29&lt;&gt;"Skip")*(DAY(AB298)='Recurring Items'!$F$29)*IFERROR(N('Recurring Items'!$D$29),0)+(IF(AC298=1,'Debt Tracker'!$P$27&gt;0.01,INDEX('Debt Tracker'!$T$5:$AE$29,23,AC298-1)&gt;0.01))*('Recurring Items'!$H$30&lt;&gt;"Skip")*(DAY(AB298)='Recurring Items'!$F$30)*IFERROR(N('Recurring Items'!$D$30),0)+(IF(AC298=1,'Debt Tracker'!$P$28&gt;0.01,INDEX('Debt Tracker'!$T$5:$AE$29,24,AC298-1)&gt;0.01))*('Recurring Items'!$H$31&lt;&gt;"Skip")*(DAY(AB298)='Recurring Items'!$F$31)*IFERROR(N('Recurring Items'!$D$31),0)+(IF(AC298=1,'Debt Tracker'!$P$29&gt;0.01,INDEX('Debt Tracker'!$T$5:$AE$29,25,AC298-1)&gt;0.01))*('Recurring Items'!$H$32&lt;&gt;"Skip")*(DAY(AB298)='Recurring Items'!$F$32)*IFERROR(N('Recurring Items'!$D$32),0)</f>
        <v>8.25</v>
      </c>
      <c r="AG298" s="1" t="n">
        <f aca="false">AD298-AE298-AF298</f>
        <v>2678.74</v>
      </c>
      <c r="AH298" s="1" t="n">
        <f aca="false">AH297+AG298</f>
        <v>8281.89</v>
      </c>
    </row>
    <row r="299" customFormat="false" ht="15" hidden="false" customHeight="true" outlineLevel="0" collapsed="false">
      <c r="AA299" s="1" t="n">
        <v>99</v>
      </c>
      <c r="AB299" s="145" t="n">
        <f aca="false">$D$3+99</f>
        <v>46242</v>
      </c>
      <c r="AC299" s="1" t="n">
        <f aca="false">MIN(12,1+DATEDIF($D$3,AB299,"M"))</f>
        <v>4</v>
      </c>
      <c r="AD299" s="1" t="n">
        <f aca="false">SUMPRODUCT(('Recurring Items'!$C$6:$C$56="Income")*('Recurring Items'!$H$6:$H$56&lt;&gt;"Skip")*IFERROR(N('Recurring Items'!$D$6:$D$56),0)*(('Recurring Items'!$E$6:$E$56="Monthly")*(DAY(AB299)='Recurring Items'!$F$6:$F$56)+('Recurring Items'!$E$6:$E$56="Bi-weekly")*(WEEKDAY(AB299)=IFERROR(WEEKDAY('Recurring Items'!$G$6:$G$56),0))*(MOD(AB299-IFERROR('Recurring Items'!$G$6:$G$56,0),14)=0)*(AB299&gt;=IFERROR('Recurring Items'!$G$6:$G$56,9000000000))+('Recurring Items'!$E$6:$E$56="Weekly")*(WEEKDAY(AB299)=IFERROR(WEEKDAY('Recurring Items'!$G$6:$G$56),0))*(AB299&gt;=IFERROR('Recurring Items'!$G$6:$G$56,9000000000))+('Recurring Items'!$E$6:$E$56="One-time")*(AB299='Recurring Items'!$G$6:$G$56)))</f>
        <v>0</v>
      </c>
      <c r="AE299" s="1" t="n">
        <f aca="false">SUMPRODUCT(('Recurring Items'!$C$6:$C$56="Expense")*('Recurring Items'!$H$6:$H$56&lt;&gt;"Skip")*IFERROR(N('Recurring Items'!$D$6:$D$56),0)*(('Recurring Items'!$E$6:$E$56="Monthly")*(DAY(AB299)='Recurring Items'!$F$6:$F$56)+('Recurring Items'!$E$6:$E$56="Bi-weekly")*(WEEKDAY(AB299)=IFERROR(WEEKDAY('Recurring Items'!$G$6:$G$56),0))*(MOD(AB299-IFERROR('Recurring Items'!$G$6:$G$56,0),14)=0)*(AB299&gt;=IFERROR('Recurring Items'!$G$6:$G$56,9000000000))+('Recurring Items'!$E$6:$E$56="Weekly")*(WEEKDAY(AB299)=IFERROR(WEEKDAY('Recurring Items'!$G$6:$G$56),0))*(AB299&gt;=IFERROR('Recurring Items'!$G$6:$G$56,9000000000))+('Recurring Items'!$E$6:$E$56="One-time")*(AB299='Recurring Items'!$G$6:$G$56)))</f>
        <v>53.85</v>
      </c>
      <c r="AF299" s="1" t="n">
        <f aca="false">(IF(AC299=1,'Debt Tracker'!$P$5&gt;0.01,INDEX('Debt Tracker'!$T$5:$AE$29,1,AC299-1)&gt;0.01))*('Recurring Items'!$H$8&lt;&gt;"Skip")*(DAY(AB299)='Recurring Items'!$F$8)*IFERROR(N('Recurring Items'!$D$8),0)+(IF(AC299=1,'Debt Tracker'!$P$6&gt;0.01,INDEX('Debt Tracker'!$T$5:$AE$29,2,AC299-1)&gt;0.01))*('Recurring Items'!$H$9&lt;&gt;"Skip")*(DAY(AB299)='Recurring Items'!$F$9)*IFERROR(N('Recurring Items'!$D$9),0)+(IF(AC299=1,'Debt Tracker'!$P$7&gt;0.01,INDEX('Debt Tracker'!$T$5:$AE$29,3,AC299-1)&gt;0.01))*('Recurring Items'!$H$10&lt;&gt;"Skip")*(DAY(AB299)='Recurring Items'!$F$10)*IFERROR(N('Recurring Items'!$D$10),0)+(IF(AC299=1,'Debt Tracker'!$P$8&gt;0.01,INDEX('Debt Tracker'!$T$5:$AE$29,4,AC299-1)&gt;0.01))*('Recurring Items'!$H$11&lt;&gt;"Skip")*(DAY(AB299)='Recurring Items'!$F$11)*IFERROR(N('Recurring Items'!$D$11),0)+(IF(AC299=1,'Debt Tracker'!$P$9&gt;0.01,INDEX('Debt Tracker'!$T$5:$AE$29,5,AC299-1)&gt;0.01))*('Recurring Items'!$H$12&lt;&gt;"Skip")*(DAY(AB299)='Recurring Items'!$F$12)*IFERROR(N('Recurring Items'!$D$12),0)+(IF(AC299=1,'Debt Tracker'!$P$10&gt;0.01,INDEX('Debt Tracker'!$T$5:$AE$29,6,AC299-1)&gt;0.01))*('Recurring Items'!$H$13&lt;&gt;"Skip")*(DAY(AB299)='Recurring Items'!$F$13)*IFERROR(N('Recurring Items'!$D$13),0)+(IF(AC299=1,'Debt Tracker'!$P$11&gt;0.01,INDEX('Debt Tracker'!$T$5:$AE$29,7,AC299-1)&gt;0.01))*('Recurring Items'!$H$14&lt;&gt;"Skip")*(DAY(AB299)='Recurring Items'!$F$14)*IFERROR(N('Recurring Items'!$D$14),0)+(IF(AC299=1,'Debt Tracker'!$P$12&gt;0.01,INDEX('Debt Tracker'!$T$5:$AE$29,8,AC299-1)&gt;0.01))*('Recurring Items'!$H$15&lt;&gt;"Skip")*(DAY(AB299)='Recurring Items'!$F$15)*IFERROR(N('Recurring Items'!$D$15),0)+(IF(AC299=1,'Debt Tracker'!$P$13&gt;0.01,INDEX('Debt Tracker'!$T$5:$AE$29,9,AC299-1)&gt;0.01))*('Recurring Items'!$H$16&lt;&gt;"Skip")*(DAY(AB299)='Recurring Items'!$F$16)*IFERROR(N('Recurring Items'!$D$16),0)+(IF(AC299=1,'Debt Tracker'!$P$14&gt;0.01,INDEX('Debt Tracker'!$T$5:$AE$29,10,AC299-1)&gt;0.01))*('Recurring Items'!$H$17&lt;&gt;"Skip")*(DAY(AB299)='Recurring Items'!$F$17)*IFERROR(N('Recurring Items'!$D$17),0)+(IF(AC299=1,'Debt Tracker'!$P$15&gt;0.01,INDEX('Debt Tracker'!$T$5:$AE$29,11,AC299-1)&gt;0.01))*('Recurring Items'!$H$18&lt;&gt;"Skip")*(DAY(AB299)='Recurring Items'!$F$18)*IFERROR(N('Recurring Items'!$D$18),0)+(IF(AC299=1,'Debt Tracker'!$P$16&gt;0.01,INDEX('Debt Tracker'!$T$5:$AE$29,12,AC299-1)&gt;0.01))*('Recurring Items'!$H$19&lt;&gt;"Skip")*(DAY(AB299)='Recurring Items'!$F$19)*IFERROR(N('Recurring Items'!$D$19),0)+(IF(AC299=1,'Debt Tracker'!$P$17&gt;0.01,INDEX('Debt Tracker'!$T$5:$AE$29,13,AC299-1)&gt;0.01))*('Recurring Items'!$H$20&lt;&gt;"Skip")*(DAY(AB299)='Recurring Items'!$F$20)*IFERROR(N('Recurring Items'!$D$20),0)+(IF(AC299=1,'Debt Tracker'!$P$18&gt;0.01,INDEX('Debt Tracker'!$T$5:$AE$29,14,AC299-1)&gt;0.01))*('Recurring Items'!$H$21&lt;&gt;"Skip")*(DAY(AB299)='Recurring Items'!$F$21)*IFERROR(N('Recurring Items'!$D$21),0)+(IF(AC299=1,'Debt Tracker'!$P$19&gt;0.01,INDEX('Debt Tracker'!$T$5:$AE$29,15,AC299-1)&gt;0.01))*('Recurring Items'!$H$22&lt;&gt;"Skip")*(DAY(AB299)='Recurring Items'!$F$22)*IFERROR(N('Recurring Items'!$D$22),0)+(IF(AC299=1,'Debt Tracker'!$P$20&gt;0.01,INDEX('Debt Tracker'!$T$5:$AE$29,16,AC299-1)&gt;0.01))*('Recurring Items'!$H$23&lt;&gt;"Skip")*(DAY(AB299)='Recurring Items'!$F$23)*IFERROR(N('Recurring Items'!$D$23),0)+(IF(AC299=1,'Debt Tracker'!$P$21&gt;0.01,INDEX('Debt Tracker'!$T$5:$AE$29,17,AC299-1)&gt;0.01))*('Recurring Items'!$H$24&lt;&gt;"Skip")*(DAY(AB299)='Recurring Items'!$F$24)*IFERROR(N('Recurring Items'!$D$24),0)+(IF(AC299=1,'Debt Tracker'!$P$22&gt;0.01,INDEX('Debt Tracker'!$T$5:$AE$29,18,AC299-1)&gt;0.01))*('Recurring Items'!$H$25&lt;&gt;"Skip")*(DAY(AB299)='Recurring Items'!$F$25)*IFERROR(N('Recurring Items'!$D$25),0)+(IF(AC299=1,'Debt Tracker'!$P$23&gt;0.01,INDEX('Debt Tracker'!$T$5:$AE$29,19,AC299-1)&gt;0.01))*('Recurring Items'!$H$26&lt;&gt;"Skip")*(DAY(AB299)='Recurring Items'!$F$26)*IFERROR(N('Recurring Items'!$D$26),0)+(IF(AC299=1,'Debt Tracker'!$P$24&gt;0.01,INDEX('Debt Tracker'!$T$5:$AE$29,20,AC299-1)&gt;0.01))*('Recurring Items'!$H$27&lt;&gt;"Skip")*(DAY(AB299)='Recurring Items'!$F$27)*IFERROR(N('Recurring Items'!$D$27),0)+(IF(AC299=1,'Debt Tracker'!$P$25&gt;0.01,INDEX('Debt Tracker'!$T$5:$AE$29,21,AC299-1)&gt;0.01))*('Recurring Items'!$H$28&lt;&gt;"Skip")*(DAY(AB299)='Recurring Items'!$F$28)*IFERROR(N('Recurring Items'!$D$28),0)+(IF(AC299=1,'Debt Tracker'!$P$26&gt;0.01,INDEX('Debt Tracker'!$T$5:$AE$29,22,AC299-1)&gt;0.01))*('Recurring Items'!$H$29&lt;&gt;"Skip")*(DAY(AB299)='Recurring Items'!$F$29)*IFERROR(N('Recurring Items'!$D$29),0)+(IF(AC299=1,'Debt Tracker'!$P$27&gt;0.01,INDEX('Debt Tracker'!$T$5:$AE$29,23,AC299-1)&gt;0.01))*('Recurring Items'!$H$30&lt;&gt;"Skip")*(DAY(AB299)='Recurring Items'!$F$30)*IFERROR(N('Recurring Items'!$D$30),0)+(IF(AC299=1,'Debt Tracker'!$P$28&gt;0.01,INDEX('Debt Tracker'!$T$5:$AE$29,24,AC299-1)&gt;0.01))*('Recurring Items'!$H$31&lt;&gt;"Skip")*(DAY(AB299)='Recurring Items'!$F$31)*IFERROR(N('Recurring Items'!$D$31),0)+(IF(AC299=1,'Debt Tracker'!$P$29&gt;0.01,INDEX('Debt Tracker'!$T$5:$AE$29,25,AC299-1)&gt;0.01))*('Recurring Items'!$H$32&lt;&gt;"Skip")*(DAY(AB299)='Recurring Items'!$F$32)*IFERROR(N('Recurring Items'!$D$32),0)</f>
        <v>0</v>
      </c>
      <c r="AG299" s="1" t="n">
        <f aca="false">AD299-AE299-AF299</f>
        <v>-53.85</v>
      </c>
      <c r="AH299" s="1" t="n">
        <f aca="false">AH298+AG299</f>
        <v>8228.04</v>
      </c>
    </row>
    <row r="300" customFormat="false" ht="15" hidden="false" customHeight="true" outlineLevel="0" collapsed="false">
      <c r="AA300" s="1" t="n">
        <v>100</v>
      </c>
      <c r="AB300" s="145" t="n">
        <f aca="false">$D$3+100</f>
        <v>46243</v>
      </c>
      <c r="AC300" s="1" t="n">
        <f aca="false">MIN(12,1+DATEDIF($D$3,AB300,"M"))</f>
        <v>4</v>
      </c>
      <c r="AD300" s="1" t="n">
        <f aca="false">SUMPRODUCT(('Recurring Items'!$C$6:$C$56="Income")*('Recurring Items'!$H$6:$H$56&lt;&gt;"Skip")*IFERROR(N('Recurring Items'!$D$6:$D$56),0)*(('Recurring Items'!$E$6:$E$56="Monthly")*(DAY(AB300)='Recurring Items'!$F$6:$F$56)+('Recurring Items'!$E$6:$E$56="Bi-weekly")*(WEEKDAY(AB300)=IFERROR(WEEKDAY('Recurring Items'!$G$6:$G$56),0))*(MOD(AB300-IFERROR('Recurring Items'!$G$6:$G$56,0),14)=0)*(AB300&gt;=IFERROR('Recurring Items'!$G$6:$G$56,9000000000))+('Recurring Items'!$E$6:$E$56="Weekly")*(WEEKDAY(AB300)=IFERROR(WEEKDAY('Recurring Items'!$G$6:$G$56),0))*(AB300&gt;=IFERROR('Recurring Items'!$G$6:$G$56,9000000000))+('Recurring Items'!$E$6:$E$56="One-time")*(AB300='Recurring Items'!$G$6:$G$56)))</f>
        <v>0</v>
      </c>
      <c r="AE300" s="1" t="n">
        <f aca="false">SUMPRODUCT(('Recurring Items'!$C$6:$C$56="Expense")*('Recurring Items'!$H$6:$H$56&lt;&gt;"Skip")*IFERROR(N('Recurring Items'!$D$6:$D$56),0)*(('Recurring Items'!$E$6:$E$56="Monthly")*(DAY(AB300)='Recurring Items'!$F$6:$F$56)+('Recurring Items'!$E$6:$E$56="Bi-weekly")*(WEEKDAY(AB300)=IFERROR(WEEKDAY('Recurring Items'!$G$6:$G$56),0))*(MOD(AB300-IFERROR('Recurring Items'!$G$6:$G$56,0),14)=0)*(AB300&gt;=IFERROR('Recurring Items'!$G$6:$G$56,9000000000))+('Recurring Items'!$E$6:$E$56="Weekly")*(WEEKDAY(AB300)=IFERROR(WEEKDAY('Recurring Items'!$G$6:$G$56),0))*(AB300&gt;=IFERROR('Recurring Items'!$G$6:$G$56,9000000000))+('Recurring Items'!$E$6:$E$56="One-time")*(AB300='Recurring Items'!$G$6:$G$56)))</f>
        <v>0</v>
      </c>
      <c r="AF300" s="1" t="n">
        <f aca="false">(IF(AC300=1,'Debt Tracker'!$P$5&gt;0.01,INDEX('Debt Tracker'!$T$5:$AE$29,1,AC300-1)&gt;0.01))*('Recurring Items'!$H$8&lt;&gt;"Skip")*(DAY(AB300)='Recurring Items'!$F$8)*IFERROR(N('Recurring Items'!$D$8),0)+(IF(AC300=1,'Debt Tracker'!$P$6&gt;0.01,INDEX('Debt Tracker'!$T$5:$AE$29,2,AC300-1)&gt;0.01))*('Recurring Items'!$H$9&lt;&gt;"Skip")*(DAY(AB300)='Recurring Items'!$F$9)*IFERROR(N('Recurring Items'!$D$9),0)+(IF(AC300=1,'Debt Tracker'!$P$7&gt;0.01,INDEX('Debt Tracker'!$T$5:$AE$29,3,AC300-1)&gt;0.01))*('Recurring Items'!$H$10&lt;&gt;"Skip")*(DAY(AB300)='Recurring Items'!$F$10)*IFERROR(N('Recurring Items'!$D$10),0)+(IF(AC300=1,'Debt Tracker'!$P$8&gt;0.01,INDEX('Debt Tracker'!$T$5:$AE$29,4,AC300-1)&gt;0.01))*('Recurring Items'!$H$11&lt;&gt;"Skip")*(DAY(AB300)='Recurring Items'!$F$11)*IFERROR(N('Recurring Items'!$D$11),0)+(IF(AC300=1,'Debt Tracker'!$P$9&gt;0.01,INDEX('Debt Tracker'!$T$5:$AE$29,5,AC300-1)&gt;0.01))*('Recurring Items'!$H$12&lt;&gt;"Skip")*(DAY(AB300)='Recurring Items'!$F$12)*IFERROR(N('Recurring Items'!$D$12),0)+(IF(AC300=1,'Debt Tracker'!$P$10&gt;0.01,INDEX('Debt Tracker'!$T$5:$AE$29,6,AC300-1)&gt;0.01))*('Recurring Items'!$H$13&lt;&gt;"Skip")*(DAY(AB300)='Recurring Items'!$F$13)*IFERROR(N('Recurring Items'!$D$13),0)+(IF(AC300=1,'Debt Tracker'!$P$11&gt;0.01,INDEX('Debt Tracker'!$T$5:$AE$29,7,AC300-1)&gt;0.01))*('Recurring Items'!$H$14&lt;&gt;"Skip")*(DAY(AB300)='Recurring Items'!$F$14)*IFERROR(N('Recurring Items'!$D$14),0)+(IF(AC300=1,'Debt Tracker'!$P$12&gt;0.01,INDEX('Debt Tracker'!$T$5:$AE$29,8,AC300-1)&gt;0.01))*('Recurring Items'!$H$15&lt;&gt;"Skip")*(DAY(AB300)='Recurring Items'!$F$15)*IFERROR(N('Recurring Items'!$D$15),0)+(IF(AC300=1,'Debt Tracker'!$P$13&gt;0.01,INDEX('Debt Tracker'!$T$5:$AE$29,9,AC300-1)&gt;0.01))*('Recurring Items'!$H$16&lt;&gt;"Skip")*(DAY(AB300)='Recurring Items'!$F$16)*IFERROR(N('Recurring Items'!$D$16),0)+(IF(AC300=1,'Debt Tracker'!$P$14&gt;0.01,INDEX('Debt Tracker'!$T$5:$AE$29,10,AC300-1)&gt;0.01))*('Recurring Items'!$H$17&lt;&gt;"Skip")*(DAY(AB300)='Recurring Items'!$F$17)*IFERROR(N('Recurring Items'!$D$17),0)+(IF(AC300=1,'Debt Tracker'!$P$15&gt;0.01,INDEX('Debt Tracker'!$T$5:$AE$29,11,AC300-1)&gt;0.01))*('Recurring Items'!$H$18&lt;&gt;"Skip")*(DAY(AB300)='Recurring Items'!$F$18)*IFERROR(N('Recurring Items'!$D$18),0)+(IF(AC300=1,'Debt Tracker'!$P$16&gt;0.01,INDEX('Debt Tracker'!$T$5:$AE$29,12,AC300-1)&gt;0.01))*('Recurring Items'!$H$19&lt;&gt;"Skip")*(DAY(AB300)='Recurring Items'!$F$19)*IFERROR(N('Recurring Items'!$D$19),0)+(IF(AC300=1,'Debt Tracker'!$P$17&gt;0.01,INDEX('Debt Tracker'!$T$5:$AE$29,13,AC300-1)&gt;0.01))*('Recurring Items'!$H$20&lt;&gt;"Skip")*(DAY(AB300)='Recurring Items'!$F$20)*IFERROR(N('Recurring Items'!$D$20),0)+(IF(AC300=1,'Debt Tracker'!$P$18&gt;0.01,INDEX('Debt Tracker'!$T$5:$AE$29,14,AC300-1)&gt;0.01))*('Recurring Items'!$H$21&lt;&gt;"Skip")*(DAY(AB300)='Recurring Items'!$F$21)*IFERROR(N('Recurring Items'!$D$21),0)+(IF(AC300=1,'Debt Tracker'!$P$19&gt;0.01,INDEX('Debt Tracker'!$T$5:$AE$29,15,AC300-1)&gt;0.01))*('Recurring Items'!$H$22&lt;&gt;"Skip")*(DAY(AB300)='Recurring Items'!$F$22)*IFERROR(N('Recurring Items'!$D$22),0)+(IF(AC300=1,'Debt Tracker'!$P$20&gt;0.01,INDEX('Debt Tracker'!$T$5:$AE$29,16,AC300-1)&gt;0.01))*('Recurring Items'!$H$23&lt;&gt;"Skip")*(DAY(AB300)='Recurring Items'!$F$23)*IFERROR(N('Recurring Items'!$D$23),0)+(IF(AC300=1,'Debt Tracker'!$P$21&gt;0.01,INDEX('Debt Tracker'!$T$5:$AE$29,17,AC300-1)&gt;0.01))*('Recurring Items'!$H$24&lt;&gt;"Skip")*(DAY(AB300)='Recurring Items'!$F$24)*IFERROR(N('Recurring Items'!$D$24),0)+(IF(AC300=1,'Debt Tracker'!$P$22&gt;0.01,INDEX('Debt Tracker'!$T$5:$AE$29,18,AC300-1)&gt;0.01))*('Recurring Items'!$H$25&lt;&gt;"Skip")*(DAY(AB300)='Recurring Items'!$F$25)*IFERROR(N('Recurring Items'!$D$25),0)+(IF(AC300=1,'Debt Tracker'!$P$23&gt;0.01,INDEX('Debt Tracker'!$T$5:$AE$29,19,AC300-1)&gt;0.01))*('Recurring Items'!$H$26&lt;&gt;"Skip")*(DAY(AB300)='Recurring Items'!$F$26)*IFERROR(N('Recurring Items'!$D$26),0)+(IF(AC300=1,'Debt Tracker'!$P$24&gt;0.01,INDEX('Debt Tracker'!$T$5:$AE$29,20,AC300-1)&gt;0.01))*('Recurring Items'!$H$27&lt;&gt;"Skip")*(DAY(AB300)='Recurring Items'!$F$27)*IFERROR(N('Recurring Items'!$D$27),0)+(IF(AC300=1,'Debt Tracker'!$P$25&gt;0.01,INDEX('Debt Tracker'!$T$5:$AE$29,21,AC300-1)&gt;0.01))*('Recurring Items'!$H$28&lt;&gt;"Skip")*(DAY(AB300)='Recurring Items'!$F$28)*IFERROR(N('Recurring Items'!$D$28),0)+(IF(AC300=1,'Debt Tracker'!$P$26&gt;0.01,INDEX('Debt Tracker'!$T$5:$AE$29,22,AC300-1)&gt;0.01))*('Recurring Items'!$H$29&lt;&gt;"Skip")*(DAY(AB300)='Recurring Items'!$F$29)*IFERROR(N('Recurring Items'!$D$29),0)+(IF(AC300=1,'Debt Tracker'!$P$27&gt;0.01,INDEX('Debt Tracker'!$T$5:$AE$29,23,AC300-1)&gt;0.01))*('Recurring Items'!$H$30&lt;&gt;"Skip")*(DAY(AB300)='Recurring Items'!$F$30)*IFERROR(N('Recurring Items'!$D$30),0)+(IF(AC300=1,'Debt Tracker'!$P$28&gt;0.01,INDEX('Debt Tracker'!$T$5:$AE$29,24,AC300-1)&gt;0.01))*('Recurring Items'!$H$31&lt;&gt;"Skip")*(DAY(AB300)='Recurring Items'!$F$31)*IFERROR(N('Recurring Items'!$D$31),0)+(IF(AC300=1,'Debt Tracker'!$P$29&gt;0.01,INDEX('Debt Tracker'!$T$5:$AE$29,25,AC300-1)&gt;0.01))*('Recurring Items'!$H$32&lt;&gt;"Skip")*(DAY(AB300)='Recurring Items'!$F$32)*IFERROR(N('Recurring Items'!$D$32),0)</f>
        <v>0</v>
      </c>
      <c r="AG300" s="1" t="n">
        <f aca="false">AD300-AE300-AF300</f>
        <v>0</v>
      </c>
      <c r="AH300" s="1" t="n">
        <f aca="false">AH299+AG300</f>
        <v>8228.04</v>
      </c>
    </row>
    <row r="301" customFormat="false" ht="15" hidden="false" customHeight="true" outlineLevel="0" collapsed="false">
      <c r="AA301" s="1" t="n">
        <v>101</v>
      </c>
      <c r="AB301" s="145" t="n">
        <f aca="false">$D$3+101</f>
        <v>46244</v>
      </c>
      <c r="AC301" s="1" t="n">
        <f aca="false">MIN(12,1+DATEDIF($D$3,AB301,"M"))</f>
        <v>4</v>
      </c>
      <c r="AD301" s="1" t="n">
        <f aca="false">SUMPRODUCT(('Recurring Items'!$C$6:$C$56="Income")*('Recurring Items'!$H$6:$H$56&lt;&gt;"Skip")*IFERROR(N('Recurring Items'!$D$6:$D$56),0)*(('Recurring Items'!$E$6:$E$56="Monthly")*(DAY(AB301)='Recurring Items'!$F$6:$F$56)+('Recurring Items'!$E$6:$E$56="Bi-weekly")*(WEEKDAY(AB301)=IFERROR(WEEKDAY('Recurring Items'!$G$6:$G$56),0))*(MOD(AB301-IFERROR('Recurring Items'!$G$6:$G$56,0),14)=0)*(AB301&gt;=IFERROR('Recurring Items'!$G$6:$G$56,9000000000))+('Recurring Items'!$E$6:$E$56="Weekly")*(WEEKDAY(AB301)=IFERROR(WEEKDAY('Recurring Items'!$G$6:$G$56),0))*(AB301&gt;=IFERROR('Recurring Items'!$G$6:$G$56,9000000000))+('Recurring Items'!$E$6:$E$56="One-time")*(AB301='Recurring Items'!$G$6:$G$56)))</f>
        <v>0</v>
      </c>
      <c r="AE301" s="1" t="n">
        <f aca="false">SUMPRODUCT(('Recurring Items'!$C$6:$C$56="Expense")*('Recurring Items'!$H$6:$H$56&lt;&gt;"Skip")*IFERROR(N('Recurring Items'!$D$6:$D$56),0)*(('Recurring Items'!$E$6:$E$56="Monthly")*(DAY(AB301)='Recurring Items'!$F$6:$F$56)+('Recurring Items'!$E$6:$E$56="Bi-weekly")*(WEEKDAY(AB301)=IFERROR(WEEKDAY('Recurring Items'!$G$6:$G$56),0))*(MOD(AB301-IFERROR('Recurring Items'!$G$6:$G$56,0),14)=0)*(AB301&gt;=IFERROR('Recurring Items'!$G$6:$G$56,9000000000))+('Recurring Items'!$E$6:$E$56="Weekly")*(WEEKDAY(AB301)=IFERROR(WEEKDAY('Recurring Items'!$G$6:$G$56),0))*(AB301&gt;=IFERROR('Recurring Items'!$G$6:$G$56,9000000000))+('Recurring Items'!$E$6:$E$56="One-time")*(AB301='Recurring Items'!$G$6:$G$56)))</f>
        <v>340.22</v>
      </c>
      <c r="AF301" s="1" t="n">
        <f aca="false">(IF(AC301=1,'Debt Tracker'!$P$5&gt;0.01,INDEX('Debt Tracker'!$T$5:$AE$29,1,AC301-1)&gt;0.01))*('Recurring Items'!$H$8&lt;&gt;"Skip")*(DAY(AB301)='Recurring Items'!$F$8)*IFERROR(N('Recurring Items'!$D$8),0)+(IF(AC301=1,'Debt Tracker'!$P$6&gt;0.01,INDEX('Debt Tracker'!$T$5:$AE$29,2,AC301-1)&gt;0.01))*('Recurring Items'!$H$9&lt;&gt;"Skip")*(DAY(AB301)='Recurring Items'!$F$9)*IFERROR(N('Recurring Items'!$D$9),0)+(IF(AC301=1,'Debt Tracker'!$P$7&gt;0.01,INDEX('Debt Tracker'!$T$5:$AE$29,3,AC301-1)&gt;0.01))*('Recurring Items'!$H$10&lt;&gt;"Skip")*(DAY(AB301)='Recurring Items'!$F$10)*IFERROR(N('Recurring Items'!$D$10),0)+(IF(AC301=1,'Debt Tracker'!$P$8&gt;0.01,INDEX('Debt Tracker'!$T$5:$AE$29,4,AC301-1)&gt;0.01))*('Recurring Items'!$H$11&lt;&gt;"Skip")*(DAY(AB301)='Recurring Items'!$F$11)*IFERROR(N('Recurring Items'!$D$11),0)+(IF(AC301=1,'Debt Tracker'!$P$9&gt;0.01,INDEX('Debt Tracker'!$T$5:$AE$29,5,AC301-1)&gt;0.01))*('Recurring Items'!$H$12&lt;&gt;"Skip")*(DAY(AB301)='Recurring Items'!$F$12)*IFERROR(N('Recurring Items'!$D$12),0)+(IF(AC301=1,'Debt Tracker'!$P$10&gt;0.01,INDEX('Debt Tracker'!$T$5:$AE$29,6,AC301-1)&gt;0.01))*('Recurring Items'!$H$13&lt;&gt;"Skip")*(DAY(AB301)='Recurring Items'!$F$13)*IFERROR(N('Recurring Items'!$D$13),0)+(IF(AC301=1,'Debt Tracker'!$P$11&gt;0.01,INDEX('Debt Tracker'!$T$5:$AE$29,7,AC301-1)&gt;0.01))*('Recurring Items'!$H$14&lt;&gt;"Skip")*(DAY(AB301)='Recurring Items'!$F$14)*IFERROR(N('Recurring Items'!$D$14),0)+(IF(AC301=1,'Debt Tracker'!$P$12&gt;0.01,INDEX('Debt Tracker'!$T$5:$AE$29,8,AC301-1)&gt;0.01))*('Recurring Items'!$H$15&lt;&gt;"Skip")*(DAY(AB301)='Recurring Items'!$F$15)*IFERROR(N('Recurring Items'!$D$15),0)+(IF(AC301=1,'Debt Tracker'!$P$13&gt;0.01,INDEX('Debt Tracker'!$T$5:$AE$29,9,AC301-1)&gt;0.01))*('Recurring Items'!$H$16&lt;&gt;"Skip")*(DAY(AB301)='Recurring Items'!$F$16)*IFERROR(N('Recurring Items'!$D$16),0)+(IF(AC301=1,'Debt Tracker'!$P$14&gt;0.01,INDEX('Debt Tracker'!$T$5:$AE$29,10,AC301-1)&gt;0.01))*('Recurring Items'!$H$17&lt;&gt;"Skip")*(DAY(AB301)='Recurring Items'!$F$17)*IFERROR(N('Recurring Items'!$D$17),0)+(IF(AC301=1,'Debt Tracker'!$P$15&gt;0.01,INDEX('Debt Tracker'!$T$5:$AE$29,11,AC301-1)&gt;0.01))*('Recurring Items'!$H$18&lt;&gt;"Skip")*(DAY(AB301)='Recurring Items'!$F$18)*IFERROR(N('Recurring Items'!$D$18),0)+(IF(AC301=1,'Debt Tracker'!$P$16&gt;0.01,INDEX('Debt Tracker'!$T$5:$AE$29,12,AC301-1)&gt;0.01))*('Recurring Items'!$H$19&lt;&gt;"Skip")*(DAY(AB301)='Recurring Items'!$F$19)*IFERROR(N('Recurring Items'!$D$19),0)+(IF(AC301=1,'Debt Tracker'!$P$17&gt;0.01,INDEX('Debt Tracker'!$T$5:$AE$29,13,AC301-1)&gt;0.01))*('Recurring Items'!$H$20&lt;&gt;"Skip")*(DAY(AB301)='Recurring Items'!$F$20)*IFERROR(N('Recurring Items'!$D$20),0)+(IF(AC301=1,'Debt Tracker'!$P$18&gt;0.01,INDEX('Debt Tracker'!$T$5:$AE$29,14,AC301-1)&gt;0.01))*('Recurring Items'!$H$21&lt;&gt;"Skip")*(DAY(AB301)='Recurring Items'!$F$21)*IFERROR(N('Recurring Items'!$D$21),0)+(IF(AC301=1,'Debt Tracker'!$P$19&gt;0.01,INDEX('Debt Tracker'!$T$5:$AE$29,15,AC301-1)&gt;0.01))*('Recurring Items'!$H$22&lt;&gt;"Skip")*(DAY(AB301)='Recurring Items'!$F$22)*IFERROR(N('Recurring Items'!$D$22),0)+(IF(AC301=1,'Debt Tracker'!$P$20&gt;0.01,INDEX('Debt Tracker'!$T$5:$AE$29,16,AC301-1)&gt;0.01))*('Recurring Items'!$H$23&lt;&gt;"Skip")*(DAY(AB301)='Recurring Items'!$F$23)*IFERROR(N('Recurring Items'!$D$23),0)+(IF(AC301=1,'Debt Tracker'!$P$21&gt;0.01,INDEX('Debt Tracker'!$T$5:$AE$29,17,AC301-1)&gt;0.01))*('Recurring Items'!$H$24&lt;&gt;"Skip")*(DAY(AB301)='Recurring Items'!$F$24)*IFERROR(N('Recurring Items'!$D$24),0)+(IF(AC301=1,'Debt Tracker'!$P$22&gt;0.01,INDEX('Debt Tracker'!$T$5:$AE$29,18,AC301-1)&gt;0.01))*('Recurring Items'!$H$25&lt;&gt;"Skip")*(DAY(AB301)='Recurring Items'!$F$25)*IFERROR(N('Recurring Items'!$D$25),0)+(IF(AC301=1,'Debt Tracker'!$P$23&gt;0.01,INDEX('Debt Tracker'!$T$5:$AE$29,19,AC301-1)&gt;0.01))*('Recurring Items'!$H$26&lt;&gt;"Skip")*(DAY(AB301)='Recurring Items'!$F$26)*IFERROR(N('Recurring Items'!$D$26),0)+(IF(AC301=1,'Debt Tracker'!$P$24&gt;0.01,INDEX('Debt Tracker'!$T$5:$AE$29,20,AC301-1)&gt;0.01))*('Recurring Items'!$H$27&lt;&gt;"Skip")*(DAY(AB301)='Recurring Items'!$F$27)*IFERROR(N('Recurring Items'!$D$27),0)+(IF(AC301=1,'Debt Tracker'!$P$25&gt;0.01,INDEX('Debt Tracker'!$T$5:$AE$29,21,AC301-1)&gt;0.01))*('Recurring Items'!$H$28&lt;&gt;"Skip")*(DAY(AB301)='Recurring Items'!$F$28)*IFERROR(N('Recurring Items'!$D$28),0)+(IF(AC301=1,'Debt Tracker'!$P$26&gt;0.01,INDEX('Debt Tracker'!$T$5:$AE$29,22,AC301-1)&gt;0.01))*('Recurring Items'!$H$29&lt;&gt;"Skip")*(DAY(AB301)='Recurring Items'!$F$29)*IFERROR(N('Recurring Items'!$D$29),0)+(IF(AC301=1,'Debt Tracker'!$P$27&gt;0.01,INDEX('Debt Tracker'!$T$5:$AE$29,23,AC301-1)&gt;0.01))*('Recurring Items'!$H$30&lt;&gt;"Skip")*(DAY(AB301)='Recurring Items'!$F$30)*IFERROR(N('Recurring Items'!$D$30),0)+(IF(AC301=1,'Debt Tracker'!$P$28&gt;0.01,INDEX('Debt Tracker'!$T$5:$AE$29,24,AC301-1)&gt;0.01))*('Recurring Items'!$H$31&lt;&gt;"Skip")*(DAY(AB301)='Recurring Items'!$F$31)*IFERROR(N('Recurring Items'!$D$31),0)+(IF(AC301=1,'Debt Tracker'!$P$29&gt;0.01,INDEX('Debt Tracker'!$T$5:$AE$29,25,AC301-1)&gt;0.01))*('Recurring Items'!$H$32&lt;&gt;"Skip")*(DAY(AB301)='Recurring Items'!$F$32)*IFERROR(N('Recurring Items'!$D$32),0)</f>
        <v>72.54</v>
      </c>
      <c r="AG301" s="1" t="n">
        <f aca="false">AD301-AE301-AF301</f>
        <v>-412.76</v>
      </c>
      <c r="AH301" s="1" t="n">
        <f aca="false">AH300+AG301</f>
        <v>7815.28</v>
      </c>
    </row>
    <row r="302" customFormat="false" ht="15" hidden="false" customHeight="true" outlineLevel="0" collapsed="false">
      <c r="AA302" s="1" t="n">
        <v>102</v>
      </c>
      <c r="AB302" s="145" t="n">
        <f aca="false">$D$3+102</f>
        <v>46245</v>
      </c>
      <c r="AC302" s="1" t="n">
        <f aca="false">MIN(12,1+DATEDIF($D$3,AB302,"M"))</f>
        <v>4</v>
      </c>
      <c r="AD302" s="1" t="n">
        <f aca="false">SUMPRODUCT(('Recurring Items'!$C$6:$C$56="Income")*('Recurring Items'!$H$6:$H$56&lt;&gt;"Skip")*IFERROR(N('Recurring Items'!$D$6:$D$56),0)*(('Recurring Items'!$E$6:$E$56="Monthly")*(DAY(AB302)='Recurring Items'!$F$6:$F$56)+('Recurring Items'!$E$6:$E$56="Bi-weekly")*(WEEKDAY(AB302)=IFERROR(WEEKDAY('Recurring Items'!$G$6:$G$56),0))*(MOD(AB302-IFERROR('Recurring Items'!$G$6:$G$56,0),14)=0)*(AB302&gt;=IFERROR('Recurring Items'!$G$6:$G$56,9000000000))+('Recurring Items'!$E$6:$E$56="Weekly")*(WEEKDAY(AB302)=IFERROR(WEEKDAY('Recurring Items'!$G$6:$G$56),0))*(AB302&gt;=IFERROR('Recurring Items'!$G$6:$G$56,9000000000))+('Recurring Items'!$E$6:$E$56="One-time")*(AB302='Recurring Items'!$G$6:$G$56)))</f>
        <v>0</v>
      </c>
      <c r="AE302" s="1" t="n">
        <f aca="false">SUMPRODUCT(('Recurring Items'!$C$6:$C$56="Expense")*('Recurring Items'!$H$6:$H$56&lt;&gt;"Skip")*IFERROR(N('Recurring Items'!$D$6:$D$56),0)*(('Recurring Items'!$E$6:$E$56="Monthly")*(DAY(AB302)='Recurring Items'!$F$6:$F$56)+('Recurring Items'!$E$6:$E$56="Bi-weekly")*(WEEKDAY(AB302)=IFERROR(WEEKDAY('Recurring Items'!$G$6:$G$56),0))*(MOD(AB302-IFERROR('Recurring Items'!$G$6:$G$56,0),14)=0)*(AB302&gt;=IFERROR('Recurring Items'!$G$6:$G$56,9000000000))+('Recurring Items'!$E$6:$E$56="Weekly")*(WEEKDAY(AB302)=IFERROR(WEEKDAY('Recurring Items'!$G$6:$G$56),0))*(AB302&gt;=IFERROR('Recurring Items'!$G$6:$G$56,9000000000))+('Recurring Items'!$E$6:$E$56="One-time")*(AB302='Recurring Items'!$G$6:$G$56)))</f>
        <v>0</v>
      </c>
      <c r="AF302" s="1" t="n">
        <f aca="false">(IF(AC302=1,'Debt Tracker'!$P$5&gt;0.01,INDEX('Debt Tracker'!$T$5:$AE$29,1,AC302-1)&gt;0.01))*('Recurring Items'!$H$8&lt;&gt;"Skip")*(DAY(AB302)='Recurring Items'!$F$8)*IFERROR(N('Recurring Items'!$D$8),0)+(IF(AC302=1,'Debt Tracker'!$P$6&gt;0.01,INDEX('Debt Tracker'!$T$5:$AE$29,2,AC302-1)&gt;0.01))*('Recurring Items'!$H$9&lt;&gt;"Skip")*(DAY(AB302)='Recurring Items'!$F$9)*IFERROR(N('Recurring Items'!$D$9),0)+(IF(AC302=1,'Debt Tracker'!$P$7&gt;0.01,INDEX('Debt Tracker'!$T$5:$AE$29,3,AC302-1)&gt;0.01))*('Recurring Items'!$H$10&lt;&gt;"Skip")*(DAY(AB302)='Recurring Items'!$F$10)*IFERROR(N('Recurring Items'!$D$10),0)+(IF(AC302=1,'Debt Tracker'!$P$8&gt;0.01,INDEX('Debt Tracker'!$T$5:$AE$29,4,AC302-1)&gt;0.01))*('Recurring Items'!$H$11&lt;&gt;"Skip")*(DAY(AB302)='Recurring Items'!$F$11)*IFERROR(N('Recurring Items'!$D$11),0)+(IF(AC302=1,'Debt Tracker'!$P$9&gt;0.01,INDEX('Debt Tracker'!$T$5:$AE$29,5,AC302-1)&gt;0.01))*('Recurring Items'!$H$12&lt;&gt;"Skip")*(DAY(AB302)='Recurring Items'!$F$12)*IFERROR(N('Recurring Items'!$D$12),0)+(IF(AC302=1,'Debt Tracker'!$P$10&gt;0.01,INDEX('Debt Tracker'!$T$5:$AE$29,6,AC302-1)&gt;0.01))*('Recurring Items'!$H$13&lt;&gt;"Skip")*(DAY(AB302)='Recurring Items'!$F$13)*IFERROR(N('Recurring Items'!$D$13),0)+(IF(AC302=1,'Debt Tracker'!$P$11&gt;0.01,INDEX('Debt Tracker'!$T$5:$AE$29,7,AC302-1)&gt;0.01))*('Recurring Items'!$H$14&lt;&gt;"Skip")*(DAY(AB302)='Recurring Items'!$F$14)*IFERROR(N('Recurring Items'!$D$14),0)+(IF(AC302=1,'Debt Tracker'!$P$12&gt;0.01,INDEX('Debt Tracker'!$T$5:$AE$29,8,AC302-1)&gt;0.01))*('Recurring Items'!$H$15&lt;&gt;"Skip")*(DAY(AB302)='Recurring Items'!$F$15)*IFERROR(N('Recurring Items'!$D$15),0)+(IF(AC302=1,'Debt Tracker'!$P$13&gt;0.01,INDEX('Debt Tracker'!$T$5:$AE$29,9,AC302-1)&gt;0.01))*('Recurring Items'!$H$16&lt;&gt;"Skip")*(DAY(AB302)='Recurring Items'!$F$16)*IFERROR(N('Recurring Items'!$D$16),0)+(IF(AC302=1,'Debt Tracker'!$P$14&gt;0.01,INDEX('Debt Tracker'!$T$5:$AE$29,10,AC302-1)&gt;0.01))*('Recurring Items'!$H$17&lt;&gt;"Skip")*(DAY(AB302)='Recurring Items'!$F$17)*IFERROR(N('Recurring Items'!$D$17),0)+(IF(AC302=1,'Debt Tracker'!$P$15&gt;0.01,INDEX('Debt Tracker'!$T$5:$AE$29,11,AC302-1)&gt;0.01))*('Recurring Items'!$H$18&lt;&gt;"Skip")*(DAY(AB302)='Recurring Items'!$F$18)*IFERROR(N('Recurring Items'!$D$18),0)+(IF(AC302=1,'Debt Tracker'!$P$16&gt;0.01,INDEX('Debt Tracker'!$T$5:$AE$29,12,AC302-1)&gt;0.01))*('Recurring Items'!$H$19&lt;&gt;"Skip")*(DAY(AB302)='Recurring Items'!$F$19)*IFERROR(N('Recurring Items'!$D$19),0)+(IF(AC302=1,'Debt Tracker'!$P$17&gt;0.01,INDEX('Debt Tracker'!$T$5:$AE$29,13,AC302-1)&gt;0.01))*('Recurring Items'!$H$20&lt;&gt;"Skip")*(DAY(AB302)='Recurring Items'!$F$20)*IFERROR(N('Recurring Items'!$D$20),0)+(IF(AC302=1,'Debt Tracker'!$P$18&gt;0.01,INDEX('Debt Tracker'!$T$5:$AE$29,14,AC302-1)&gt;0.01))*('Recurring Items'!$H$21&lt;&gt;"Skip")*(DAY(AB302)='Recurring Items'!$F$21)*IFERROR(N('Recurring Items'!$D$21),0)+(IF(AC302=1,'Debt Tracker'!$P$19&gt;0.01,INDEX('Debt Tracker'!$T$5:$AE$29,15,AC302-1)&gt;0.01))*('Recurring Items'!$H$22&lt;&gt;"Skip")*(DAY(AB302)='Recurring Items'!$F$22)*IFERROR(N('Recurring Items'!$D$22),0)+(IF(AC302=1,'Debt Tracker'!$P$20&gt;0.01,INDEX('Debt Tracker'!$T$5:$AE$29,16,AC302-1)&gt;0.01))*('Recurring Items'!$H$23&lt;&gt;"Skip")*(DAY(AB302)='Recurring Items'!$F$23)*IFERROR(N('Recurring Items'!$D$23),0)+(IF(AC302=1,'Debt Tracker'!$P$21&gt;0.01,INDEX('Debt Tracker'!$T$5:$AE$29,17,AC302-1)&gt;0.01))*('Recurring Items'!$H$24&lt;&gt;"Skip")*(DAY(AB302)='Recurring Items'!$F$24)*IFERROR(N('Recurring Items'!$D$24),0)+(IF(AC302=1,'Debt Tracker'!$P$22&gt;0.01,INDEX('Debt Tracker'!$T$5:$AE$29,18,AC302-1)&gt;0.01))*('Recurring Items'!$H$25&lt;&gt;"Skip")*(DAY(AB302)='Recurring Items'!$F$25)*IFERROR(N('Recurring Items'!$D$25),0)+(IF(AC302=1,'Debt Tracker'!$P$23&gt;0.01,INDEX('Debt Tracker'!$T$5:$AE$29,19,AC302-1)&gt;0.01))*('Recurring Items'!$H$26&lt;&gt;"Skip")*(DAY(AB302)='Recurring Items'!$F$26)*IFERROR(N('Recurring Items'!$D$26),0)+(IF(AC302=1,'Debt Tracker'!$P$24&gt;0.01,INDEX('Debt Tracker'!$T$5:$AE$29,20,AC302-1)&gt;0.01))*('Recurring Items'!$H$27&lt;&gt;"Skip")*(DAY(AB302)='Recurring Items'!$F$27)*IFERROR(N('Recurring Items'!$D$27),0)+(IF(AC302=1,'Debt Tracker'!$P$25&gt;0.01,INDEX('Debt Tracker'!$T$5:$AE$29,21,AC302-1)&gt;0.01))*('Recurring Items'!$H$28&lt;&gt;"Skip")*(DAY(AB302)='Recurring Items'!$F$28)*IFERROR(N('Recurring Items'!$D$28),0)+(IF(AC302=1,'Debt Tracker'!$P$26&gt;0.01,INDEX('Debt Tracker'!$T$5:$AE$29,22,AC302-1)&gt;0.01))*('Recurring Items'!$H$29&lt;&gt;"Skip")*(DAY(AB302)='Recurring Items'!$F$29)*IFERROR(N('Recurring Items'!$D$29),0)+(IF(AC302=1,'Debt Tracker'!$P$27&gt;0.01,INDEX('Debt Tracker'!$T$5:$AE$29,23,AC302-1)&gt;0.01))*('Recurring Items'!$H$30&lt;&gt;"Skip")*(DAY(AB302)='Recurring Items'!$F$30)*IFERROR(N('Recurring Items'!$D$30),0)+(IF(AC302=1,'Debt Tracker'!$P$28&gt;0.01,INDEX('Debt Tracker'!$T$5:$AE$29,24,AC302-1)&gt;0.01))*('Recurring Items'!$H$31&lt;&gt;"Skip")*(DAY(AB302)='Recurring Items'!$F$31)*IFERROR(N('Recurring Items'!$D$31),0)+(IF(AC302=1,'Debt Tracker'!$P$29&gt;0.01,INDEX('Debt Tracker'!$T$5:$AE$29,25,AC302-1)&gt;0.01))*('Recurring Items'!$H$32&lt;&gt;"Skip")*(DAY(AB302)='Recurring Items'!$F$32)*IFERROR(N('Recurring Items'!$D$32),0)</f>
        <v>0</v>
      </c>
      <c r="AG302" s="1" t="n">
        <f aca="false">AD302-AE302-AF302</f>
        <v>0</v>
      </c>
      <c r="AH302" s="1" t="n">
        <f aca="false">AH301+AG302</f>
        <v>7815.28</v>
      </c>
    </row>
    <row r="303" customFormat="false" ht="15" hidden="false" customHeight="true" outlineLevel="0" collapsed="false">
      <c r="AA303" s="1" t="n">
        <v>103</v>
      </c>
      <c r="AB303" s="145" t="n">
        <f aca="false">$D$3+103</f>
        <v>46246</v>
      </c>
      <c r="AC303" s="1" t="n">
        <f aca="false">MIN(12,1+DATEDIF($D$3,AB303,"M"))</f>
        <v>4</v>
      </c>
      <c r="AD303" s="1" t="n">
        <f aca="false">SUMPRODUCT(('Recurring Items'!$C$6:$C$56="Income")*('Recurring Items'!$H$6:$H$56&lt;&gt;"Skip")*IFERROR(N('Recurring Items'!$D$6:$D$56),0)*(('Recurring Items'!$E$6:$E$56="Monthly")*(DAY(AB303)='Recurring Items'!$F$6:$F$56)+('Recurring Items'!$E$6:$E$56="Bi-weekly")*(WEEKDAY(AB303)=IFERROR(WEEKDAY('Recurring Items'!$G$6:$G$56),0))*(MOD(AB303-IFERROR('Recurring Items'!$G$6:$G$56,0),14)=0)*(AB303&gt;=IFERROR('Recurring Items'!$G$6:$G$56,9000000000))+('Recurring Items'!$E$6:$E$56="Weekly")*(WEEKDAY(AB303)=IFERROR(WEEKDAY('Recurring Items'!$G$6:$G$56),0))*(AB303&gt;=IFERROR('Recurring Items'!$G$6:$G$56,9000000000))+('Recurring Items'!$E$6:$E$56="One-time")*(AB303='Recurring Items'!$G$6:$G$56)))</f>
        <v>0</v>
      </c>
      <c r="AE303" s="1" t="n">
        <f aca="false">SUMPRODUCT(('Recurring Items'!$C$6:$C$56="Expense")*('Recurring Items'!$H$6:$H$56&lt;&gt;"Skip")*IFERROR(N('Recurring Items'!$D$6:$D$56),0)*(('Recurring Items'!$E$6:$E$56="Monthly")*(DAY(AB303)='Recurring Items'!$F$6:$F$56)+('Recurring Items'!$E$6:$E$56="Bi-weekly")*(WEEKDAY(AB303)=IFERROR(WEEKDAY('Recurring Items'!$G$6:$G$56),0))*(MOD(AB303-IFERROR('Recurring Items'!$G$6:$G$56,0),14)=0)*(AB303&gt;=IFERROR('Recurring Items'!$G$6:$G$56,9000000000))+('Recurring Items'!$E$6:$E$56="Weekly")*(WEEKDAY(AB303)=IFERROR(WEEKDAY('Recurring Items'!$G$6:$G$56),0))*(AB303&gt;=IFERROR('Recurring Items'!$G$6:$G$56,9000000000))+('Recurring Items'!$E$6:$E$56="One-time")*(AB303='Recurring Items'!$G$6:$G$56)))</f>
        <v>167.68</v>
      </c>
      <c r="AF303" s="1" t="n">
        <f aca="false">(IF(AC303=1,'Debt Tracker'!$P$5&gt;0.01,INDEX('Debt Tracker'!$T$5:$AE$29,1,AC303-1)&gt;0.01))*('Recurring Items'!$H$8&lt;&gt;"Skip")*(DAY(AB303)='Recurring Items'!$F$8)*IFERROR(N('Recurring Items'!$D$8),0)+(IF(AC303=1,'Debt Tracker'!$P$6&gt;0.01,INDEX('Debt Tracker'!$T$5:$AE$29,2,AC303-1)&gt;0.01))*('Recurring Items'!$H$9&lt;&gt;"Skip")*(DAY(AB303)='Recurring Items'!$F$9)*IFERROR(N('Recurring Items'!$D$9),0)+(IF(AC303=1,'Debt Tracker'!$P$7&gt;0.01,INDEX('Debt Tracker'!$T$5:$AE$29,3,AC303-1)&gt;0.01))*('Recurring Items'!$H$10&lt;&gt;"Skip")*(DAY(AB303)='Recurring Items'!$F$10)*IFERROR(N('Recurring Items'!$D$10),0)+(IF(AC303=1,'Debt Tracker'!$P$8&gt;0.01,INDEX('Debt Tracker'!$T$5:$AE$29,4,AC303-1)&gt;0.01))*('Recurring Items'!$H$11&lt;&gt;"Skip")*(DAY(AB303)='Recurring Items'!$F$11)*IFERROR(N('Recurring Items'!$D$11),0)+(IF(AC303=1,'Debt Tracker'!$P$9&gt;0.01,INDEX('Debt Tracker'!$T$5:$AE$29,5,AC303-1)&gt;0.01))*('Recurring Items'!$H$12&lt;&gt;"Skip")*(DAY(AB303)='Recurring Items'!$F$12)*IFERROR(N('Recurring Items'!$D$12),0)+(IF(AC303=1,'Debt Tracker'!$P$10&gt;0.01,INDEX('Debt Tracker'!$T$5:$AE$29,6,AC303-1)&gt;0.01))*('Recurring Items'!$H$13&lt;&gt;"Skip")*(DAY(AB303)='Recurring Items'!$F$13)*IFERROR(N('Recurring Items'!$D$13),0)+(IF(AC303=1,'Debt Tracker'!$P$11&gt;0.01,INDEX('Debt Tracker'!$T$5:$AE$29,7,AC303-1)&gt;0.01))*('Recurring Items'!$H$14&lt;&gt;"Skip")*(DAY(AB303)='Recurring Items'!$F$14)*IFERROR(N('Recurring Items'!$D$14),0)+(IF(AC303=1,'Debt Tracker'!$P$12&gt;0.01,INDEX('Debt Tracker'!$T$5:$AE$29,8,AC303-1)&gt;0.01))*('Recurring Items'!$H$15&lt;&gt;"Skip")*(DAY(AB303)='Recurring Items'!$F$15)*IFERROR(N('Recurring Items'!$D$15),0)+(IF(AC303=1,'Debt Tracker'!$P$13&gt;0.01,INDEX('Debt Tracker'!$T$5:$AE$29,9,AC303-1)&gt;0.01))*('Recurring Items'!$H$16&lt;&gt;"Skip")*(DAY(AB303)='Recurring Items'!$F$16)*IFERROR(N('Recurring Items'!$D$16),0)+(IF(AC303=1,'Debt Tracker'!$P$14&gt;0.01,INDEX('Debt Tracker'!$T$5:$AE$29,10,AC303-1)&gt;0.01))*('Recurring Items'!$H$17&lt;&gt;"Skip")*(DAY(AB303)='Recurring Items'!$F$17)*IFERROR(N('Recurring Items'!$D$17),0)+(IF(AC303=1,'Debt Tracker'!$P$15&gt;0.01,INDEX('Debt Tracker'!$T$5:$AE$29,11,AC303-1)&gt;0.01))*('Recurring Items'!$H$18&lt;&gt;"Skip")*(DAY(AB303)='Recurring Items'!$F$18)*IFERROR(N('Recurring Items'!$D$18),0)+(IF(AC303=1,'Debt Tracker'!$P$16&gt;0.01,INDEX('Debt Tracker'!$T$5:$AE$29,12,AC303-1)&gt;0.01))*('Recurring Items'!$H$19&lt;&gt;"Skip")*(DAY(AB303)='Recurring Items'!$F$19)*IFERROR(N('Recurring Items'!$D$19),0)+(IF(AC303=1,'Debt Tracker'!$P$17&gt;0.01,INDEX('Debt Tracker'!$T$5:$AE$29,13,AC303-1)&gt;0.01))*('Recurring Items'!$H$20&lt;&gt;"Skip")*(DAY(AB303)='Recurring Items'!$F$20)*IFERROR(N('Recurring Items'!$D$20),0)+(IF(AC303=1,'Debt Tracker'!$P$18&gt;0.01,INDEX('Debt Tracker'!$T$5:$AE$29,14,AC303-1)&gt;0.01))*('Recurring Items'!$H$21&lt;&gt;"Skip")*(DAY(AB303)='Recurring Items'!$F$21)*IFERROR(N('Recurring Items'!$D$21),0)+(IF(AC303=1,'Debt Tracker'!$P$19&gt;0.01,INDEX('Debt Tracker'!$T$5:$AE$29,15,AC303-1)&gt;0.01))*('Recurring Items'!$H$22&lt;&gt;"Skip")*(DAY(AB303)='Recurring Items'!$F$22)*IFERROR(N('Recurring Items'!$D$22),0)+(IF(AC303=1,'Debt Tracker'!$P$20&gt;0.01,INDEX('Debt Tracker'!$T$5:$AE$29,16,AC303-1)&gt;0.01))*('Recurring Items'!$H$23&lt;&gt;"Skip")*(DAY(AB303)='Recurring Items'!$F$23)*IFERROR(N('Recurring Items'!$D$23),0)+(IF(AC303=1,'Debt Tracker'!$P$21&gt;0.01,INDEX('Debt Tracker'!$T$5:$AE$29,17,AC303-1)&gt;0.01))*('Recurring Items'!$H$24&lt;&gt;"Skip")*(DAY(AB303)='Recurring Items'!$F$24)*IFERROR(N('Recurring Items'!$D$24),0)+(IF(AC303=1,'Debt Tracker'!$P$22&gt;0.01,INDEX('Debt Tracker'!$T$5:$AE$29,18,AC303-1)&gt;0.01))*('Recurring Items'!$H$25&lt;&gt;"Skip")*(DAY(AB303)='Recurring Items'!$F$25)*IFERROR(N('Recurring Items'!$D$25),0)+(IF(AC303=1,'Debt Tracker'!$P$23&gt;0.01,INDEX('Debt Tracker'!$T$5:$AE$29,19,AC303-1)&gt;0.01))*('Recurring Items'!$H$26&lt;&gt;"Skip")*(DAY(AB303)='Recurring Items'!$F$26)*IFERROR(N('Recurring Items'!$D$26),0)+(IF(AC303=1,'Debt Tracker'!$P$24&gt;0.01,INDEX('Debt Tracker'!$T$5:$AE$29,20,AC303-1)&gt;0.01))*('Recurring Items'!$H$27&lt;&gt;"Skip")*(DAY(AB303)='Recurring Items'!$F$27)*IFERROR(N('Recurring Items'!$D$27),0)+(IF(AC303=1,'Debt Tracker'!$P$25&gt;0.01,INDEX('Debt Tracker'!$T$5:$AE$29,21,AC303-1)&gt;0.01))*('Recurring Items'!$H$28&lt;&gt;"Skip")*(DAY(AB303)='Recurring Items'!$F$28)*IFERROR(N('Recurring Items'!$D$28),0)+(IF(AC303=1,'Debt Tracker'!$P$26&gt;0.01,INDEX('Debt Tracker'!$T$5:$AE$29,22,AC303-1)&gt;0.01))*('Recurring Items'!$H$29&lt;&gt;"Skip")*(DAY(AB303)='Recurring Items'!$F$29)*IFERROR(N('Recurring Items'!$D$29),0)+(IF(AC303=1,'Debt Tracker'!$P$27&gt;0.01,INDEX('Debt Tracker'!$T$5:$AE$29,23,AC303-1)&gt;0.01))*('Recurring Items'!$H$30&lt;&gt;"Skip")*(DAY(AB303)='Recurring Items'!$F$30)*IFERROR(N('Recurring Items'!$D$30),0)+(IF(AC303=1,'Debt Tracker'!$P$28&gt;0.01,INDEX('Debt Tracker'!$T$5:$AE$29,24,AC303-1)&gt;0.01))*('Recurring Items'!$H$31&lt;&gt;"Skip")*(DAY(AB303)='Recurring Items'!$F$31)*IFERROR(N('Recurring Items'!$D$31),0)+(IF(AC303=1,'Debt Tracker'!$P$29&gt;0.01,INDEX('Debt Tracker'!$T$5:$AE$29,25,AC303-1)&gt;0.01))*('Recurring Items'!$H$32&lt;&gt;"Skip")*(DAY(AB303)='Recurring Items'!$F$32)*IFERROR(N('Recurring Items'!$D$32),0)</f>
        <v>0</v>
      </c>
      <c r="AG303" s="1" t="n">
        <f aca="false">AD303-AE303-AF303</f>
        <v>-167.68</v>
      </c>
      <c r="AH303" s="1" t="n">
        <f aca="false">AH302+AG303</f>
        <v>7647.6</v>
      </c>
    </row>
    <row r="304" customFormat="false" ht="15" hidden="false" customHeight="true" outlineLevel="0" collapsed="false">
      <c r="AA304" s="1" t="n">
        <v>104</v>
      </c>
      <c r="AB304" s="145" t="n">
        <f aca="false">$D$3+104</f>
        <v>46247</v>
      </c>
      <c r="AC304" s="1" t="n">
        <f aca="false">MIN(12,1+DATEDIF($D$3,AB304,"M"))</f>
        <v>4</v>
      </c>
      <c r="AD304" s="1" t="n">
        <f aca="false">SUMPRODUCT(('Recurring Items'!$C$6:$C$56="Income")*('Recurring Items'!$H$6:$H$56&lt;&gt;"Skip")*IFERROR(N('Recurring Items'!$D$6:$D$56),0)*(('Recurring Items'!$E$6:$E$56="Monthly")*(DAY(AB304)='Recurring Items'!$F$6:$F$56)+('Recurring Items'!$E$6:$E$56="Bi-weekly")*(WEEKDAY(AB304)=IFERROR(WEEKDAY('Recurring Items'!$G$6:$G$56),0))*(MOD(AB304-IFERROR('Recurring Items'!$G$6:$G$56,0),14)=0)*(AB304&gt;=IFERROR('Recurring Items'!$G$6:$G$56,9000000000))+('Recurring Items'!$E$6:$E$56="Weekly")*(WEEKDAY(AB304)=IFERROR(WEEKDAY('Recurring Items'!$G$6:$G$56),0))*(AB304&gt;=IFERROR('Recurring Items'!$G$6:$G$56,9000000000))+('Recurring Items'!$E$6:$E$56="One-time")*(AB304='Recurring Items'!$G$6:$G$56)))</f>
        <v>2274.42</v>
      </c>
      <c r="AE304" s="1" t="n">
        <f aca="false">SUMPRODUCT(('Recurring Items'!$C$6:$C$56="Expense")*('Recurring Items'!$H$6:$H$56&lt;&gt;"Skip")*IFERROR(N('Recurring Items'!$D$6:$D$56),0)*(('Recurring Items'!$E$6:$E$56="Monthly")*(DAY(AB304)='Recurring Items'!$F$6:$F$56)+('Recurring Items'!$E$6:$E$56="Bi-weekly")*(WEEKDAY(AB304)=IFERROR(WEEKDAY('Recurring Items'!$G$6:$G$56),0))*(MOD(AB304-IFERROR('Recurring Items'!$G$6:$G$56,0),14)=0)*(AB304&gt;=IFERROR('Recurring Items'!$G$6:$G$56,9000000000))+('Recurring Items'!$E$6:$E$56="Weekly")*(WEEKDAY(AB304)=IFERROR(WEEKDAY('Recurring Items'!$G$6:$G$56),0))*(AB304&gt;=IFERROR('Recurring Items'!$G$6:$G$56,9000000000))+('Recurring Items'!$E$6:$E$56="One-time")*(AB304='Recurring Items'!$G$6:$G$56)))</f>
        <v>0</v>
      </c>
      <c r="AF304" s="1" t="n">
        <f aca="false">(IF(AC304=1,'Debt Tracker'!$P$5&gt;0.01,INDEX('Debt Tracker'!$T$5:$AE$29,1,AC304-1)&gt;0.01))*('Recurring Items'!$H$8&lt;&gt;"Skip")*(DAY(AB304)='Recurring Items'!$F$8)*IFERROR(N('Recurring Items'!$D$8),0)+(IF(AC304=1,'Debt Tracker'!$P$6&gt;0.01,INDEX('Debt Tracker'!$T$5:$AE$29,2,AC304-1)&gt;0.01))*('Recurring Items'!$H$9&lt;&gt;"Skip")*(DAY(AB304)='Recurring Items'!$F$9)*IFERROR(N('Recurring Items'!$D$9),0)+(IF(AC304=1,'Debt Tracker'!$P$7&gt;0.01,INDEX('Debt Tracker'!$T$5:$AE$29,3,AC304-1)&gt;0.01))*('Recurring Items'!$H$10&lt;&gt;"Skip")*(DAY(AB304)='Recurring Items'!$F$10)*IFERROR(N('Recurring Items'!$D$10),0)+(IF(AC304=1,'Debt Tracker'!$P$8&gt;0.01,INDEX('Debt Tracker'!$T$5:$AE$29,4,AC304-1)&gt;0.01))*('Recurring Items'!$H$11&lt;&gt;"Skip")*(DAY(AB304)='Recurring Items'!$F$11)*IFERROR(N('Recurring Items'!$D$11),0)+(IF(AC304=1,'Debt Tracker'!$P$9&gt;0.01,INDEX('Debt Tracker'!$T$5:$AE$29,5,AC304-1)&gt;0.01))*('Recurring Items'!$H$12&lt;&gt;"Skip")*(DAY(AB304)='Recurring Items'!$F$12)*IFERROR(N('Recurring Items'!$D$12),0)+(IF(AC304=1,'Debt Tracker'!$P$10&gt;0.01,INDEX('Debt Tracker'!$T$5:$AE$29,6,AC304-1)&gt;0.01))*('Recurring Items'!$H$13&lt;&gt;"Skip")*(DAY(AB304)='Recurring Items'!$F$13)*IFERROR(N('Recurring Items'!$D$13),0)+(IF(AC304=1,'Debt Tracker'!$P$11&gt;0.01,INDEX('Debt Tracker'!$T$5:$AE$29,7,AC304-1)&gt;0.01))*('Recurring Items'!$H$14&lt;&gt;"Skip")*(DAY(AB304)='Recurring Items'!$F$14)*IFERROR(N('Recurring Items'!$D$14),0)+(IF(AC304=1,'Debt Tracker'!$P$12&gt;0.01,INDEX('Debt Tracker'!$T$5:$AE$29,8,AC304-1)&gt;0.01))*('Recurring Items'!$H$15&lt;&gt;"Skip")*(DAY(AB304)='Recurring Items'!$F$15)*IFERROR(N('Recurring Items'!$D$15),0)+(IF(AC304=1,'Debt Tracker'!$P$13&gt;0.01,INDEX('Debt Tracker'!$T$5:$AE$29,9,AC304-1)&gt;0.01))*('Recurring Items'!$H$16&lt;&gt;"Skip")*(DAY(AB304)='Recurring Items'!$F$16)*IFERROR(N('Recurring Items'!$D$16),0)+(IF(AC304=1,'Debt Tracker'!$P$14&gt;0.01,INDEX('Debt Tracker'!$T$5:$AE$29,10,AC304-1)&gt;0.01))*('Recurring Items'!$H$17&lt;&gt;"Skip")*(DAY(AB304)='Recurring Items'!$F$17)*IFERROR(N('Recurring Items'!$D$17),0)+(IF(AC304=1,'Debt Tracker'!$P$15&gt;0.01,INDEX('Debt Tracker'!$T$5:$AE$29,11,AC304-1)&gt;0.01))*('Recurring Items'!$H$18&lt;&gt;"Skip")*(DAY(AB304)='Recurring Items'!$F$18)*IFERROR(N('Recurring Items'!$D$18),0)+(IF(AC304=1,'Debt Tracker'!$P$16&gt;0.01,INDEX('Debt Tracker'!$T$5:$AE$29,12,AC304-1)&gt;0.01))*('Recurring Items'!$H$19&lt;&gt;"Skip")*(DAY(AB304)='Recurring Items'!$F$19)*IFERROR(N('Recurring Items'!$D$19),0)+(IF(AC304=1,'Debt Tracker'!$P$17&gt;0.01,INDEX('Debt Tracker'!$T$5:$AE$29,13,AC304-1)&gt;0.01))*('Recurring Items'!$H$20&lt;&gt;"Skip")*(DAY(AB304)='Recurring Items'!$F$20)*IFERROR(N('Recurring Items'!$D$20),0)+(IF(AC304=1,'Debt Tracker'!$P$18&gt;0.01,INDEX('Debt Tracker'!$T$5:$AE$29,14,AC304-1)&gt;0.01))*('Recurring Items'!$H$21&lt;&gt;"Skip")*(DAY(AB304)='Recurring Items'!$F$21)*IFERROR(N('Recurring Items'!$D$21),0)+(IF(AC304=1,'Debt Tracker'!$P$19&gt;0.01,INDEX('Debt Tracker'!$T$5:$AE$29,15,AC304-1)&gt;0.01))*('Recurring Items'!$H$22&lt;&gt;"Skip")*(DAY(AB304)='Recurring Items'!$F$22)*IFERROR(N('Recurring Items'!$D$22),0)+(IF(AC304=1,'Debt Tracker'!$P$20&gt;0.01,INDEX('Debt Tracker'!$T$5:$AE$29,16,AC304-1)&gt;0.01))*('Recurring Items'!$H$23&lt;&gt;"Skip")*(DAY(AB304)='Recurring Items'!$F$23)*IFERROR(N('Recurring Items'!$D$23),0)+(IF(AC304=1,'Debt Tracker'!$P$21&gt;0.01,INDEX('Debt Tracker'!$T$5:$AE$29,17,AC304-1)&gt;0.01))*('Recurring Items'!$H$24&lt;&gt;"Skip")*(DAY(AB304)='Recurring Items'!$F$24)*IFERROR(N('Recurring Items'!$D$24),0)+(IF(AC304=1,'Debt Tracker'!$P$22&gt;0.01,INDEX('Debt Tracker'!$T$5:$AE$29,18,AC304-1)&gt;0.01))*('Recurring Items'!$H$25&lt;&gt;"Skip")*(DAY(AB304)='Recurring Items'!$F$25)*IFERROR(N('Recurring Items'!$D$25),0)+(IF(AC304=1,'Debt Tracker'!$P$23&gt;0.01,INDEX('Debt Tracker'!$T$5:$AE$29,19,AC304-1)&gt;0.01))*('Recurring Items'!$H$26&lt;&gt;"Skip")*(DAY(AB304)='Recurring Items'!$F$26)*IFERROR(N('Recurring Items'!$D$26),0)+(IF(AC304=1,'Debt Tracker'!$P$24&gt;0.01,INDEX('Debt Tracker'!$T$5:$AE$29,20,AC304-1)&gt;0.01))*('Recurring Items'!$H$27&lt;&gt;"Skip")*(DAY(AB304)='Recurring Items'!$F$27)*IFERROR(N('Recurring Items'!$D$27),0)+(IF(AC304=1,'Debt Tracker'!$P$25&gt;0.01,INDEX('Debt Tracker'!$T$5:$AE$29,21,AC304-1)&gt;0.01))*('Recurring Items'!$H$28&lt;&gt;"Skip")*(DAY(AB304)='Recurring Items'!$F$28)*IFERROR(N('Recurring Items'!$D$28),0)+(IF(AC304=1,'Debt Tracker'!$P$26&gt;0.01,INDEX('Debt Tracker'!$T$5:$AE$29,22,AC304-1)&gt;0.01))*('Recurring Items'!$H$29&lt;&gt;"Skip")*(DAY(AB304)='Recurring Items'!$F$29)*IFERROR(N('Recurring Items'!$D$29),0)+(IF(AC304=1,'Debt Tracker'!$P$27&gt;0.01,INDEX('Debt Tracker'!$T$5:$AE$29,23,AC304-1)&gt;0.01))*('Recurring Items'!$H$30&lt;&gt;"Skip")*(DAY(AB304)='Recurring Items'!$F$30)*IFERROR(N('Recurring Items'!$D$30),0)+(IF(AC304=1,'Debt Tracker'!$P$28&gt;0.01,INDEX('Debt Tracker'!$T$5:$AE$29,24,AC304-1)&gt;0.01))*('Recurring Items'!$H$31&lt;&gt;"Skip")*(DAY(AB304)='Recurring Items'!$F$31)*IFERROR(N('Recurring Items'!$D$31),0)+(IF(AC304=1,'Debt Tracker'!$P$29&gt;0.01,INDEX('Debt Tracker'!$T$5:$AE$29,25,AC304-1)&gt;0.01))*('Recurring Items'!$H$32&lt;&gt;"Skip")*(DAY(AB304)='Recurring Items'!$F$32)*IFERROR(N('Recurring Items'!$D$32),0)</f>
        <v>80</v>
      </c>
      <c r="AG304" s="1" t="n">
        <f aca="false">AD304-AE304-AF304</f>
        <v>2194.42</v>
      </c>
      <c r="AH304" s="1" t="n">
        <f aca="false">AH303+AG304</f>
        <v>9842.02</v>
      </c>
    </row>
    <row r="305" customFormat="false" ht="15" hidden="false" customHeight="true" outlineLevel="0" collapsed="false">
      <c r="AA305" s="1" t="n">
        <v>105</v>
      </c>
      <c r="AB305" s="145" t="n">
        <f aca="false">$D$3+105</f>
        <v>46248</v>
      </c>
      <c r="AC305" s="1" t="n">
        <f aca="false">MIN(12,1+DATEDIF($D$3,AB305,"M"))</f>
        <v>4</v>
      </c>
      <c r="AD305" s="1" t="n">
        <f aca="false">SUMPRODUCT(('Recurring Items'!$C$6:$C$56="Income")*('Recurring Items'!$H$6:$H$56&lt;&gt;"Skip")*IFERROR(N('Recurring Items'!$D$6:$D$56),0)*(('Recurring Items'!$E$6:$E$56="Monthly")*(DAY(AB305)='Recurring Items'!$F$6:$F$56)+('Recurring Items'!$E$6:$E$56="Bi-weekly")*(WEEKDAY(AB305)=IFERROR(WEEKDAY('Recurring Items'!$G$6:$G$56),0))*(MOD(AB305-IFERROR('Recurring Items'!$G$6:$G$56,0),14)=0)*(AB305&gt;=IFERROR('Recurring Items'!$G$6:$G$56,9000000000))+('Recurring Items'!$E$6:$E$56="Weekly")*(WEEKDAY(AB305)=IFERROR(WEEKDAY('Recurring Items'!$G$6:$G$56),0))*(AB305&gt;=IFERROR('Recurring Items'!$G$6:$G$56,9000000000))+('Recurring Items'!$E$6:$E$56="One-time")*(AB305='Recurring Items'!$G$6:$G$56)))</f>
        <v>0</v>
      </c>
      <c r="AE305" s="1" t="n">
        <f aca="false">SUMPRODUCT(('Recurring Items'!$C$6:$C$56="Expense")*('Recurring Items'!$H$6:$H$56&lt;&gt;"Skip")*IFERROR(N('Recurring Items'!$D$6:$D$56),0)*(('Recurring Items'!$E$6:$E$56="Monthly")*(DAY(AB305)='Recurring Items'!$F$6:$F$56)+('Recurring Items'!$E$6:$E$56="Bi-weekly")*(WEEKDAY(AB305)=IFERROR(WEEKDAY('Recurring Items'!$G$6:$G$56),0))*(MOD(AB305-IFERROR('Recurring Items'!$G$6:$G$56,0),14)=0)*(AB305&gt;=IFERROR('Recurring Items'!$G$6:$G$56,9000000000))+('Recurring Items'!$E$6:$E$56="Weekly")*(WEEKDAY(AB305)=IFERROR(WEEKDAY('Recurring Items'!$G$6:$G$56),0))*(AB305&gt;=IFERROR('Recurring Items'!$G$6:$G$56,9000000000))+('Recurring Items'!$E$6:$E$56="One-time")*(AB305='Recurring Items'!$G$6:$G$56)))</f>
        <v>460</v>
      </c>
      <c r="AF305" s="1" t="n">
        <f aca="false">(IF(AC305=1,'Debt Tracker'!$P$5&gt;0.01,INDEX('Debt Tracker'!$T$5:$AE$29,1,AC305-1)&gt;0.01))*('Recurring Items'!$H$8&lt;&gt;"Skip")*(DAY(AB305)='Recurring Items'!$F$8)*IFERROR(N('Recurring Items'!$D$8),0)+(IF(AC305=1,'Debt Tracker'!$P$6&gt;0.01,INDEX('Debt Tracker'!$T$5:$AE$29,2,AC305-1)&gt;0.01))*('Recurring Items'!$H$9&lt;&gt;"Skip")*(DAY(AB305)='Recurring Items'!$F$9)*IFERROR(N('Recurring Items'!$D$9),0)+(IF(AC305=1,'Debt Tracker'!$P$7&gt;0.01,INDEX('Debt Tracker'!$T$5:$AE$29,3,AC305-1)&gt;0.01))*('Recurring Items'!$H$10&lt;&gt;"Skip")*(DAY(AB305)='Recurring Items'!$F$10)*IFERROR(N('Recurring Items'!$D$10),0)+(IF(AC305=1,'Debt Tracker'!$P$8&gt;0.01,INDEX('Debt Tracker'!$T$5:$AE$29,4,AC305-1)&gt;0.01))*('Recurring Items'!$H$11&lt;&gt;"Skip")*(DAY(AB305)='Recurring Items'!$F$11)*IFERROR(N('Recurring Items'!$D$11),0)+(IF(AC305=1,'Debt Tracker'!$P$9&gt;0.01,INDEX('Debt Tracker'!$T$5:$AE$29,5,AC305-1)&gt;0.01))*('Recurring Items'!$H$12&lt;&gt;"Skip")*(DAY(AB305)='Recurring Items'!$F$12)*IFERROR(N('Recurring Items'!$D$12),0)+(IF(AC305=1,'Debt Tracker'!$P$10&gt;0.01,INDEX('Debt Tracker'!$T$5:$AE$29,6,AC305-1)&gt;0.01))*('Recurring Items'!$H$13&lt;&gt;"Skip")*(DAY(AB305)='Recurring Items'!$F$13)*IFERROR(N('Recurring Items'!$D$13),0)+(IF(AC305=1,'Debt Tracker'!$P$11&gt;0.01,INDEX('Debt Tracker'!$T$5:$AE$29,7,AC305-1)&gt;0.01))*('Recurring Items'!$H$14&lt;&gt;"Skip")*(DAY(AB305)='Recurring Items'!$F$14)*IFERROR(N('Recurring Items'!$D$14),0)+(IF(AC305=1,'Debt Tracker'!$P$12&gt;0.01,INDEX('Debt Tracker'!$T$5:$AE$29,8,AC305-1)&gt;0.01))*('Recurring Items'!$H$15&lt;&gt;"Skip")*(DAY(AB305)='Recurring Items'!$F$15)*IFERROR(N('Recurring Items'!$D$15),0)+(IF(AC305=1,'Debt Tracker'!$P$13&gt;0.01,INDEX('Debt Tracker'!$T$5:$AE$29,9,AC305-1)&gt;0.01))*('Recurring Items'!$H$16&lt;&gt;"Skip")*(DAY(AB305)='Recurring Items'!$F$16)*IFERROR(N('Recurring Items'!$D$16),0)+(IF(AC305=1,'Debt Tracker'!$P$14&gt;0.01,INDEX('Debt Tracker'!$T$5:$AE$29,10,AC305-1)&gt;0.01))*('Recurring Items'!$H$17&lt;&gt;"Skip")*(DAY(AB305)='Recurring Items'!$F$17)*IFERROR(N('Recurring Items'!$D$17),0)+(IF(AC305=1,'Debt Tracker'!$P$15&gt;0.01,INDEX('Debt Tracker'!$T$5:$AE$29,11,AC305-1)&gt;0.01))*('Recurring Items'!$H$18&lt;&gt;"Skip")*(DAY(AB305)='Recurring Items'!$F$18)*IFERROR(N('Recurring Items'!$D$18),0)+(IF(AC305=1,'Debt Tracker'!$P$16&gt;0.01,INDEX('Debt Tracker'!$T$5:$AE$29,12,AC305-1)&gt;0.01))*('Recurring Items'!$H$19&lt;&gt;"Skip")*(DAY(AB305)='Recurring Items'!$F$19)*IFERROR(N('Recurring Items'!$D$19),0)+(IF(AC305=1,'Debt Tracker'!$P$17&gt;0.01,INDEX('Debt Tracker'!$T$5:$AE$29,13,AC305-1)&gt;0.01))*('Recurring Items'!$H$20&lt;&gt;"Skip")*(DAY(AB305)='Recurring Items'!$F$20)*IFERROR(N('Recurring Items'!$D$20),0)+(IF(AC305=1,'Debt Tracker'!$P$18&gt;0.01,INDEX('Debt Tracker'!$T$5:$AE$29,14,AC305-1)&gt;0.01))*('Recurring Items'!$H$21&lt;&gt;"Skip")*(DAY(AB305)='Recurring Items'!$F$21)*IFERROR(N('Recurring Items'!$D$21),0)+(IF(AC305=1,'Debt Tracker'!$P$19&gt;0.01,INDEX('Debt Tracker'!$T$5:$AE$29,15,AC305-1)&gt;0.01))*('Recurring Items'!$H$22&lt;&gt;"Skip")*(DAY(AB305)='Recurring Items'!$F$22)*IFERROR(N('Recurring Items'!$D$22),0)+(IF(AC305=1,'Debt Tracker'!$P$20&gt;0.01,INDEX('Debt Tracker'!$T$5:$AE$29,16,AC305-1)&gt;0.01))*('Recurring Items'!$H$23&lt;&gt;"Skip")*(DAY(AB305)='Recurring Items'!$F$23)*IFERROR(N('Recurring Items'!$D$23),0)+(IF(AC305=1,'Debt Tracker'!$P$21&gt;0.01,INDEX('Debt Tracker'!$T$5:$AE$29,17,AC305-1)&gt;0.01))*('Recurring Items'!$H$24&lt;&gt;"Skip")*(DAY(AB305)='Recurring Items'!$F$24)*IFERROR(N('Recurring Items'!$D$24),0)+(IF(AC305=1,'Debt Tracker'!$P$22&gt;0.01,INDEX('Debt Tracker'!$T$5:$AE$29,18,AC305-1)&gt;0.01))*('Recurring Items'!$H$25&lt;&gt;"Skip")*(DAY(AB305)='Recurring Items'!$F$25)*IFERROR(N('Recurring Items'!$D$25),0)+(IF(AC305=1,'Debt Tracker'!$P$23&gt;0.01,INDEX('Debt Tracker'!$T$5:$AE$29,19,AC305-1)&gt;0.01))*('Recurring Items'!$H$26&lt;&gt;"Skip")*(DAY(AB305)='Recurring Items'!$F$26)*IFERROR(N('Recurring Items'!$D$26),0)+(IF(AC305=1,'Debt Tracker'!$P$24&gt;0.01,INDEX('Debt Tracker'!$T$5:$AE$29,20,AC305-1)&gt;0.01))*('Recurring Items'!$H$27&lt;&gt;"Skip")*(DAY(AB305)='Recurring Items'!$F$27)*IFERROR(N('Recurring Items'!$D$27),0)+(IF(AC305=1,'Debt Tracker'!$P$25&gt;0.01,INDEX('Debt Tracker'!$T$5:$AE$29,21,AC305-1)&gt;0.01))*('Recurring Items'!$H$28&lt;&gt;"Skip")*(DAY(AB305)='Recurring Items'!$F$28)*IFERROR(N('Recurring Items'!$D$28),0)+(IF(AC305=1,'Debt Tracker'!$P$26&gt;0.01,INDEX('Debt Tracker'!$T$5:$AE$29,22,AC305-1)&gt;0.01))*('Recurring Items'!$H$29&lt;&gt;"Skip")*(DAY(AB305)='Recurring Items'!$F$29)*IFERROR(N('Recurring Items'!$D$29),0)+(IF(AC305=1,'Debt Tracker'!$P$27&gt;0.01,INDEX('Debt Tracker'!$T$5:$AE$29,23,AC305-1)&gt;0.01))*('Recurring Items'!$H$30&lt;&gt;"Skip")*(DAY(AB305)='Recurring Items'!$F$30)*IFERROR(N('Recurring Items'!$D$30),0)+(IF(AC305=1,'Debt Tracker'!$P$28&gt;0.01,INDEX('Debt Tracker'!$T$5:$AE$29,24,AC305-1)&gt;0.01))*('Recurring Items'!$H$31&lt;&gt;"Skip")*(DAY(AB305)='Recurring Items'!$F$31)*IFERROR(N('Recurring Items'!$D$31),0)+(IF(AC305=1,'Debt Tracker'!$P$29&gt;0.01,INDEX('Debt Tracker'!$T$5:$AE$29,25,AC305-1)&gt;0.01))*('Recurring Items'!$H$32&lt;&gt;"Skip")*(DAY(AB305)='Recurring Items'!$F$32)*IFERROR(N('Recurring Items'!$D$32),0)</f>
        <v>95.51</v>
      </c>
      <c r="AG305" s="1" t="n">
        <f aca="false">AD305-AE305-AF305</f>
        <v>-555.51</v>
      </c>
      <c r="AH305" s="1" t="n">
        <f aca="false">AH304+AG305</f>
        <v>9286.51</v>
      </c>
    </row>
    <row r="306" customFormat="false" ht="15" hidden="false" customHeight="true" outlineLevel="0" collapsed="false">
      <c r="AA306" s="1" t="n">
        <v>106</v>
      </c>
      <c r="AB306" s="145" t="n">
        <f aca="false">$D$3+106</f>
        <v>46249</v>
      </c>
      <c r="AC306" s="1" t="n">
        <f aca="false">MIN(12,1+DATEDIF($D$3,AB306,"M"))</f>
        <v>4</v>
      </c>
      <c r="AD306" s="1" t="n">
        <f aca="false">SUMPRODUCT(('Recurring Items'!$C$6:$C$56="Income")*('Recurring Items'!$H$6:$H$56&lt;&gt;"Skip")*IFERROR(N('Recurring Items'!$D$6:$D$56),0)*(('Recurring Items'!$E$6:$E$56="Monthly")*(DAY(AB306)='Recurring Items'!$F$6:$F$56)+('Recurring Items'!$E$6:$E$56="Bi-weekly")*(WEEKDAY(AB306)=IFERROR(WEEKDAY('Recurring Items'!$G$6:$G$56),0))*(MOD(AB306-IFERROR('Recurring Items'!$G$6:$G$56,0),14)=0)*(AB306&gt;=IFERROR('Recurring Items'!$G$6:$G$56,9000000000))+('Recurring Items'!$E$6:$E$56="Weekly")*(WEEKDAY(AB306)=IFERROR(WEEKDAY('Recurring Items'!$G$6:$G$56),0))*(AB306&gt;=IFERROR('Recurring Items'!$G$6:$G$56,9000000000))+('Recurring Items'!$E$6:$E$56="One-time")*(AB306='Recurring Items'!$G$6:$G$56)))</f>
        <v>0</v>
      </c>
      <c r="AE306" s="1" t="n">
        <f aca="false">SUMPRODUCT(('Recurring Items'!$C$6:$C$56="Expense")*('Recurring Items'!$H$6:$H$56&lt;&gt;"Skip")*IFERROR(N('Recurring Items'!$D$6:$D$56),0)*(('Recurring Items'!$E$6:$E$56="Monthly")*(DAY(AB306)='Recurring Items'!$F$6:$F$56)+('Recurring Items'!$E$6:$E$56="Bi-weekly")*(WEEKDAY(AB306)=IFERROR(WEEKDAY('Recurring Items'!$G$6:$G$56),0))*(MOD(AB306-IFERROR('Recurring Items'!$G$6:$G$56,0),14)=0)*(AB306&gt;=IFERROR('Recurring Items'!$G$6:$G$56,9000000000))+('Recurring Items'!$E$6:$E$56="Weekly")*(WEEKDAY(AB306)=IFERROR(WEEKDAY('Recurring Items'!$G$6:$G$56),0))*(AB306&gt;=IFERROR('Recurring Items'!$G$6:$G$56,9000000000))+('Recurring Items'!$E$6:$E$56="One-time")*(AB306='Recurring Items'!$G$6:$G$56)))</f>
        <v>2990.57</v>
      </c>
      <c r="AF306" s="1" t="n">
        <f aca="false">(IF(AC306=1,'Debt Tracker'!$P$5&gt;0.01,INDEX('Debt Tracker'!$T$5:$AE$29,1,AC306-1)&gt;0.01))*('Recurring Items'!$H$8&lt;&gt;"Skip")*(DAY(AB306)='Recurring Items'!$F$8)*IFERROR(N('Recurring Items'!$D$8),0)+(IF(AC306=1,'Debt Tracker'!$P$6&gt;0.01,INDEX('Debt Tracker'!$T$5:$AE$29,2,AC306-1)&gt;0.01))*('Recurring Items'!$H$9&lt;&gt;"Skip")*(DAY(AB306)='Recurring Items'!$F$9)*IFERROR(N('Recurring Items'!$D$9),0)+(IF(AC306=1,'Debt Tracker'!$P$7&gt;0.01,INDEX('Debt Tracker'!$T$5:$AE$29,3,AC306-1)&gt;0.01))*('Recurring Items'!$H$10&lt;&gt;"Skip")*(DAY(AB306)='Recurring Items'!$F$10)*IFERROR(N('Recurring Items'!$D$10),0)+(IF(AC306=1,'Debt Tracker'!$P$8&gt;0.01,INDEX('Debt Tracker'!$T$5:$AE$29,4,AC306-1)&gt;0.01))*('Recurring Items'!$H$11&lt;&gt;"Skip")*(DAY(AB306)='Recurring Items'!$F$11)*IFERROR(N('Recurring Items'!$D$11),0)+(IF(AC306=1,'Debt Tracker'!$P$9&gt;0.01,INDEX('Debt Tracker'!$T$5:$AE$29,5,AC306-1)&gt;0.01))*('Recurring Items'!$H$12&lt;&gt;"Skip")*(DAY(AB306)='Recurring Items'!$F$12)*IFERROR(N('Recurring Items'!$D$12),0)+(IF(AC306=1,'Debt Tracker'!$P$10&gt;0.01,INDEX('Debt Tracker'!$T$5:$AE$29,6,AC306-1)&gt;0.01))*('Recurring Items'!$H$13&lt;&gt;"Skip")*(DAY(AB306)='Recurring Items'!$F$13)*IFERROR(N('Recurring Items'!$D$13),0)+(IF(AC306=1,'Debt Tracker'!$P$11&gt;0.01,INDEX('Debt Tracker'!$T$5:$AE$29,7,AC306-1)&gt;0.01))*('Recurring Items'!$H$14&lt;&gt;"Skip")*(DAY(AB306)='Recurring Items'!$F$14)*IFERROR(N('Recurring Items'!$D$14),0)+(IF(AC306=1,'Debt Tracker'!$P$12&gt;0.01,INDEX('Debt Tracker'!$T$5:$AE$29,8,AC306-1)&gt;0.01))*('Recurring Items'!$H$15&lt;&gt;"Skip")*(DAY(AB306)='Recurring Items'!$F$15)*IFERROR(N('Recurring Items'!$D$15),0)+(IF(AC306=1,'Debt Tracker'!$P$13&gt;0.01,INDEX('Debt Tracker'!$T$5:$AE$29,9,AC306-1)&gt;0.01))*('Recurring Items'!$H$16&lt;&gt;"Skip")*(DAY(AB306)='Recurring Items'!$F$16)*IFERROR(N('Recurring Items'!$D$16),0)+(IF(AC306=1,'Debt Tracker'!$P$14&gt;0.01,INDEX('Debt Tracker'!$T$5:$AE$29,10,AC306-1)&gt;0.01))*('Recurring Items'!$H$17&lt;&gt;"Skip")*(DAY(AB306)='Recurring Items'!$F$17)*IFERROR(N('Recurring Items'!$D$17),0)+(IF(AC306=1,'Debt Tracker'!$P$15&gt;0.01,INDEX('Debt Tracker'!$T$5:$AE$29,11,AC306-1)&gt;0.01))*('Recurring Items'!$H$18&lt;&gt;"Skip")*(DAY(AB306)='Recurring Items'!$F$18)*IFERROR(N('Recurring Items'!$D$18),0)+(IF(AC306=1,'Debt Tracker'!$P$16&gt;0.01,INDEX('Debt Tracker'!$T$5:$AE$29,12,AC306-1)&gt;0.01))*('Recurring Items'!$H$19&lt;&gt;"Skip")*(DAY(AB306)='Recurring Items'!$F$19)*IFERROR(N('Recurring Items'!$D$19),0)+(IF(AC306=1,'Debt Tracker'!$P$17&gt;0.01,INDEX('Debt Tracker'!$T$5:$AE$29,13,AC306-1)&gt;0.01))*('Recurring Items'!$H$20&lt;&gt;"Skip")*(DAY(AB306)='Recurring Items'!$F$20)*IFERROR(N('Recurring Items'!$D$20),0)+(IF(AC306=1,'Debt Tracker'!$P$18&gt;0.01,INDEX('Debt Tracker'!$T$5:$AE$29,14,AC306-1)&gt;0.01))*('Recurring Items'!$H$21&lt;&gt;"Skip")*(DAY(AB306)='Recurring Items'!$F$21)*IFERROR(N('Recurring Items'!$D$21),0)+(IF(AC306=1,'Debt Tracker'!$P$19&gt;0.01,INDEX('Debt Tracker'!$T$5:$AE$29,15,AC306-1)&gt;0.01))*('Recurring Items'!$H$22&lt;&gt;"Skip")*(DAY(AB306)='Recurring Items'!$F$22)*IFERROR(N('Recurring Items'!$D$22),0)+(IF(AC306=1,'Debt Tracker'!$P$20&gt;0.01,INDEX('Debt Tracker'!$T$5:$AE$29,16,AC306-1)&gt;0.01))*('Recurring Items'!$H$23&lt;&gt;"Skip")*(DAY(AB306)='Recurring Items'!$F$23)*IFERROR(N('Recurring Items'!$D$23),0)+(IF(AC306=1,'Debt Tracker'!$P$21&gt;0.01,INDEX('Debt Tracker'!$T$5:$AE$29,17,AC306-1)&gt;0.01))*('Recurring Items'!$H$24&lt;&gt;"Skip")*(DAY(AB306)='Recurring Items'!$F$24)*IFERROR(N('Recurring Items'!$D$24),0)+(IF(AC306=1,'Debt Tracker'!$P$22&gt;0.01,INDEX('Debt Tracker'!$T$5:$AE$29,18,AC306-1)&gt;0.01))*('Recurring Items'!$H$25&lt;&gt;"Skip")*(DAY(AB306)='Recurring Items'!$F$25)*IFERROR(N('Recurring Items'!$D$25),0)+(IF(AC306=1,'Debt Tracker'!$P$23&gt;0.01,INDEX('Debt Tracker'!$T$5:$AE$29,19,AC306-1)&gt;0.01))*('Recurring Items'!$H$26&lt;&gt;"Skip")*(DAY(AB306)='Recurring Items'!$F$26)*IFERROR(N('Recurring Items'!$D$26),0)+(IF(AC306=1,'Debt Tracker'!$P$24&gt;0.01,INDEX('Debt Tracker'!$T$5:$AE$29,20,AC306-1)&gt;0.01))*('Recurring Items'!$H$27&lt;&gt;"Skip")*(DAY(AB306)='Recurring Items'!$F$27)*IFERROR(N('Recurring Items'!$D$27),0)+(IF(AC306=1,'Debt Tracker'!$P$25&gt;0.01,INDEX('Debt Tracker'!$T$5:$AE$29,21,AC306-1)&gt;0.01))*('Recurring Items'!$H$28&lt;&gt;"Skip")*(DAY(AB306)='Recurring Items'!$F$28)*IFERROR(N('Recurring Items'!$D$28),0)+(IF(AC306=1,'Debt Tracker'!$P$26&gt;0.01,INDEX('Debt Tracker'!$T$5:$AE$29,22,AC306-1)&gt;0.01))*('Recurring Items'!$H$29&lt;&gt;"Skip")*(DAY(AB306)='Recurring Items'!$F$29)*IFERROR(N('Recurring Items'!$D$29),0)+(IF(AC306=1,'Debt Tracker'!$P$27&gt;0.01,INDEX('Debt Tracker'!$T$5:$AE$29,23,AC306-1)&gt;0.01))*('Recurring Items'!$H$30&lt;&gt;"Skip")*(DAY(AB306)='Recurring Items'!$F$30)*IFERROR(N('Recurring Items'!$D$30),0)+(IF(AC306=1,'Debt Tracker'!$P$28&gt;0.01,INDEX('Debt Tracker'!$T$5:$AE$29,24,AC306-1)&gt;0.01))*('Recurring Items'!$H$31&lt;&gt;"Skip")*(DAY(AB306)='Recurring Items'!$F$31)*IFERROR(N('Recurring Items'!$D$31),0)+(IF(AC306=1,'Debt Tracker'!$P$29&gt;0.01,INDEX('Debt Tracker'!$T$5:$AE$29,25,AC306-1)&gt;0.01))*('Recurring Items'!$H$32&lt;&gt;"Skip")*(DAY(AB306)='Recurring Items'!$F$32)*IFERROR(N('Recurring Items'!$D$32),0)</f>
        <v>107.75</v>
      </c>
      <c r="AG306" s="1" t="n">
        <f aca="false">AD306-AE306-AF306</f>
        <v>-3098.32</v>
      </c>
      <c r="AH306" s="1" t="n">
        <f aca="false">AH305+AG306</f>
        <v>6188.19</v>
      </c>
    </row>
    <row r="307" customFormat="false" ht="15" hidden="false" customHeight="true" outlineLevel="0" collapsed="false">
      <c r="AA307" s="1" t="n">
        <v>107</v>
      </c>
      <c r="AB307" s="145" t="n">
        <f aca="false">$D$3+107</f>
        <v>46250</v>
      </c>
      <c r="AC307" s="1" t="n">
        <f aca="false">MIN(12,1+DATEDIF($D$3,AB307,"M"))</f>
        <v>4</v>
      </c>
      <c r="AD307" s="1" t="n">
        <f aca="false">SUMPRODUCT(('Recurring Items'!$C$6:$C$56="Income")*('Recurring Items'!$H$6:$H$56&lt;&gt;"Skip")*IFERROR(N('Recurring Items'!$D$6:$D$56),0)*(('Recurring Items'!$E$6:$E$56="Monthly")*(DAY(AB307)='Recurring Items'!$F$6:$F$56)+('Recurring Items'!$E$6:$E$56="Bi-weekly")*(WEEKDAY(AB307)=IFERROR(WEEKDAY('Recurring Items'!$G$6:$G$56),0))*(MOD(AB307-IFERROR('Recurring Items'!$G$6:$G$56,0),14)=0)*(AB307&gt;=IFERROR('Recurring Items'!$G$6:$G$56,9000000000))+('Recurring Items'!$E$6:$E$56="Weekly")*(WEEKDAY(AB307)=IFERROR(WEEKDAY('Recurring Items'!$G$6:$G$56),0))*(AB307&gt;=IFERROR('Recurring Items'!$G$6:$G$56,9000000000))+('Recurring Items'!$E$6:$E$56="One-time")*(AB307='Recurring Items'!$G$6:$G$56)))</f>
        <v>0</v>
      </c>
      <c r="AE307" s="1" t="n">
        <f aca="false">SUMPRODUCT(('Recurring Items'!$C$6:$C$56="Expense")*('Recurring Items'!$H$6:$H$56&lt;&gt;"Skip")*IFERROR(N('Recurring Items'!$D$6:$D$56),0)*(('Recurring Items'!$E$6:$E$56="Monthly")*(DAY(AB307)='Recurring Items'!$F$6:$F$56)+('Recurring Items'!$E$6:$E$56="Bi-weekly")*(WEEKDAY(AB307)=IFERROR(WEEKDAY('Recurring Items'!$G$6:$G$56),0))*(MOD(AB307-IFERROR('Recurring Items'!$G$6:$G$56,0),14)=0)*(AB307&gt;=IFERROR('Recurring Items'!$G$6:$G$56,9000000000))+('Recurring Items'!$E$6:$E$56="Weekly")*(WEEKDAY(AB307)=IFERROR(WEEKDAY('Recurring Items'!$G$6:$G$56),0))*(AB307&gt;=IFERROR('Recurring Items'!$G$6:$G$56,9000000000))+('Recurring Items'!$E$6:$E$56="One-time")*(AB307='Recurring Items'!$G$6:$G$56)))</f>
        <v>342</v>
      </c>
      <c r="AF307" s="1" t="n">
        <f aca="false">(IF(AC307=1,'Debt Tracker'!$P$5&gt;0.01,INDEX('Debt Tracker'!$T$5:$AE$29,1,AC307-1)&gt;0.01))*('Recurring Items'!$H$8&lt;&gt;"Skip")*(DAY(AB307)='Recurring Items'!$F$8)*IFERROR(N('Recurring Items'!$D$8),0)+(IF(AC307=1,'Debt Tracker'!$P$6&gt;0.01,INDEX('Debt Tracker'!$T$5:$AE$29,2,AC307-1)&gt;0.01))*('Recurring Items'!$H$9&lt;&gt;"Skip")*(DAY(AB307)='Recurring Items'!$F$9)*IFERROR(N('Recurring Items'!$D$9),0)+(IF(AC307=1,'Debt Tracker'!$P$7&gt;0.01,INDEX('Debt Tracker'!$T$5:$AE$29,3,AC307-1)&gt;0.01))*('Recurring Items'!$H$10&lt;&gt;"Skip")*(DAY(AB307)='Recurring Items'!$F$10)*IFERROR(N('Recurring Items'!$D$10),0)+(IF(AC307=1,'Debt Tracker'!$P$8&gt;0.01,INDEX('Debt Tracker'!$T$5:$AE$29,4,AC307-1)&gt;0.01))*('Recurring Items'!$H$11&lt;&gt;"Skip")*(DAY(AB307)='Recurring Items'!$F$11)*IFERROR(N('Recurring Items'!$D$11),0)+(IF(AC307=1,'Debt Tracker'!$P$9&gt;0.01,INDEX('Debt Tracker'!$T$5:$AE$29,5,AC307-1)&gt;0.01))*('Recurring Items'!$H$12&lt;&gt;"Skip")*(DAY(AB307)='Recurring Items'!$F$12)*IFERROR(N('Recurring Items'!$D$12),0)+(IF(AC307=1,'Debt Tracker'!$P$10&gt;0.01,INDEX('Debt Tracker'!$T$5:$AE$29,6,AC307-1)&gt;0.01))*('Recurring Items'!$H$13&lt;&gt;"Skip")*(DAY(AB307)='Recurring Items'!$F$13)*IFERROR(N('Recurring Items'!$D$13),0)+(IF(AC307=1,'Debt Tracker'!$P$11&gt;0.01,INDEX('Debt Tracker'!$T$5:$AE$29,7,AC307-1)&gt;0.01))*('Recurring Items'!$H$14&lt;&gt;"Skip")*(DAY(AB307)='Recurring Items'!$F$14)*IFERROR(N('Recurring Items'!$D$14),0)+(IF(AC307=1,'Debt Tracker'!$P$12&gt;0.01,INDEX('Debt Tracker'!$T$5:$AE$29,8,AC307-1)&gt;0.01))*('Recurring Items'!$H$15&lt;&gt;"Skip")*(DAY(AB307)='Recurring Items'!$F$15)*IFERROR(N('Recurring Items'!$D$15),0)+(IF(AC307=1,'Debt Tracker'!$P$13&gt;0.01,INDEX('Debt Tracker'!$T$5:$AE$29,9,AC307-1)&gt;0.01))*('Recurring Items'!$H$16&lt;&gt;"Skip")*(DAY(AB307)='Recurring Items'!$F$16)*IFERROR(N('Recurring Items'!$D$16),0)+(IF(AC307=1,'Debt Tracker'!$P$14&gt;0.01,INDEX('Debt Tracker'!$T$5:$AE$29,10,AC307-1)&gt;0.01))*('Recurring Items'!$H$17&lt;&gt;"Skip")*(DAY(AB307)='Recurring Items'!$F$17)*IFERROR(N('Recurring Items'!$D$17),0)+(IF(AC307=1,'Debt Tracker'!$P$15&gt;0.01,INDEX('Debt Tracker'!$T$5:$AE$29,11,AC307-1)&gt;0.01))*('Recurring Items'!$H$18&lt;&gt;"Skip")*(DAY(AB307)='Recurring Items'!$F$18)*IFERROR(N('Recurring Items'!$D$18),0)+(IF(AC307=1,'Debt Tracker'!$P$16&gt;0.01,INDEX('Debt Tracker'!$T$5:$AE$29,12,AC307-1)&gt;0.01))*('Recurring Items'!$H$19&lt;&gt;"Skip")*(DAY(AB307)='Recurring Items'!$F$19)*IFERROR(N('Recurring Items'!$D$19),0)+(IF(AC307=1,'Debt Tracker'!$P$17&gt;0.01,INDEX('Debt Tracker'!$T$5:$AE$29,13,AC307-1)&gt;0.01))*('Recurring Items'!$H$20&lt;&gt;"Skip")*(DAY(AB307)='Recurring Items'!$F$20)*IFERROR(N('Recurring Items'!$D$20),0)+(IF(AC307=1,'Debt Tracker'!$P$18&gt;0.01,INDEX('Debt Tracker'!$T$5:$AE$29,14,AC307-1)&gt;0.01))*('Recurring Items'!$H$21&lt;&gt;"Skip")*(DAY(AB307)='Recurring Items'!$F$21)*IFERROR(N('Recurring Items'!$D$21),0)+(IF(AC307=1,'Debt Tracker'!$P$19&gt;0.01,INDEX('Debt Tracker'!$T$5:$AE$29,15,AC307-1)&gt;0.01))*('Recurring Items'!$H$22&lt;&gt;"Skip")*(DAY(AB307)='Recurring Items'!$F$22)*IFERROR(N('Recurring Items'!$D$22),0)+(IF(AC307=1,'Debt Tracker'!$P$20&gt;0.01,INDEX('Debt Tracker'!$T$5:$AE$29,16,AC307-1)&gt;0.01))*('Recurring Items'!$H$23&lt;&gt;"Skip")*(DAY(AB307)='Recurring Items'!$F$23)*IFERROR(N('Recurring Items'!$D$23),0)+(IF(AC307=1,'Debt Tracker'!$P$21&gt;0.01,INDEX('Debt Tracker'!$T$5:$AE$29,17,AC307-1)&gt;0.01))*('Recurring Items'!$H$24&lt;&gt;"Skip")*(DAY(AB307)='Recurring Items'!$F$24)*IFERROR(N('Recurring Items'!$D$24),0)+(IF(AC307=1,'Debt Tracker'!$P$22&gt;0.01,INDEX('Debt Tracker'!$T$5:$AE$29,18,AC307-1)&gt;0.01))*('Recurring Items'!$H$25&lt;&gt;"Skip")*(DAY(AB307)='Recurring Items'!$F$25)*IFERROR(N('Recurring Items'!$D$25),0)+(IF(AC307=1,'Debt Tracker'!$P$23&gt;0.01,INDEX('Debt Tracker'!$T$5:$AE$29,19,AC307-1)&gt;0.01))*('Recurring Items'!$H$26&lt;&gt;"Skip")*(DAY(AB307)='Recurring Items'!$F$26)*IFERROR(N('Recurring Items'!$D$26),0)+(IF(AC307=1,'Debt Tracker'!$P$24&gt;0.01,INDEX('Debt Tracker'!$T$5:$AE$29,20,AC307-1)&gt;0.01))*('Recurring Items'!$H$27&lt;&gt;"Skip")*(DAY(AB307)='Recurring Items'!$F$27)*IFERROR(N('Recurring Items'!$D$27),0)+(IF(AC307=1,'Debt Tracker'!$P$25&gt;0.01,INDEX('Debt Tracker'!$T$5:$AE$29,21,AC307-1)&gt;0.01))*('Recurring Items'!$H$28&lt;&gt;"Skip")*(DAY(AB307)='Recurring Items'!$F$28)*IFERROR(N('Recurring Items'!$D$28),0)+(IF(AC307=1,'Debt Tracker'!$P$26&gt;0.01,INDEX('Debt Tracker'!$T$5:$AE$29,22,AC307-1)&gt;0.01))*('Recurring Items'!$H$29&lt;&gt;"Skip")*(DAY(AB307)='Recurring Items'!$F$29)*IFERROR(N('Recurring Items'!$D$29),0)+(IF(AC307=1,'Debt Tracker'!$P$27&gt;0.01,INDEX('Debt Tracker'!$T$5:$AE$29,23,AC307-1)&gt;0.01))*('Recurring Items'!$H$30&lt;&gt;"Skip")*(DAY(AB307)='Recurring Items'!$F$30)*IFERROR(N('Recurring Items'!$D$30),0)+(IF(AC307=1,'Debt Tracker'!$P$28&gt;0.01,INDEX('Debt Tracker'!$T$5:$AE$29,24,AC307-1)&gt;0.01))*('Recurring Items'!$H$31&lt;&gt;"Skip")*(DAY(AB307)='Recurring Items'!$F$31)*IFERROR(N('Recurring Items'!$D$31),0)+(IF(AC307=1,'Debt Tracker'!$P$29&gt;0.01,INDEX('Debt Tracker'!$T$5:$AE$29,25,AC307-1)&gt;0.01))*('Recurring Items'!$H$32&lt;&gt;"Skip")*(DAY(AB307)='Recurring Items'!$F$32)*IFERROR(N('Recurring Items'!$D$32),0)</f>
        <v>143</v>
      </c>
      <c r="AG307" s="1" t="n">
        <f aca="false">AD307-AE307-AF307</f>
        <v>-485</v>
      </c>
      <c r="AH307" s="1" t="n">
        <f aca="false">AH306+AG307</f>
        <v>5703.19</v>
      </c>
    </row>
    <row r="308" customFormat="false" ht="15" hidden="false" customHeight="true" outlineLevel="0" collapsed="false">
      <c r="AA308" s="1" t="n">
        <v>108</v>
      </c>
      <c r="AB308" s="145" t="n">
        <f aca="false">$D$3+108</f>
        <v>46251</v>
      </c>
      <c r="AC308" s="1" t="n">
        <f aca="false">MIN(12,1+DATEDIF($D$3,AB308,"M"))</f>
        <v>4</v>
      </c>
      <c r="AD308" s="1" t="n">
        <f aca="false">SUMPRODUCT(('Recurring Items'!$C$6:$C$56="Income")*('Recurring Items'!$H$6:$H$56&lt;&gt;"Skip")*IFERROR(N('Recurring Items'!$D$6:$D$56),0)*(('Recurring Items'!$E$6:$E$56="Monthly")*(DAY(AB308)='Recurring Items'!$F$6:$F$56)+('Recurring Items'!$E$6:$E$56="Bi-weekly")*(WEEKDAY(AB308)=IFERROR(WEEKDAY('Recurring Items'!$G$6:$G$56),0))*(MOD(AB308-IFERROR('Recurring Items'!$G$6:$G$56,0),14)=0)*(AB308&gt;=IFERROR('Recurring Items'!$G$6:$G$56,9000000000))+('Recurring Items'!$E$6:$E$56="Weekly")*(WEEKDAY(AB308)=IFERROR(WEEKDAY('Recurring Items'!$G$6:$G$56),0))*(AB308&gt;=IFERROR('Recurring Items'!$G$6:$G$56,9000000000))+('Recurring Items'!$E$6:$E$56="One-time")*(AB308='Recurring Items'!$G$6:$G$56)))</f>
        <v>0</v>
      </c>
      <c r="AE308" s="1" t="n">
        <f aca="false">SUMPRODUCT(('Recurring Items'!$C$6:$C$56="Expense")*('Recurring Items'!$H$6:$H$56&lt;&gt;"Skip")*IFERROR(N('Recurring Items'!$D$6:$D$56),0)*(('Recurring Items'!$E$6:$E$56="Monthly")*(DAY(AB308)='Recurring Items'!$F$6:$F$56)+('Recurring Items'!$E$6:$E$56="Bi-weekly")*(WEEKDAY(AB308)=IFERROR(WEEKDAY('Recurring Items'!$G$6:$G$56),0))*(MOD(AB308-IFERROR('Recurring Items'!$G$6:$G$56,0),14)=0)*(AB308&gt;=IFERROR('Recurring Items'!$G$6:$G$56,9000000000))+('Recurring Items'!$E$6:$E$56="Weekly")*(WEEKDAY(AB308)=IFERROR(WEEKDAY('Recurring Items'!$G$6:$G$56),0))*(AB308&gt;=IFERROR('Recurring Items'!$G$6:$G$56,9000000000))+('Recurring Items'!$E$6:$E$56="One-time")*(AB308='Recurring Items'!$G$6:$G$56)))</f>
        <v>0</v>
      </c>
      <c r="AF308" s="1" t="n">
        <f aca="false">(IF(AC308=1,'Debt Tracker'!$P$5&gt;0.01,INDEX('Debt Tracker'!$T$5:$AE$29,1,AC308-1)&gt;0.01))*('Recurring Items'!$H$8&lt;&gt;"Skip")*(DAY(AB308)='Recurring Items'!$F$8)*IFERROR(N('Recurring Items'!$D$8),0)+(IF(AC308=1,'Debt Tracker'!$P$6&gt;0.01,INDEX('Debt Tracker'!$T$5:$AE$29,2,AC308-1)&gt;0.01))*('Recurring Items'!$H$9&lt;&gt;"Skip")*(DAY(AB308)='Recurring Items'!$F$9)*IFERROR(N('Recurring Items'!$D$9),0)+(IF(AC308=1,'Debt Tracker'!$P$7&gt;0.01,INDEX('Debt Tracker'!$T$5:$AE$29,3,AC308-1)&gt;0.01))*('Recurring Items'!$H$10&lt;&gt;"Skip")*(DAY(AB308)='Recurring Items'!$F$10)*IFERROR(N('Recurring Items'!$D$10),0)+(IF(AC308=1,'Debt Tracker'!$P$8&gt;0.01,INDEX('Debt Tracker'!$T$5:$AE$29,4,AC308-1)&gt;0.01))*('Recurring Items'!$H$11&lt;&gt;"Skip")*(DAY(AB308)='Recurring Items'!$F$11)*IFERROR(N('Recurring Items'!$D$11),0)+(IF(AC308=1,'Debt Tracker'!$P$9&gt;0.01,INDEX('Debt Tracker'!$T$5:$AE$29,5,AC308-1)&gt;0.01))*('Recurring Items'!$H$12&lt;&gt;"Skip")*(DAY(AB308)='Recurring Items'!$F$12)*IFERROR(N('Recurring Items'!$D$12),0)+(IF(AC308=1,'Debt Tracker'!$P$10&gt;0.01,INDEX('Debt Tracker'!$T$5:$AE$29,6,AC308-1)&gt;0.01))*('Recurring Items'!$H$13&lt;&gt;"Skip")*(DAY(AB308)='Recurring Items'!$F$13)*IFERROR(N('Recurring Items'!$D$13),0)+(IF(AC308=1,'Debt Tracker'!$P$11&gt;0.01,INDEX('Debt Tracker'!$T$5:$AE$29,7,AC308-1)&gt;0.01))*('Recurring Items'!$H$14&lt;&gt;"Skip")*(DAY(AB308)='Recurring Items'!$F$14)*IFERROR(N('Recurring Items'!$D$14),0)+(IF(AC308=1,'Debt Tracker'!$P$12&gt;0.01,INDEX('Debt Tracker'!$T$5:$AE$29,8,AC308-1)&gt;0.01))*('Recurring Items'!$H$15&lt;&gt;"Skip")*(DAY(AB308)='Recurring Items'!$F$15)*IFERROR(N('Recurring Items'!$D$15),0)+(IF(AC308=1,'Debt Tracker'!$P$13&gt;0.01,INDEX('Debt Tracker'!$T$5:$AE$29,9,AC308-1)&gt;0.01))*('Recurring Items'!$H$16&lt;&gt;"Skip")*(DAY(AB308)='Recurring Items'!$F$16)*IFERROR(N('Recurring Items'!$D$16),0)+(IF(AC308=1,'Debt Tracker'!$P$14&gt;0.01,INDEX('Debt Tracker'!$T$5:$AE$29,10,AC308-1)&gt;0.01))*('Recurring Items'!$H$17&lt;&gt;"Skip")*(DAY(AB308)='Recurring Items'!$F$17)*IFERROR(N('Recurring Items'!$D$17),0)+(IF(AC308=1,'Debt Tracker'!$P$15&gt;0.01,INDEX('Debt Tracker'!$T$5:$AE$29,11,AC308-1)&gt;0.01))*('Recurring Items'!$H$18&lt;&gt;"Skip")*(DAY(AB308)='Recurring Items'!$F$18)*IFERROR(N('Recurring Items'!$D$18),0)+(IF(AC308=1,'Debt Tracker'!$P$16&gt;0.01,INDEX('Debt Tracker'!$T$5:$AE$29,12,AC308-1)&gt;0.01))*('Recurring Items'!$H$19&lt;&gt;"Skip")*(DAY(AB308)='Recurring Items'!$F$19)*IFERROR(N('Recurring Items'!$D$19),0)+(IF(AC308=1,'Debt Tracker'!$P$17&gt;0.01,INDEX('Debt Tracker'!$T$5:$AE$29,13,AC308-1)&gt;0.01))*('Recurring Items'!$H$20&lt;&gt;"Skip")*(DAY(AB308)='Recurring Items'!$F$20)*IFERROR(N('Recurring Items'!$D$20),0)+(IF(AC308=1,'Debt Tracker'!$P$18&gt;0.01,INDEX('Debt Tracker'!$T$5:$AE$29,14,AC308-1)&gt;0.01))*('Recurring Items'!$H$21&lt;&gt;"Skip")*(DAY(AB308)='Recurring Items'!$F$21)*IFERROR(N('Recurring Items'!$D$21),0)+(IF(AC308=1,'Debt Tracker'!$P$19&gt;0.01,INDEX('Debt Tracker'!$T$5:$AE$29,15,AC308-1)&gt;0.01))*('Recurring Items'!$H$22&lt;&gt;"Skip")*(DAY(AB308)='Recurring Items'!$F$22)*IFERROR(N('Recurring Items'!$D$22),0)+(IF(AC308=1,'Debt Tracker'!$P$20&gt;0.01,INDEX('Debt Tracker'!$T$5:$AE$29,16,AC308-1)&gt;0.01))*('Recurring Items'!$H$23&lt;&gt;"Skip")*(DAY(AB308)='Recurring Items'!$F$23)*IFERROR(N('Recurring Items'!$D$23),0)+(IF(AC308=1,'Debt Tracker'!$P$21&gt;0.01,INDEX('Debt Tracker'!$T$5:$AE$29,17,AC308-1)&gt;0.01))*('Recurring Items'!$H$24&lt;&gt;"Skip")*(DAY(AB308)='Recurring Items'!$F$24)*IFERROR(N('Recurring Items'!$D$24),0)+(IF(AC308=1,'Debt Tracker'!$P$22&gt;0.01,INDEX('Debt Tracker'!$T$5:$AE$29,18,AC308-1)&gt;0.01))*('Recurring Items'!$H$25&lt;&gt;"Skip")*(DAY(AB308)='Recurring Items'!$F$25)*IFERROR(N('Recurring Items'!$D$25),0)+(IF(AC308=1,'Debt Tracker'!$P$23&gt;0.01,INDEX('Debt Tracker'!$T$5:$AE$29,19,AC308-1)&gt;0.01))*('Recurring Items'!$H$26&lt;&gt;"Skip")*(DAY(AB308)='Recurring Items'!$F$26)*IFERROR(N('Recurring Items'!$D$26),0)+(IF(AC308=1,'Debt Tracker'!$P$24&gt;0.01,INDEX('Debt Tracker'!$T$5:$AE$29,20,AC308-1)&gt;0.01))*('Recurring Items'!$H$27&lt;&gt;"Skip")*(DAY(AB308)='Recurring Items'!$F$27)*IFERROR(N('Recurring Items'!$D$27),0)+(IF(AC308=1,'Debt Tracker'!$P$25&gt;0.01,INDEX('Debt Tracker'!$T$5:$AE$29,21,AC308-1)&gt;0.01))*('Recurring Items'!$H$28&lt;&gt;"Skip")*(DAY(AB308)='Recurring Items'!$F$28)*IFERROR(N('Recurring Items'!$D$28),0)+(IF(AC308=1,'Debt Tracker'!$P$26&gt;0.01,INDEX('Debt Tracker'!$T$5:$AE$29,22,AC308-1)&gt;0.01))*('Recurring Items'!$H$29&lt;&gt;"Skip")*(DAY(AB308)='Recurring Items'!$F$29)*IFERROR(N('Recurring Items'!$D$29),0)+(IF(AC308=1,'Debt Tracker'!$P$27&gt;0.01,INDEX('Debt Tracker'!$T$5:$AE$29,23,AC308-1)&gt;0.01))*('Recurring Items'!$H$30&lt;&gt;"Skip")*(DAY(AB308)='Recurring Items'!$F$30)*IFERROR(N('Recurring Items'!$D$30),0)+(IF(AC308=1,'Debt Tracker'!$P$28&gt;0.01,INDEX('Debt Tracker'!$T$5:$AE$29,24,AC308-1)&gt;0.01))*('Recurring Items'!$H$31&lt;&gt;"Skip")*(DAY(AB308)='Recurring Items'!$F$31)*IFERROR(N('Recurring Items'!$D$31),0)+(IF(AC308=1,'Debt Tracker'!$P$29&gt;0.01,INDEX('Debt Tracker'!$T$5:$AE$29,25,AC308-1)&gt;0.01))*('Recurring Items'!$H$32&lt;&gt;"Skip")*(DAY(AB308)='Recurring Items'!$F$32)*IFERROR(N('Recurring Items'!$D$32),0)</f>
        <v>0</v>
      </c>
      <c r="AG308" s="1" t="n">
        <f aca="false">AD308-AE308-AF308</f>
        <v>0</v>
      </c>
      <c r="AH308" s="1" t="n">
        <f aca="false">AH307+AG308</f>
        <v>5703.19</v>
      </c>
    </row>
    <row r="309" customFormat="false" ht="15" hidden="false" customHeight="true" outlineLevel="0" collapsed="false">
      <c r="AA309" s="1" t="n">
        <v>109</v>
      </c>
      <c r="AB309" s="145" t="n">
        <f aca="false">$D$3+109</f>
        <v>46252</v>
      </c>
      <c r="AC309" s="1" t="n">
        <f aca="false">MIN(12,1+DATEDIF($D$3,AB309,"M"))</f>
        <v>4</v>
      </c>
      <c r="AD309" s="1" t="n">
        <f aca="false">SUMPRODUCT(('Recurring Items'!$C$6:$C$56="Income")*('Recurring Items'!$H$6:$H$56&lt;&gt;"Skip")*IFERROR(N('Recurring Items'!$D$6:$D$56),0)*(('Recurring Items'!$E$6:$E$56="Monthly")*(DAY(AB309)='Recurring Items'!$F$6:$F$56)+('Recurring Items'!$E$6:$E$56="Bi-weekly")*(WEEKDAY(AB309)=IFERROR(WEEKDAY('Recurring Items'!$G$6:$G$56),0))*(MOD(AB309-IFERROR('Recurring Items'!$G$6:$G$56,0),14)=0)*(AB309&gt;=IFERROR('Recurring Items'!$G$6:$G$56,9000000000))+('Recurring Items'!$E$6:$E$56="Weekly")*(WEEKDAY(AB309)=IFERROR(WEEKDAY('Recurring Items'!$G$6:$G$56),0))*(AB309&gt;=IFERROR('Recurring Items'!$G$6:$G$56,9000000000))+('Recurring Items'!$E$6:$E$56="One-time")*(AB309='Recurring Items'!$G$6:$G$56)))</f>
        <v>0</v>
      </c>
      <c r="AE309" s="1" t="n">
        <f aca="false">SUMPRODUCT(('Recurring Items'!$C$6:$C$56="Expense")*('Recurring Items'!$H$6:$H$56&lt;&gt;"Skip")*IFERROR(N('Recurring Items'!$D$6:$D$56),0)*(('Recurring Items'!$E$6:$E$56="Monthly")*(DAY(AB309)='Recurring Items'!$F$6:$F$56)+('Recurring Items'!$E$6:$E$56="Bi-weekly")*(WEEKDAY(AB309)=IFERROR(WEEKDAY('Recurring Items'!$G$6:$G$56),0))*(MOD(AB309-IFERROR('Recurring Items'!$G$6:$G$56,0),14)=0)*(AB309&gt;=IFERROR('Recurring Items'!$G$6:$G$56,9000000000))+('Recurring Items'!$E$6:$E$56="Weekly")*(WEEKDAY(AB309)=IFERROR(WEEKDAY('Recurring Items'!$G$6:$G$56),0))*(AB309&gt;=IFERROR('Recurring Items'!$G$6:$G$56,9000000000))+('Recurring Items'!$E$6:$E$56="One-time")*(AB309='Recurring Items'!$G$6:$G$56)))</f>
        <v>0</v>
      </c>
      <c r="AF309" s="1" t="n">
        <f aca="false">(IF(AC309=1,'Debt Tracker'!$P$5&gt;0.01,INDEX('Debt Tracker'!$T$5:$AE$29,1,AC309-1)&gt;0.01))*('Recurring Items'!$H$8&lt;&gt;"Skip")*(DAY(AB309)='Recurring Items'!$F$8)*IFERROR(N('Recurring Items'!$D$8),0)+(IF(AC309=1,'Debt Tracker'!$P$6&gt;0.01,INDEX('Debt Tracker'!$T$5:$AE$29,2,AC309-1)&gt;0.01))*('Recurring Items'!$H$9&lt;&gt;"Skip")*(DAY(AB309)='Recurring Items'!$F$9)*IFERROR(N('Recurring Items'!$D$9),0)+(IF(AC309=1,'Debt Tracker'!$P$7&gt;0.01,INDEX('Debt Tracker'!$T$5:$AE$29,3,AC309-1)&gt;0.01))*('Recurring Items'!$H$10&lt;&gt;"Skip")*(DAY(AB309)='Recurring Items'!$F$10)*IFERROR(N('Recurring Items'!$D$10),0)+(IF(AC309=1,'Debt Tracker'!$P$8&gt;0.01,INDEX('Debt Tracker'!$T$5:$AE$29,4,AC309-1)&gt;0.01))*('Recurring Items'!$H$11&lt;&gt;"Skip")*(DAY(AB309)='Recurring Items'!$F$11)*IFERROR(N('Recurring Items'!$D$11),0)+(IF(AC309=1,'Debt Tracker'!$P$9&gt;0.01,INDEX('Debt Tracker'!$T$5:$AE$29,5,AC309-1)&gt;0.01))*('Recurring Items'!$H$12&lt;&gt;"Skip")*(DAY(AB309)='Recurring Items'!$F$12)*IFERROR(N('Recurring Items'!$D$12),0)+(IF(AC309=1,'Debt Tracker'!$P$10&gt;0.01,INDEX('Debt Tracker'!$T$5:$AE$29,6,AC309-1)&gt;0.01))*('Recurring Items'!$H$13&lt;&gt;"Skip")*(DAY(AB309)='Recurring Items'!$F$13)*IFERROR(N('Recurring Items'!$D$13),0)+(IF(AC309=1,'Debt Tracker'!$P$11&gt;0.01,INDEX('Debt Tracker'!$T$5:$AE$29,7,AC309-1)&gt;0.01))*('Recurring Items'!$H$14&lt;&gt;"Skip")*(DAY(AB309)='Recurring Items'!$F$14)*IFERROR(N('Recurring Items'!$D$14),0)+(IF(AC309=1,'Debt Tracker'!$P$12&gt;0.01,INDEX('Debt Tracker'!$T$5:$AE$29,8,AC309-1)&gt;0.01))*('Recurring Items'!$H$15&lt;&gt;"Skip")*(DAY(AB309)='Recurring Items'!$F$15)*IFERROR(N('Recurring Items'!$D$15),0)+(IF(AC309=1,'Debt Tracker'!$P$13&gt;0.01,INDEX('Debt Tracker'!$T$5:$AE$29,9,AC309-1)&gt;0.01))*('Recurring Items'!$H$16&lt;&gt;"Skip")*(DAY(AB309)='Recurring Items'!$F$16)*IFERROR(N('Recurring Items'!$D$16),0)+(IF(AC309=1,'Debt Tracker'!$P$14&gt;0.01,INDEX('Debt Tracker'!$T$5:$AE$29,10,AC309-1)&gt;0.01))*('Recurring Items'!$H$17&lt;&gt;"Skip")*(DAY(AB309)='Recurring Items'!$F$17)*IFERROR(N('Recurring Items'!$D$17),0)+(IF(AC309=1,'Debt Tracker'!$P$15&gt;0.01,INDEX('Debt Tracker'!$T$5:$AE$29,11,AC309-1)&gt;0.01))*('Recurring Items'!$H$18&lt;&gt;"Skip")*(DAY(AB309)='Recurring Items'!$F$18)*IFERROR(N('Recurring Items'!$D$18),0)+(IF(AC309=1,'Debt Tracker'!$P$16&gt;0.01,INDEX('Debt Tracker'!$T$5:$AE$29,12,AC309-1)&gt;0.01))*('Recurring Items'!$H$19&lt;&gt;"Skip")*(DAY(AB309)='Recurring Items'!$F$19)*IFERROR(N('Recurring Items'!$D$19),0)+(IF(AC309=1,'Debt Tracker'!$P$17&gt;0.01,INDEX('Debt Tracker'!$T$5:$AE$29,13,AC309-1)&gt;0.01))*('Recurring Items'!$H$20&lt;&gt;"Skip")*(DAY(AB309)='Recurring Items'!$F$20)*IFERROR(N('Recurring Items'!$D$20),0)+(IF(AC309=1,'Debt Tracker'!$P$18&gt;0.01,INDEX('Debt Tracker'!$T$5:$AE$29,14,AC309-1)&gt;0.01))*('Recurring Items'!$H$21&lt;&gt;"Skip")*(DAY(AB309)='Recurring Items'!$F$21)*IFERROR(N('Recurring Items'!$D$21),0)+(IF(AC309=1,'Debt Tracker'!$P$19&gt;0.01,INDEX('Debt Tracker'!$T$5:$AE$29,15,AC309-1)&gt;0.01))*('Recurring Items'!$H$22&lt;&gt;"Skip")*(DAY(AB309)='Recurring Items'!$F$22)*IFERROR(N('Recurring Items'!$D$22),0)+(IF(AC309=1,'Debt Tracker'!$P$20&gt;0.01,INDEX('Debt Tracker'!$T$5:$AE$29,16,AC309-1)&gt;0.01))*('Recurring Items'!$H$23&lt;&gt;"Skip")*(DAY(AB309)='Recurring Items'!$F$23)*IFERROR(N('Recurring Items'!$D$23),0)+(IF(AC309=1,'Debt Tracker'!$P$21&gt;0.01,INDEX('Debt Tracker'!$T$5:$AE$29,17,AC309-1)&gt;0.01))*('Recurring Items'!$H$24&lt;&gt;"Skip")*(DAY(AB309)='Recurring Items'!$F$24)*IFERROR(N('Recurring Items'!$D$24),0)+(IF(AC309=1,'Debt Tracker'!$P$22&gt;0.01,INDEX('Debt Tracker'!$T$5:$AE$29,18,AC309-1)&gt;0.01))*('Recurring Items'!$H$25&lt;&gt;"Skip")*(DAY(AB309)='Recurring Items'!$F$25)*IFERROR(N('Recurring Items'!$D$25),0)+(IF(AC309=1,'Debt Tracker'!$P$23&gt;0.01,INDEX('Debt Tracker'!$T$5:$AE$29,19,AC309-1)&gt;0.01))*('Recurring Items'!$H$26&lt;&gt;"Skip")*(DAY(AB309)='Recurring Items'!$F$26)*IFERROR(N('Recurring Items'!$D$26),0)+(IF(AC309=1,'Debt Tracker'!$P$24&gt;0.01,INDEX('Debt Tracker'!$T$5:$AE$29,20,AC309-1)&gt;0.01))*('Recurring Items'!$H$27&lt;&gt;"Skip")*(DAY(AB309)='Recurring Items'!$F$27)*IFERROR(N('Recurring Items'!$D$27),0)+(IF(AC309=1,'Debt Tracker'!$P$25&gt;0.01,INDEX('Debt Tracker'!$T$5:$AE$29,21,AC309-1)&gt;0.01))*('Recurring Items'!$H$28&lt;&gt;"Skip")*(DAY(AB309)='Recurring Items'!$F$28)*IFERROR(N('Recurring Items'!$D$28),0)+(IF(AC309=1,'Debt Tracker'!$P$26&gt;0.01,INDEX('Debt Tracker'!$T$5:$AE$29,22,AC309-1)&gt;0.01))*('Recurring Items'!$H$29&lt;&gt;"Skip")*(DAY(AB309)='Recurring Items'!$F$29)*IFERROR(N('Recurring Items'!$D$29),0)+(IF(AC309=1,'Debt Tracker'!$P$27&gt;0.01,INDEX('Debt Tracker'!$T$5:$AE$29,23,AC309-1)&gt;0.01))*('Recurring Items'!$H$30&lt;&gt;"Skip")*(DAY(AB309)='Recurring Items'!$F$30)*IFERROR(N('Recurring Items'!$D$30),0)+(IF(AC309=1,'Debt Tracker'!$P$28&gt;0.01,INDEX('Debt Tracker'!$T$5:$AE$29,24,AC309-1)&gt;0.01))*('Recurring Items'!$H$31&lt;&gt;"Skip")*(DAY(AB309)='Recurring Items'!$F$31)*IFERROR(N('Recurring Items'!$D$31),0)+(IF(AC309=1,'Debt Tracker'!$P$29&gt;0.01,INDEX('Debt Tracker'!$T$5:$AE$29,25,AC309-1)&gt;0.01))*('Recurring Items'!$H$32&lt;&gt;"Skip")*(DAY(AB309)='Recurring Items'!$F$32)*IFERROR(N('Recurring Items'!$D$32),0)</f>
        <v>0</v>
      </c>
      <c r="AG309" s="1" t="n">
        <f aca="false">AD309-AE309-AF309</f>
        <v>0</v>
      </c>
      <c r="AH309" s="1" t="n">
        <f aca="false">AH308+AG309</f>
        <v>5703.19</v>
      </c>
    </row>
    <row r="310" customFormat="false" ht="15" hidden="false" customHeight="true" outlineLevel="0" collapsed="false">
      <c r="AA310" s="1" t="n">
        <v>110</v>
      </c>
      <c r="AB310" s="145" t="n">
        <f aca="false">$D$3+110</f>
        <v>46253</v>
      </c>
      <c r="AC310" s="1" t="n">
        <f aca="false">MIN(12,1+DATEDIF($D$3,AB310,"M"))</f>
        <v>4</v>
      </c>
      <c r="AD310" s="1" t="n">
        <f aca="false">SUMPRODUCT(('Recurring Items'!$C$6:$C$56="Income")*('Recurring Items'!$H$6:$H$56&lt;&gt;"Skip")*IFERROR(N('Recurring Items'!$D$6:$D$56),0)*(('Recurring Items'!$E$6:$E$56="Monthly")*(DAY(AB310)='Recurring Items'!$F$6:$F$56)+('Recurring Items'!$E$6:$E$56="Bi-weekly")*(WEEKDAY(AB310)=IFERROR(WEEKDAY('Recurring Items'!$G$6:$G$56),0))*(MOD(AB310-IFERROR('Recurring Items'!$G$6:$G$56,0),14)=0)*(AB310&gt;=IFERROR('Recurring Items'!$G$6:$G$56,9000000000))+('Recurring Items'!$E$6:$E$56="Weekly")*(WEEKDAY(AB310)=IFERROR(WEEKDAY('Recurring Items'!$G$6:$G$56),0))*(AB310&gt;=IFERROR('Recurring Items'!$G$6:$G$56,9000000000))+('Recurring Items'!$E$6:$E$56="One-time")*(AB310='Recurring Items'!$G$6:$G$56)))</f>
        <v>0</v>
      </c>
      <c r="AE310" s="1" t="n">
        <f aca="false">SUMPRODUCT(('Recurring Items'!$C$6:$C$56="Expense")*('Recurring Items'!$H$6:$H$56&lt;&gt;"Skip")*IFERROR(N('Recurring Items'!$D$6:$D$56),0)*(('Recurring Items'!$E$6:$E$56="Monthly")*(DAY(AB310)='Recurring Items'!$F$6:$F$56)+('Recurring Items'!$E$6:$E$56="Bi-weekly")*(WEEKDAY(AB310)=IFERROR(WEEKDAY('Recurring Items'!$G$6:$G$56),0))*(MOD(AB310-IFERROR('Recurring Items'!$G$6:$G$56,0),14)=0)*(AB310&gt;=IFERROR('Recurring Items'!$G$6:$G$56,9000000000))+('Recurring Items'!$E$6:$E$56="Weekly")*(WEEKDAY(AB310)=IFERROR(WEEKDAY('Recurring Items'!$G$6:$G$56),0))*(AB310&gt;=IFERROR('Recurring Items'!$G$6:$G$56,9000000000))+('Recurring Items'!$E$6:$E$56="One-time")*(AB310='Recurring Items'!$G$6:$G$56)))</f>
        <v>0</v>
      </c>
      <c r="AF310" s="1" t="n">
        <f aca="false">(IF(AC310=1,'Debt Tracker'!$P$5&gt;0.01,INDEX('Debt Tracker'!$T$5:$AE$29,1,AC310-1)&gt;0.01))*('Recurring Items'!$H$8&lt;&gt;"Skip")*(DAY(AB310)='Recurring Items'!$F$8)*IFERROR(N('Recurring Items'!$D$8),0)+(IF(AC310=1,'Debt Tracker'!$P$6&gt;0.01,INDEX('Debt Tracker'!$T$5:$AE$29,2,AC310-1)&gt;0.01))*('Recurring Items'!$H$9&lt;&gt;"Skip")*(DAY(AB310)='Recurring Items'!$F$9)*IFERROR(N('Recurring Items'!$D$9),0)+(IF(AC310=1,'Debt Tracker'!$P$7&gt;0.01,INDEX('Debt Tracker'!$T$5:$AE$29,3,AC310-1)&gt;0.01))*('Recurring Items'!$H$10&lt;&gt;"Skip")*(DAY(AB310)='Recurring Items'!$F$10)*IFERROR(N('Recurring Items'!$D$10),0)+(IF(AC310=1,'Debt Tracker'!$P$8&gt;0.01,INDEX('Debt Tracker'!$T$5:$AE$29,4,AC310-1)&gt;0.01))*('Recurring Items'!$H$11&lt;&gt;"Skip")*(DAY(AB310)='Recurring Items'!$F$11)*IFERROR(N('Recurring Items'!$D$11),0)+(IF(AC310=1,'Debt Tracker'!$P$9&gt;0.01,INDEX('Debt Tracker'!$T$5:$AE$29,5,AC310-1)&gt;0.01))*('Recurring Items'!$H$12&lt;&gt;"Skip")*(DAY(AB310)='Recurring Items'!$F$12)*IFERROR(N('Recurring Items'!$D$12),0)+(IF(AC310=1,'Debt Tracker'!$P$10&gt;0.01,INDEX('Debt Tracker'!$T$5:$AE$29,6,AC310-1)&gt;0.01))*('Recurring Items'!$H$13&lt;&gt;"Skip")*(DAY(AB310)='Recurring Items'!$F$13)*IFERROR(N('Recurring Items'!$D$13),0)+(IF(AC310=1,'Debt Tracker'!$P$11&gt;0.01,INDEX('Debt Tracker'!$T$5:$AE$29,7,AC310-1)&gt;0.01))*('Recurring Items'!$H$14&lt;&gt;"Skip")*(DAY(AB310)='Recurring Items'!$F$14)*IFERROR(N('Recurring Items'!$D$14),0)+(IF(AC310=1,'Debt Tracker'!$P$12&gt;0.01,INDEX('Debt Tracker'!$T$5:$AE$29,8,AC310-1)&gt;0.01))*('Recurring Items'!$H$15&lt;&gt;"Skip")*(DAY(AB310)='Recurring Items'!$F$15)*IFERROR(N('Recurring Items'!$D$15),0)+(IF(AC310=1,'Debt Tracker'!$P$13&gt;0.01,INDEX('Debt Tracker'!$T$5:$AE$29,9,AC310-1)&gt;0.01))*('Recurring Items'!$H$16&lt;&gt;"Skip")*(DAY(AB310)='Recurring Items'!$F$16)*IFERROR(N('Recurring Items'!$D$16),0)+(IF(AC310=1,'Debt Tracker'!$P$14&gt;0.01,INDEX('Debt Tracker'!$T$5:$AE$29,10,AC310-1)&gt;0.01))*('Recurring Items'!$H$17&lt;&gt;"Skip")*(DAY(AB310)='Recurring Items'!$F$17)*IFERROR(N('Recurring Items'!$D$17),0)+(IF(AC310=1,'Debt Tracker'!$P$15&gt;0.01,INDEX('Debt Tracker'!$T$5:$AE$29,11,AC310-1)&gt;0.01))*('Recurring Items'!$H$18&lt;&gt;"Skip")*(DAY(AB310)='Recurring Items'!$F$18)*IFERROR(N('Recurring Items'!$D$18),0)+(IF(AC310=1,'Debt Tracker'!$P$16&gt;0.01,INDEX('Debt Tracker'!$T$5:$AE$29,12,AC310-1)&gt;0.01))*('Recurring Items'!$H$19&lt;&gt;"Skip")*(DAY(AB310)='Recurring Items'!$F$19)*IFERROR(N('Recurring Items'!$D$19),0)+(IF(AC310=1,'Debt Tracker'!$P$17&gt;0.01,INDEX('Debt Tracker'!$T$5:$AE$29,13,AC310-1)&gt;0.01))*('Recurring Items'!$H$20&lt;&gt;"Skip")*(DAY(AB310)='Recurring Items'!$F$20)*IFERROR(N('Recurring Items'!$D$20),0)+(IF(AC310=1,'Debt Tracker'!$P$18&gt;0.01,INDEX('Debt Tracker'!$T$5:$AE$29,14,AC310-1)&gt;0.01))*('Recurring Items'!$H$21&lt;&gt;"Skip")*(DAY(AB310)='Recurring Items'!$F$21)*IFERROR(N('Recurring Items'!$D$21),0)+(IF(AC310=1,'Debt Tracker'!$P$19&gt;0.01,INDEX('Debt Tracker'!$T$5:$AE$29,15,AC310-1)&gt;0.01))*('Recurring Items'!$H$22&lt;&gt;"Skip")*(DAY(AB310)='Recurring Items'!$F$22)*IFERROR(N('Recurring Items'!$D$22),0)+(IF(AC310=1,'Debt Tracker'!$P$20&gt;0.01,INDEX('Debt Tracker'!$T$5:$AE$29,16,AC310-1)&gt;0.01))*('Recurring Items'!$H$23&lt;&gt;"Skip")*(DAY(AB310)='Recurring Items'!$F$23)*IFERROR(N('Recurring Items'!$D$23),0)+(IF(AC310=1,'Debt Tracker'!$P$21&gt;0.01,INDEX('Debt Tracker'!$T$5:$AE$29,17,AC310-1)&gt;0.01))*('Recurring Items'!$H$24&lt;&gt;"Skip")*(DAY(AB310)='Recurring Items'!$F$24)*IFERROR(N('Recurring Items'!$D$24),0)+(IF(AC310=1,'Debt Tracker'!$P$22&gt;0.01,INDEX('Debt Tracker'!$T$5:$AE$29,18,AC310-1)&gt;0.01))*('Recurring Items'!$H$25&lt;&gt;"Skip")*(DAY(AB310)='Recurring Items'!$F$25)*IFERROR(N('Recurring Items'!$D$25),0)+(IF(AC310=1,'Debt Tracker'!$P$23&gt;0.01,INDEX('Debt Tracker'!$T$5:$AE$29,19,AC310-1)&gt;0.01))*('Recurring Items'!$H$26&lt;&gt;"Skip")*(DAY(AB310)='Recurring Items'!$F$26)*IFERROR(N('Recurring Items'!$D$26),0)+(IF(AC310=1,'Debt Tracker'!$P$24&gt;0.01,INDEX('Debt Tracker'!$T$5:$AE$29,20,AC310-1)&gt;0.01))*('Recurring Items'!$H$27&lt;&gt;"Skip")*(DAY(AB310)='Recurring Items'!$F$27)*IFERROR(N('Recurring Items'!$D$27),0)+(IF(AC310=1,'Debt Tracker'!$P$25&gt;0.01,INDEX('Debt Tracker'!$T$5:$AE$29,21,AC310-1)&gt;0.01))*('Recurring Items'!$H$28&lt;&gt;"Skip")*(DAY(AB310)='Recurring Items'!$F$28)*IFERROR(N('Recurring Items'!$D$28),0)+(IF(AC310=1,'Debt Tracker'!$P$26&gt;0.01,INDEX('Debt Tracker'!$T$5:$AE$29,22,AC310-1)&gt;0.01))*('Recurring Items'!$H$29&lt;&gt;"Skip")*(DAY(AB310)='Recurring Items'!$F$29)*IFERROR(N('Recurring Items'!$D$29),0)+(IF(AC310=1,'Debt Tracker'!$P$27&gt;0.01,INDEX('Debt Tracker'!$T$5:$AE$29,23,AC310-1)&gt;0.01))*('Recurring Items'!$H$30&lt;&gt;"Skip")*(DAY(AB310)='Recurring Items'!$F$30)*IFERROR(N('Recurring Items'!$D$30),0)+(IF(AC310=1,'Debt Tracker'!$P$28&gt;0.01,INDEX('Debt Tracker'!$T$5:$AE$29,24,AC310-1)&gt;0.01))*('Recurring Items'!$H$31&lt;&gt;"Skip")*(DAY(AB310)='Recurring Items'!$F$31)*IFERROR(N('Recurring Items'!$D$31),0)+(IF(AC310=1,'Debt Tracker'!$P$29&gt;0.01,INDEX('Debt Tracker'!$T$5:$AE$29,25,AC310-1)&gt;0.01))*('Recurring Items'!$H$32&lt;&gt;"Skip")*(DAY(AB310)='Recurring Items'!$F$32)*IFERROR(N('Recurring Items'!$D$32),0)</f>
        <v>0</v>
      </c>
      <c r="AG310" s="1" t="n">
        <f aca="false">AD310-AE310-AF310</f>
        <v>0</v>
      </c>
      <c r="AH310" s="1" t="n">
        <f aca="false">AH309+AG310</f>
        <v>5703.19</v>
      </c>
    </row>
    <row r="311" customFormat="false" ht="15" hidden="false" customHeight="true" outlineLevel="0" collapsed="false">
      <c r="AA311" s="1" t="n">
        <v>111</v>
      </c>
      <c r="AB311" s="145" t="n">
        <f aca="false">$D$3+111</f>
        <v>46254</v>
      </c>
      <c r="AC311" s="1" t="n">
        <f aca="false">MIN(12,1+DATEDIF($D$3,AB311,"M"))</f>
        <v>4</v>
      </c>
      <c r="AD311" s="1" t="n">
        <f aca="false">SUMPRODUCT(('Recurring Items'!$C$6:$C$56="Income")*('Recurring Items'!$H$6:$H$56&lt;&gt;"Skip")*IFERROR(N('Recurring Items'!$D$6:$D$56),0)*(('Recurring Items'!$E$6:$E$56="Monthly")*(DAY(AB311)='Recurring Items'!$F$6:$F$56)+('Recurring Items'!$E$6:$E$56="Bi-weekly")*(WEEKDAY(AB311)=IFERROR(WEEKDAY('Recurring Items'!$G$6:$G$56),0))*(MOD(AB311-IFERROR('Recurring Items'!$G$6:$G$56,0),14)=0)*(AB311&gt;=IFERROR('Recurring Items'!$G$6:$G$56,9000000000))+('Recurring Items'!$E$6:$E$56="Weekly")*(WEEKDAY(AB311)=IFERROR(WEEKDAY('Recurring Items'!$G$6:$G$56),0))*(AB311&gt;=IFERROR('Recurring Items'!$G$6:$G$56,9000000000))+('Recurring Items'!$E$6:$E$56="One-time")*(AB311='Recurring Items'!$G$6:$G$56)))</f>
        <v>0</v>
      </c>
      <c r="AE311" s="1" t="n">
        <f aca="false">SUMPRODUCT(('Recurring Items'!$C$6:$C$56="Expense")*('Recurring Items'!$H$6:$H$56&lt;&gt;"Skip")*IFERROR(N('Recurring Items'!$D$6:$D$56),0)*(('Recurring Items'!$E$6:$E$56="Monthly")*(DAY(AB311)='Recurring Items'!$F$6:$F$56)+('Recurring Items'!$E$6:$E$56="Bi-weekly")*(WEEKDAY(AB311)=IFERROR(WEEKDAY('Recurring Items'!$G$6:$G$56),0))*(MOD(AB311-IFERROR('Recurring Items'!$G$6:$G$56,0),14)=0)*(AB311&gt;=IFERROR('Recurring Items'!$G$6:$G$56,9000000000))+('Recurring Items'!$E$6:$E$56="Weekly")*(WEEKDAY(AB311)=IFERROR(WEEKDAY('Recurring Items'!$G$6:$G$56),0))*(AB311&gt;=IFERROR('Recurring Items'!$G$6:$G$56,9000000000))+('Recurring Items'!$E$6:$E$56="One-time")*(AB311='Recurring Items'!$G$6:$G$56)))</f>
        <v>0</v>
      </c>
      <c r="AF311" s="1" t="n">
        <f aca="false">(IF(AC311=1,'Debt Tracker'!$P$5&gt;0.01,INDEX('Debt Tracker'!$T$5:$AE$29,1,AC311-1)&gt;0.01))*('Recurring Items'!$H$8&lt;&gt;"Skip")*(DAY(AB311)='Recurring Items'!$F$8)*IFERROR(N('Recurring Items'!$D$8),0)+(IF(AC311=1,'Debt Tracker'!$P$6&gt;0.01,INDEX('Debt Tracker'!$T$5:$AE$29,2,AC311-1)&gt;0.01))*('Recurring Items'!$H$9&lt;&gt;"Skip")*(DAY(AB311)='Recurring Items'!$F$9)*IFERROR(N('Recurring Items'!$D$9),0)+(IF(AC311=1,'Debt Tracker'!$P$7&gt;0.01,INDEX('Debt Tracker'!$T$5:$AE$29,3,AC311-1)&gt;0.01))*('Recurring Items'!$H$10&lt;&gt;"Skip")*(DAY(AB311)='Recurring Items'!$F$10)*IFERROR(N('Recurring Items'!$D$10),0)+(IF(AC311=1,'Debt Tracker'!$P$8&gt;0.01,INDEX('Debt Tracker'!$T$5:$AE$29,4,AC311-1)&gt;0.01))*('Recurring Items'!$H$11&lt;&gt;"Skip")*(DAY(AB311)='Recurring Items'!$F$11)*IFERROR(N('Recurring Items'!$D$11),0)+(IF(AC311=1,'Debt Tracker'!$P$9&gt;0.01,INDEX('Debt Tracker'!$T$5:$AE$29,5,AC311-1)&gt;0.01))*('Recurring Items'!$H$12&lt;&gt;"Skip")*(DAY(AB311)='Recurring Items'!$F$12)*IFERROR(N('Recurring Items'!$D$12),0)+(IF(AC311=1,'Debt Tracker'!$P$10&gt;0.01,INDEX('Debt Tracker'!$T$5:$AE$29,6,AC311-1)&gt;0.01))*('Recurring Items'!$H$13&lt;&gt;"Skip")*(DAY(AB311)='Recurring Items'!$F$13)*IFERROR(N('Recurring Items'!$D$13),0)+(IF(AC311=1,'Debt Tracker'!$P$11&gt;0.01,INDEX('Debt Tracker'!$T$5:$AE$29,7,AC311-1)&gt;0.01))*('Recurring Items'!$H$14&lt;&gt;"Skip")*(DAY(AB311)='Recurring Items'!$F$14)*IFERROR(N('Recurring Items'!$D$14),0)+(IF(AC311=1,'Debt Tracker'!$P$12&gt;0.01,INDEX('Debt Tracker'!$T$5:$AE$29,8,AC311-1)&gt;0.01))*('Recurring Items'!$H$15&lt;&gt;"Skip")*(DAY(AB311)='Recurring Items'!$F$15)*IFERROR(N('Recurring Items'!$D$15),0)+(IF(AC311=1,'Debt Tracker'!$P$13&gt;0.01,INDEX('Debt Tracker'!$T$5:$AE$29,9,AC311-1)&gt;0.01))*('Recurring Items'!$H$16&lt;&gt;"Skip")*(DAY(AB311)='Recurring Items'!$F$16)*IFERROR(N('Recurring Items'!$D$16),0)+(IF(AC311=1,'Debt Tracker'!$P$14&gt;0.01,INDEX('Debt Tracker'!$T$5:$AE$29,10,AC311-1)&gt;0.01))*('Recurring Items'!$H$17&lt;&gt;"Skip")*(DAY(AB311)='Recurring Items'!$F$17)*IFERROR(N('Recurring Items'!$D$17),0)+(IF(AC311=1,'Debt Tracker'!$P$15&gt;0.01,INDEX('Debt Tracker'!$T$5:$AE$29,11,AC311-1)&gt;0.01))*('Recurring Items'!$H$18&lt;&gt;"Skip")*(DAY(AB311)='Recurring Items'!$F$18)*IFERROR(N('Recurring Items'!$D$18),0)+(IF(AC311=1,'Debt Tracker'!$P$16&gt;0.01,INDEX('Debt Tracker'!$T$5:$AE$29,12,AC311-1)&gt;0.01))*('Recurring Items'!$H$19&lt;&gt;"Skip")*(DAY(AB311)='Recurring Items'!$F$19)*IFERROR(N('Recurring Items'!$D$19),0)+(IF(AC311=1,'Debt Tracker'!$P$17&gt;0.01,INDEX('Debt Tracker'!$T$5:$AE$29,13,AC311-1)&gt;0.01))*('Recurring Items'!$H$20&lt;&gt;"Skip")*(DAY(AB311)='Recurring Items'!$F$20)*IFERROR(N('Recurring Items'!$D$20),0)+(IF(AC311=1,'Debt Tracker'!$P$18&gt;0.01,INDEX('Debt Tracker'!$T$5:$AE$29,14,AC311-1)&gt;0.01))*('Recurring Items'!$H$21&lt;&gt;"Skip")*(DAY(AB311)='Recurring Items'!$F$21)*IFERROR(N('Recurring Items'!$D$21),0)+(IF(AC311=1,'Debt Tracker'!$P$19&gt;0.01,INDEX('Debt Tracker'!$T$5:$AE$29,15,AC311-1)&gt;0.01))*('Recurring Items'!$H$22&lt;&gt;"Skip")*(DAY(AB311)='Recurring Items'!$F$22)*IFERROR(N('Recurring Items'!$D$22),0)+(IF(AC311=1,'Debt Tracker'!$P$20&gt;0.01,INDEX('Debt Tracker'!$T$5:$AE$29,16,AC311-1)&gt;0.01))*('Recurring Items'!$H$23&lt;&gt;"Skip")*(DAY(AB311)='Recurring Items'!$F$23)*IFERROR(N('Recurring Items'!$D$23),0)+(IF(AC311=1,'Debt Tracker'!$P$21&gt;0.01,INDEX('Debt Tracker'!$T$5:$AE$29,17,AC311-1)&gt;0.01))*('Recurring Items'!$H$24&lt;&gt;"Skip")*(DAY(AB311)='Recurring Items'!$F$24)*IFERROR(N('Recurring Items'!$D$24),0)+(IF(AC311=1,'Debt Tracker'!$P$22&gt;0.01,INDEX('Debt Tracker'!$T$5:$AE$29,18,AC311-1)&gt;0.01))*('Recurring Items'!$H$25&lt;&gt;"Skip")*(DAY(AB311)='Recurring Items'!$F$25)*IFERROR(N('Recurring Items'!$D$25),0)+(IF(AC311=1,'Debt Tracker'!$P$23&gt;0.01,INDEX('Debt Tracker'!$T$5:$AE$29,19,AC311-1)&gt;0.01))*('Recurring Items'!$H$26&lt;&gt;"Skip")*(DAY(AB311)='Recurring Items'!$F$26)*IFERROR(N('Recurring Items'!$D$26),0)+(IF(AC311=1,'Debt Tracker'!$P$24&gt;0.01,INDEX('Debt Tracker'!$T$5:$AE$29,20,AC311-1)&gt;0.01))*('Recurring Items'!$H$27&lt;&gt;"Skip")*(DAY(AB311)='Recurring Items'!$F$27)*IFERROR(N('Recurring Items'!$D$27),0)+(IF(AC311=1,'Debt Tracker'!$P$25&gt;0.01,INDEX('Debt Tracker'!$T$5:$AE$29,21,AC311-1)&gt;0.01))*('Recurring Items'!$H$28&lt;&gt;"Skip")*(DAY(AB311)='Recurring Items'!$F$28)*IFERROR(N('Recurring Items'!$D$28),0)+(IF(AC311=1,'Debt Tracker'!$P$26&gt;0.01,INDEX('Debt Tracker'!$T$5:$AE$29,22,AC311-1)&gt;0.01))*('Recurring Items'!$H$29&lt;&gt;"Skip")*(DAY(AB311)='Recurring Items'!$F$29)*IFERROR(N('Recurring Items'!$D$29),0)+(IF(AC311=1,'Debt Tracker'!$P$27&gt;0.01,INDEX('Debt Tracker'!$T$5:$AE$29,23,AC311-1)&gt;0.01))*('Recurring Items'!$H$30&lt;&gt;"Skip")*(DAY(AB311)='Recurring Items'!$F$30)*IFERROR(N('Recurring Items'!$D$30),0)+(IF(AC311=1,'Debt Tracker'!$P$28&gt;0.01,INDEX('Debt Tracker'!$T$5:$AE$29,24,AC311-1)&gt;0.01))*('Recurring Items'!$H$31&lt;&gt;"Skip")*(DAY(AB311)='Recurring Items'!$F$31)*IFERROR(N('Recurring Items'!$D$31),0)+(IF(AC311=1,'Debt Tracker'!$P$29&gt;0.01,INDEX('Debt Tracker'!$T$5:$AE$29,25,AC311-1)&gt;0.01))*('Recurring Items'!$H$32&lt;&gt;"Skip")*(DAY(AB311)='Recurring Items'!$F$32)*IFERROR(N('Recurring Items'!$D$32),0)</f>
        <v>207.23</v>
      </c>
      <c r="AG311" s="1" t="n">
        <f aca="false">AD311-AE311-AF311</f>
        <v>-207.23</v>
      </c>
      <c r="AH311" s="1" t="n">
        <f aca="false">AH310+AG311</f>
        <v>5495.96</v>
      </c>
    </row>
    <row r="312" customFormat="false" ht="15" hidden="false" customHeight="true" outlineLevel="0" collapsed="false">
      <c r="AA312" s="1" t="n">
        <v>112</v>
      </c>
      <c r="AB312" s="145" t="n">
        <f aca="false">$D$3+112</f>
        <v>46255</v>
      </c>
      <c r="AC312" s="1" t="n">
        <f aca="false">MIN(12,1+DATEDIF($D$3,AB312,"M"))</f>
        <v>4</v>
      </c>
      <c r="AD312" s="1" t="n">
        <f aca="false">SUMPRODUCT(('Recurring Items'!$C$6:$C$56="Income")*('Recurring Items'!$H$6:$H$56&lt;&gt;"Skip")*IFERROR(N('Recurring Items'!$D$6:$D$56),0)*(('Recurring Items'!$E$6:$E$56="Monthly")*(DAY(AB312)='Recurring Items'!$F$6:$F$56)+('Recurring Items'!$E$6:$E$56="Bi-weekly")*(WEEKDAY(AB312)=IFERROR(WEEKDAY('Recurring Items'!$G$6:$G$56),0))*(MOD(AB312-IFERROR('Recurring Items'!$G$6:$G$56,0),14)=0)*(AB312&gt;=IFERROR('Recurring Items'!$G$6:$G$56,9000000000))+('Recurring Items'!$E$6:$E$56="Weekly")*(WEEKDAY(AB312)=IFERROR(WEEKDAY('Recurring Items'!$G$6:$G$56),0))*(AB312&gt;=IFERROR('Recurring Items'!$G$6:$G$56,9000000000))+('Recurring Items'!$E$6:$E$56="One-time")*(AB312='Recurring Items'!$G$6:$G$56)))</f>
        <v>3819.79</v>
      </c>
      <c r="AE312" s="1" t="n">
        <f aca="false">SUMPRODUCT(('Recurring Items'!$C$6:$C$56="Expense")*('Recurring Items'!$H$6:$H$56&lt;&gt;"Skip")*IFERROR(N('Recurring Items'!$D$6:$D$56),0)*(('Recurring Items'!$E$6:$E$56="Monthly")*(DAY(AB312)='Recurring Items'!$F$6:$F$56)+('Recurring Items'!$E$6:$E$56="Bi-weekly")*(WEEKDAY(AB312)=IFERROR(WEEKDAY('Recurring Items'!$G$6:$G$56),0))*(MOD(AB312-IFERROR('Recurring Items'!$G$6:$G$56,0),14)=0)*(AB312&gt;=IFERROR('Recurring Items'!$G$6:$G$56,9000000000))+('Recurring Items'!$E$6:$E$56="Weekly")*(WEEKDAY(AB312)=IFERROR(WEEKDAY('Recurring Items'!$G$6:$G$56),0))*(AB312&gt;=IFERROR('Recurring Items'!$G$6:$G$56,9000000000))+('Recurring Items'!$E$6:$E$56="One-time")*(AB312='Recurring Items'!$G$6:$G$56)))</f>
        <v>701</v>
      </c>
      <c r="AF312" s="1" t="n">
        <f aca="false">(IF(AC312=1,'Debt Tracker'!$P$5&gt;0.01,INDEX('Debt Tracker'!$T$5:$AE$29,1,AC312-1)&gt;0.01))*('Recurring Items'!$H$8&lt;&gt;"Skip")*(DAY(AB312)='Recurring Items'!$F$8)*IFERROR(N('Recurring Items'!$D$8),0)+(IF(AC312=1,'Debt Tracker'!$P$6&gt;0.01,INDEX('Debt Tracker'!$T$5:$AE$29,2,AC312-1)&gt;0.01))*('Recurring Items'!$H$9&lt;&gt;"Skip")*(DAY(AB312)='Recurring Items'!$F$9)*IFERROR(N('Recurring Items'!$D$9),0)+(IF(AC312=1,'Debt Tracker'!$P$7&gt;0.01,INDEX('Debt Tracker'!$T$5:$AE$29,3,AC312-1)&gt;0.01))*('Recurring Items'!$H$10&lt;&gt;"Skip")*(DAY(AB312)='Recurring Items'!$F$10)*IFERROR(N('Recurring Items'!$D$10),0)+(IF(AC312=1,'Debt Tracker'!$P$8&gt;0.01,INDEX('Debt Tracker'!$T$5:$AE$29,4,AC312-1)&gt;0.01))*('Recurring Items'!$H$11&lt;&gt;"Skip")*(DAY(AB312)='Recurring Items'!$F$11)*IFERROR(N('Recurring Items'!$D$11),0)+(IF(AC312=1,'Debt Tracker'!$P$9&gt;0.01,INDEX('Debt Tracker'!$T$5:$AE$29,5,AC312-1)&gt;0.01))*('Recurring Items'!$H$12&lt;&gt;"Skip")*(DAY(AB312)='Recurring Items'!$F$12)*IFERROR(N('Recurring Items'!$D$12),0)+(IF(AC312=1,'Debt Tracker'!$P$10&gt;0.01,INDEX('Debt Tracker'!$T$5:$AE$29,6,AC312-1)&gt;0.01))*('Recurring Items'!$H$13&lt;&gt;"Skip")*(DAY(AB312)='Recurring Items'!$F$13)*IFERROR(N('Recurring Items'!$D$13),0)+(IF(AC312=1,'Debt Tracker'!$P$11&gt;0.01,INDEX('Debt Tracker'!$T$5:$AE$29,7,AC312-1)&gt;0.01))*('Recurring Items'!$H$14&lt;&gt;"Skip")*(DAY(AB312)='Recurring Items'!$F$14)*IFERROR(N('Recurring Items'!$D$14),0)+(IF(AC312=1,'Debt Tracker'!$P$12&gt;0.01,INDEX('Debt Tracker'!$T$5:$AE$29,8,AC312-1)&gt;0.01))*('Recurring Items'!$H$15&lt;&gt;"Skip")*(DAY(AB312)='Recurring Items'!$F$15)*IFERROR(N('Recurring Items'!$D$15),0)+(IF(AC312=1,'Debt Tracker'!$P$13&gt;0.01,INDEX('Debt Tracker'!$T$5:$AE$29,9,AC312-1)&gt;0.01))*('Recurring Items'!$H$16&lt;&gt;"Skip")*(DAY(AB312)='Recurring Items'!$F$16)*IFERROR(N('Recurring Items'!$D$16),0)+(IF(AC312=1,'Debt Tracker'!$P$14&gt;0.01,INDEX('Debt Tracker'!$T$5:$AE$29,10,AC312-1)&gt;0.01))*('Recurring Items'!$H$17&lt;&gt;"Skip")*(DAY(AB312)='Recurring Items'!$F$17)*IFERROR(N('Recurring Items'!$D$17),0)+(IF(AC312=1,'Debt Tracker'!$P$15&gt;0.01,INDEX('Debt Tracker'!$T$5:$AE$29,11,AC312-1)&gt;0.01))*('Recurring Items'!$H$18&lt;&gt;"Skip")*(DAY(AB312)='Recurring Items'!$F$18)*IFERROR(N('Recurring Items'!$D$18),0)+(IF(AC312=1,'Debt Tracker'!$P$16&gt;0.01,INDEX('Debt Tracker'!$T$5:$AE$29,12,AC312-1)&gt;0.01))*('Recurring Items'!$H$19&lt;&gt;"Skip")*(DAY(AB312)='Recurring Items'!$F$19)*IFERROR(N('Recurring Items'!$D$19),0)+(IF(AC312=1,'Debt Tracker'!$P$17&gt;0.01,INDEX('Debt Tracker'!$T$5:$AE$29,13,AC312-1)&gt;0.01))*('Recurring Items'!$H$20&lt;&gt;"Skip")*(DAY(AB312)='Recurring Items'!$F$20)*IFERROR(N('Recurring Items'!$D$20),0)+(IF(AC312=1,'Debt Tracker'!$P$18&gt;0.01,INDEX('Debt Tracker'!$T$5:$AE$29,14,AC312-1)&gt;0.01))*('Recurring Items'!$H$21&lt;&gt;"Skip")*(DAY(AB312)='Recurring Items'!$F$21)*IFERROR(N('Recurring Items'!$D$21),0)+(IF(AC312=1,'Debt Tracker'!$P$19&gt;0.01,INDEX('Debt Tracker'!$T$5:$AE$29,15,AC312-1)&gt;0.01))*('Recurring Items'!$H$22&lt;&gt;"Skip")*(DAY(AB312)='Recurring Items'!$F$22)*IFERROR(N('Recurring Items'!$D$22),0)+(IF(AC312=1,'Debt Tracker'!$P$20&gt;0.01,INDEX('Debt Tracker'!$T$5:$AE$29,16,AC312-1)&gt;0.01))*('Recurring Items'!$H$23&lt;&gt;"Skip")*(DAY(AB312)='Recurring Items'!$F$23)*IFERROR(N('Recurring Items'!$D$23),0)+(IF(AC312=1,'Debt Tracker'!$P$21&gt;0.01,INDEX('Debt Tracker'!$T$5:$AE$29,17,AC312-1)&gt;0.01))*('Recurring Items'!$H$24&lt;&gt;"Skip")*(DAY(AB312)='Recurring Items'!$F$24)*IFERROR(N('Recurring Items'!$D$24),0)+(IF(AC312=1,'Debt Tracker'!$P$22&gt;0.01,INDEX('Debt Tracker'!$T$5:$AE$29,18,AC312-1)&gt;0.01))*('Recurring Items'!$H$25&lt;&gt;"Skip")*(DAY(AB312)='Recurring Items'!$F$25)*IFERROR(N('Recurring Items'!$D$25),0)+(IF(AC312=1,'Debt Tracker'!$P$23&gt;0.01,INDEX('Debt Tracker'!$T$5:$AE$29,19,AC312-1)&gt;0.01))*('Recurring Items'!$H$26&lt;&gt;"Skip")*(DAY(AB312)='Recurring Items'!$F$26)*IFERROR(N('Recurring Items'!$D$26),0)+(IF(AC312=1,'Debt Tracker'!$P$24&gt;0.01,INDEX('Debt Tracker'!$T$5:$AE$29,20,AC312-1)&gt;0.01))*('Recurring Items'!$H$27&lt;&gt;"Skip")*(DAY(AB312)='Recurring Items'!$F$27)*IFERROR(N('Recurring Items'!$D$27),0)+(IF(AC312=1,'Debt Tracker'!$P$25&gt;0.01,INDEX('Debt Tracker'!$T$5:$AE$29,21,AC312-1)&gt;0.01))*('Recurring Items'!$H$28&lt;&gt;"Skip")*(DAY(AB312)='Recurring Items'!$F$28)*IFERROR(N('Recurring Items'!$D$28),0)+(IF(AC312=1,'Debt Tracker'!$P$26&gt;0.01,INDEX('Debt Tracker'!$T$5:$AE$29,22,AC312-1)&gt;0.01))*('Recurring Items'!$H$29&lt;&gt;"Skip")*(DAY(AB312)='Recurring Items'!$F$29)*IFERROR(N('Recurring Items'!$D$29),0)+(IF(AC312=1,'Debt Tracker'!$P$27&gt;0.01,INDEX('Debt Tracker'!$T$5:$AE$29,23,AC312-1)&gt;0.01))*('Recurring Items'!$H$30&lt;&gt;"Skip")*(DAY(AB312)='Recurring Items'!$F$30)*IFERROR(N('Recurring Items'!$D$30),0)+(IF(AC312=1,'Debt Tracker'!$P$28&gt;0.01,INDEX('Debt Tracker'!$T$5:$AE$29,24,AC312-1)&gt;0.01))*('Recurring Items'!$H$31&lt;&gt;"Skip")*(DAY(AB312)='Recurring Items'!$F$31)*IFERROR(N('Recurring Items'!$D$31),0)+(IF(AC312=1,'Debt Tracker'!$P$29&gt;0.01,INDEX('Debt Tracker'!$T$5:$AE$29,25,AC312-1)&gt;0.01))*('Recurring Items'!$H$32&lt;&gt;"Skip")*(DAY(AB312)='Recurring Items'!$F$32)*IFERROR(N('Recurring Items'!$D$32),0)</f>
        <v>80</v>
      </c>
      <c r="AG312" s="1" t="n">
        <f aca="false">AD312-AE312-AF312</f>
        <v>3038.79</v>
      </c>
      <c r="AH312" s="1" t="n">
        <f aca="false">AH311+AG312</f>
        <v>8534.75</v>
      </c>
    </row>
    <row r="313" customFormat="false" ht="15" hidden="false" customHeight="true" outlineLevel="0" collapsed="false">
      <c r="AA313" s="1" t="n">
        <v>113</v>
      </c>
      <c r="AB313" s="145" t="n">
        <f aca="false">$D$3+113</f>
        <v>46256</v>
      </c>
      <c r="AC313" s="1" t="n">
        <f aca="false">MIN(12,1+DATEDIF($D$3,AB313,"M"))</f>
        <v>4</v>
      </c>
      <c r="AD313" s="1" t="n">
        <f aca="false">SUMPRODUCT(('Recurring Items'!$C$6:$C$56="Income")*('Recurring Items'!$H$6:$H$56&lt;&gt;"Skip")*IFERROR(N('Recurring Items'!$D$6:$D$56),0)*(('Recurring Items'!$E$6:$E$56="Monthly")*(DAY(AB313)='Recurring Items'!$F$6:$F$56)+('Recurring Items'!$E$6:$E$56="Bi-weekly")*(WEEKDAY(AB313)=IFERROR(WEEKDAY('Recurring Items'!$G$6:$G$56),0))*(MOD(AB313-IFERROR('Recurring Items'!$G$6:$G$56,0),14)=0)*(AB313&gt;=IFERROR('Recurring Items'!$G$6:$G$56,9000000000))+('Recurring Items'!$E$6:$E$56="Weekly")*(WEEKDAY(AB313)=IFERROR(WEEKDAY('Recurring Items'!$G$6:$G$56),0))*(AB313&gt;=IFERROR('Recurring Items'!$G$6:$G$56,9000000000))+('Recurring Items'!$E$6:$E$56="One-time")*(AB313='Recurring Items'!$G$6:$G$56)))</f>
        <v>0</v>
      </c>
      <c r="AE313" s="1" t="n">
        <f aca="false">SUMPRODUCT(('Recurring Items'!$C$6:$C$56="Expense")*('Recurring Items'!$H$6:$H$56&lt;&gt;"Skip")*IFERROR(N('Recurring Items'!$D$6:$D$56),0)*(('Recurring Items'!$E$6:$E$56="Monthly")*(DAY(AB313)='Recurring Items'!$F$6:$F$56)+('Recurring Items'!$E$6:$E$56="Bi-weekly")*(WEEKDAY(AB313)=IFERROR(WEEKDAY('Recurring Items'!$G$6:$G$56),0))*(MOD(AB313-IFERROR('Recurring Items'!$G$6:$G$56,0),14)=0)*(AB313&gt;=IFERROR('Recurring Items'!$G$6:$G$56,9000000000))+('Recurring Items'!$E$6:$E$56="Weekly")*(WEEKDAY(AB313)=IFERROR(WEEKDAY('Recurring Items'!$G$6:$G$56),0))*(AB313&gt;=IFERROR('Recurring Items'!$G$6:$G$56,9000000000))+('Recurring Items'!$E$6:$E$56="One-time")*(AB313='Recurring Items'!$G$6:$G$56)))</f>
        <v>0</v>
      </c>
      <c r="AF313" s="1" t="n">
        <f aca="false">(IF(AC313=1,'Debt Tracker'!$P$5&gt;0.01,INDEX('Debt Tracker'!$T$5:$AE$29,1,AC313-1)&gt;0.01))*('Recurring Items'!$H$8&lt;&gt;"Skip")*(DAY(AB313)='Recurring Items'!$F$8)*IFERROR(N('Recurring Items'!$D$8),0)+(IF(AC313=1,'Debt Tracker'!$P$6&gt;0.01,INDEX('Debt Tracker'!$T$5:$AE$29,2,AC313-1)&gt;0.01))*('Recurring Items'!$H$9&lt;&gt;"Skip")*(DAY(AB313)='Recurring Items'!$F$9)*IFERROR(N('Recurring Items'!$D$9),0)+(IF(AC313=1,'Debt Tracker'!$P$7&gt;0.01,INDEX('Debt Tracker'!$T$5:$AE$29,3,AC313-1)&gt;0.01))*('Recurring Items'!$H$10&lt;&gt;"Skip")*(DAY(AB313)='Recurring Items'!$F$10)*IFERROR(N('Recurring Items'!$D$10),0)+(IF(AC313=1,'Debt Tracker'!$P$8&gt;0.01,INDEX('Debt Tracker'!$T$5:$AE$29,4,AC313-1)&gt;0.01))*('Recurring Items'!$H$11&lt;&gt;"Skip")*(DAY(AB313)='Recurring Items'!$F$11)*IFERROR(N('Recurring Items'!$D$11),0)+(IF(AC313=1,'Debt Tracker'!$P$9&gt;0.01,INDEX('Debt Tracker'!$T$5:$AE$29,5,AC313-1)&gt;0.01))*('Recurring Items'!$H$12&lt;&gt;"Skip")*(DAY(AB313)='Recurring Items'!$F$12)*IFERROR(N('Recurring Items'!$D$12),0)+(IF(AC313=1,'Debt Tracker'!$P$10&gt;0.01,INDEX('Debt Tracker'!$T$5:$AE$29,6,AC313-1)&gt;0.01))*('Recurring Items'!$H$13&lt;&gt;"Skip")*(DAY(AB313)='Recurring Items'!$F$13)*IFERROR(N('Recurring Items'!$D$13),0)+(IF(AC313=1,'Debt Tracker'!$P$11&gt;0.01,INDEX('Debt Tracker'!$T$5:$AE$29,7,AC313-1)&gt;0.01))*('Recurring Items'!$H$14&lt;&gt;"Skip")*(DAY(AB313)='Recurring Items'!$F$14)*IFERROR(N('Recurring Items'!$D$14),0)+(IF(AC313=1,'Debt Tracker'!$P$12&gt;0.01,INDEX('Debt Tracker'!$T$5:$AE$29,8,AC313-1)&gt;0.01))*('Recurring Items'!$H$15&lt;&gt;"Skip")*(DAY(AB313)='Recurring Items'!$F$15)*IFERROR(N('Recurring Items'!$D$15),0)+(IF(AC313=1,'Debt Tracker'!$P$13&gt;0.01,INDEX('Debt Tracker'!$T$5:$AE$29,9,AC313-1)&gt;0.01))*('Recurring Items'!$H$16&lt;&gt;"Skip")*(DAY(AB313)='Recurring Items'!$F$16)*IFERROR(N('Recurring Items'!$D$16),0)+(IF(AC313=1,'Debt Tracker'!$P$14&gt;0.01,INDEX('Debt Tracker'!$T$5:$AE$29,10,AC313-1)&gt;0.01))*('Recurring Items'!$H$17&lt;&gt;"Skip")*(DAY(AB313)='Recurring Items'!$F$17)*IFERROR(N('Recurring Items'!$D$17),0)+(IF(AC313=1,'Debt Tracker'!$P$15&gt;0.01,INDEX('Debt Tracker'!$T$5:$AE$29,11,AC313-1)&gt;0.01))*('Recurring Items'!$H$18&lt;&gt;"Skip")*(DAY(AB313)='Recurring Items'!$F$18)*IFERROR(N('Recurring Items'!$D$18),0)+(IF(AC313=1,'Debt Tracker'!$P$16&gt;0.01,INDEX('Debt Tracker'!$T$5:$AE$29,12,AC313-1)&gt;0.01))*('Recurring Items'!$H$19&lt;&gt;"Skip")*(DAY(AB313)='Recurring Items'!$F$19)*IFERROR(N('Recurring Items'!$D$19),0)+(IF(AC313=1,'Debt Tracker'!$P$17&gt;0.01,INDEX('Debt Tracker'!$T$5:$AE$29,13,AC313-1)&gt;0.01))*('Recurring Items'!$H$20&lt;&gt;"Skip")*(DAY(AB313)='Recurring Items'!$F$20)*IFERROR(N('Recurring Items'!$D$20),0)+(IF(AC313=1,'Debt Tracker'!$P$18&gt;0.01,INDEX('Debt Tracker'!$T$5:$AE$29,14,AC313-1)&gt;0.01))*('Recurring Items'!$H$21&lt;&gt;"Skip")*(DAY(AB313)='Recurring Items'!$F$21)*IFERROR(N('Recurring Items'!$D$21),0)+(IF(AC313=1,'Debt Tracker'!$P$19&gt;0.01,INDEX('Debt Tracker'!$T$5:$AE$29,15,AC313-1)&gt;0.01))*('Recurring Items'!$H$22&lt;&gt;"Skip")*(DAY(AB313)='Recurring Items'!$F$22)*IFERROR(N('Recurring Items'!$D$22),0)+(IF(AC313=1,'Debt Tracker'!$P$20&gt;0.01,INDEX('Debt Tracker'!$T$5:$AE$29,16,AC313-1)&gt;0.01))*('Recurring Items'!$H$23&lt;&gt;"Skip")*(DAY(AB313)='Recurring Items'!$F$23)*IFERROR(N('Recurring Items'!$D$23),0)+(IF(AC313=1,'Debt Tracker'!$P$21&gt;0.01,INDEX('Debt Tracker'!$T$5:$AE$29,17,AC313-1)&gt;0.01))*('Recurring Items'!$H$24&lt;&gt;"Skip")*(DAY(AB313)='Recurring Items'!$F$24)*IFERROR(N('Recurring Items'!$D$24),0)+(IF(AC313=1,'Debt Tracker'!$P$22&gt;0.01,INDEX('Debt Tracker'!$T$5:$AE$29,18,AC313-1)&gt;0.01))*('Recurring Items'!$H$25&lt;&gt;"Skip")*(DAY(AB313)='Recurring Items'!$F$25)*IFERROR(N('Recurring Items'!$D$25),0)+(IF(AC313=1,'Debt Tracker'!$P$23&gt;0.01,INDEX('Debt Tracker'!$T$5:$AE$29,19,AC313-1)&gt;0.01))*('Recurring Items'!$H$26&lt;&gt;"Skip")*(DAY(AB313)='Recurring Items'!$F$26)*IFERROR(N('Recurring Items'!$D$26),0)+(IF(AC313=1,'Debt Tracker'!$P$24&gt;0.01,INDEX('Debt Tracker'!$T$5:$AE$29,20,AC313-1)&gt;0.01))*('Recurring Items'!$H$27&lt;&gt;"Skip")*(DAY(AB313)='Recurring Items'!$F$27)*IFERROR(N('Recurring Items'!$D$27),0)+(IF(AC313=1,'Debt Tracker'!$P$25&gt;0.01,INDEX('Debt Tracker'!$T$5:$AE$29,21,AC313-1)&gt;0.01))*('Recurring Items'!$H$28&lt;&gt;"Skip")*(DAY(AB313)='Recurring Items'!$F$28)*IFERROR(N('Recurring Items'!$D$28),0)+(IF(AC313=1,'Debt Tracker'!$P$26&gt;0.01,INDEX('Debt Tracker'!$T$5:$AE$29,22,AC313-1)&gt;0.01))*('Recurring Items'!$H$29&lt;&gt;"Skip")*(DAY(AB313)='Recurring Items'!$F$29)*IFERROR(N('Recurring Items'!$D$29),0)+(IF(AC313=1,'Debt Tracker'!$P$27&gt;0.01,INDEX('Debt Tracker'!$T$5:$AE$29,23,AC313-1)&gt;0.01))*('Recurring Items'!$H$30&lt;&gt;"Skip")*(DAY(AB313)='Recurring Items'!$F$30)*IFERROR(N('Recurring Items'!$D$30),0)+(IF(AC313=1,'Debt Tracker'!$P$28&gt;0.01,INDEX('Debt Tracker'!$T$5:$AE$29,24,AC313-1)&gt;0.01))*('Recurring Items'!$H$31&lt;&gt;"Skip")*(DAY(AB313)='Recurring Items'!$F$31)*IFERROR(N('Recurring Items'!$D$31),0)+(IF(AC313=1,'Debt Tracker'!$P$29&gt;0.01,INDEX('Debt Tracker'!$T$5:$AE$29,25,AC313-1)&gt;0.01))*('Recurring Items'!$H$32&lt;&gt;"Skip")*(DAY(AB313)='Recurring Items'!$F$32)*IFERROR(N('Recurring Items'!$D$32),0)</f>
        <v>0</v>
      </c>
      <c r="AG313" s="1" t="n">
        <f aca="false">AD313-AE313-AF313</f>
        <v>0</v>
      </c>
      <c r="AH313" s="1" t="n">
        <f aca="false">AH312+AG313</f>
        <v>8534.75</v>
      </c>
    </row>
    <row r="314" customFormat="false" ht="15" hidden="false" customHeight="true" outlineLevel="0" collapsed="false">
      <c r="AA314" s="1" t="n">
        <v>114</v>
      </c>
      <c r="AB314" s="145" t="n">
        <f aca="false">$D$3+114</f>
        <v>46257</v>
      </c>
      <c r="AC314" s="1" t="n">
        <f aca="false">MIN(12,1+DATEDIF($D$3,AB314,"M"))</f>
        <v>4</v>
      </c>
      <c r="AD314" s="1" t="n">
        <f aca="false">SUMPRODUCT(('Recurring Items'!$C$6:$C$56="Income")*('Recurring Items'!$H$6:$H$56&lt;&gt;"Skip")*IFERROR(N('Recurring Items'!$D$6:$D$56),0)*(('Recurring Items'!$E$6:$E$56="Monthly")*(DAY(AB314)='Recurring Items'!$F$6:$F$56)+('Recurring Items'!$E$6:$E$56="Bi-weekly")*(WEEKDAY(AB314)=IFERROR(WEEKDAY('Recurring Items'!$G$6:$G$56),0))*(MOD(AB314-IFERROR('Recurring Items'!$G$6:$G$56,0),14)=0)*(AB314&gt;=IFERROR('Recurring Items'!$G$6:$G$56,9000000000))+('Recurring Items'!$E$6:$E$56="Weekly")*(WEEKDAY(AB314)=IFERROR(WEEKDAY('Recurring Items'!$G$6:$G$56),0))*(AB314&gt;=IFERROR('Recurring Items'!$G$6:$G$56,9000000000))+('Recurring Items'!$E$6:$E$56="One-time")*(AB314='Recurring Items'!$G$6:$G$56)))</f>
        <v>0</v>
      </c>
      <c r="AE314" s="1" t="n">
        <f aca="false">SUMPRODUCT(('Recurring Items'!$C$6:$C$56="Expense")*('Recurring Items'!$H$6:$H$56&lt;&gt;"Skip")*IFERROR(N('Recurring Items'!$D$6:$D$56),0)*(('Recurring Items'!$E$6:$E$56="Monthly")*(DAY(AB314)='Recurring Items'!$F$6:$F$56)+('Recurring Items'!$E$6:$E$56="Bi-weekly")*(WEEKDAY(AB314)=IFERROR(WEEKDAY('Recurring Items'!$G$6:$G$56),0))*(MOD(AB314-IFERROR('Recurring Items'!$G$6:$G$56,0),14)=0)*(AB314&gt;=IFERROR('Recurring Items'!$G$6:$G$56,9000000000))+('Recurring Items'!$E$6:$E$56="Weekly")*(WEEKDAY(AB314)=IFERROR(WEEKDAY('Recurring Items'!$G$6:$G$56),0))*(AB314&gt;=IFERROR('Recurring Items'!$G$6:$G$56,9000000000))+('Recurring Items'!$E$6:$E$56="One-time")*(AB314='Recurring Items'!$G$6:$G$56)))</f>
        <v>0</v>
      </c>
      <c r="AF314" s="1" t="n">
        <f aca="false">(IF(AC314=1,'Debt Tracker'!$P$5&gt;0.01,INDEX('Debt Tracker'!$T$5:$AE$29,1,AC314-1)&gt;0.01))*('Recurring Items'!$H$8&lt;&gt;"Skip")*(DAY(AB314)='Recurring Items'!$F$8)*IFERROR(N('Recurring Items'!$D$8),0)+(IF(AC314=1,'Debt Tracker'!$P$6&gt;0.01,INDEX('Debt Tracker'!$T$5:$AE$29,2,AC314-1)&gt;0.01))*('Recurring Items'!$H$9&lt;&gt;"Skip")*(DAY(AB314)='Recurring Items'!$F$9)*IFERROR(N('Recurring Items'!$D$9),0)+(IF(AC314=1,'Debt Tracker'!$P$7&gt;0.01,INDEX('Debt Tracker'!$T$5:$AE$29,3,AC314-1)&gt;0.01))*('Recurring Items'!$H$10&lt;&gt;"Skip")*(DAY(AB314)='Recurring Items'!$F$10)*IFERROR(N('Recurring Items'!$D$10),0)+(IF(AC314=1,'Debt Tracker'!$P$8&gt;0.01,INDEX('Debt Tracker'!$T$5:$AE$29,4,AC314-1)&gt;0.01))*('Recurring Items'!$H$11&lt;&gt;"Skip")*(DAY(AB314)='Recurring Items'!$F$11)*IFERROR(N('Recurring Items'!$D$11),0)+(IF(AC314=1,'Debt Tracker'!$P$9&gt;0.01,INDEX('Debt Tracker'!$T$5:$AE$29,5,AC314-1)&gt;0.01))*('Recurring Items'!$H$12&lt;&gt;"Skip")*(DAY(AB314)='Recurring Items'!$F$12)*IFERROR(N('Recurring Items'!$D$12),0)+(IF(AC314=1,'Debt Tracker'!$P$10&gt;0.01,INDEX('Debt Tracker'!$T$5:$AE$29,6,AC314-1)&gt;0.01))*('Recurring Items'!$H$13&lt;&gt;"Skip")*(DAY(AB314)='Recurring Items'!$F$13)*IFERROR(N('Recurring Items'!$D$13),0)+(IF(AC314=1,'Debt Tracker'!$P$11&gt;0.01,INDEX('Debt Tracker'!$T$5:$AE$29,7,AC314-1)&gt;0.01))*('Recurring Items'!$H$14&lt;&gt;"Skip")*(DAY(AB314)='Recurring Items'!$F$14)*IFERROR(N('Recurring Items'!$D$14),0)+(IF(AC314=1,'Debt Tracker'!$P$12&gt;0.01,INDEX('Debt Tracker'!$T$5:$AE$29,8,AC314-1)&gt;0.01))*('Recurring Items'!$H$15&lt;&gt;"Skip")*(DAY(AB314)='Recurring Items'!$F$15)*IFERROR(N('Recurring Items'!$D$15),0)+(IF(AC314=1,'Debt Tracker'!$P$13&gt;0.01,INDEX('Debt Tracker'!$T$5:$AE$29,9,AC314-1)&gt;0.01))*('Recurring Items'!$H$16&lt;&gt;"Skip")*(DAY(AB314)='Recurring Items'!$F$16)*IFERROR(N('Recurring Items'!$D$16),0)+(IF(AC314=1,'Debt Tracker'!$P$14&gt;0.01,INDEX('Debt Tracker'!$T$5:$AE$29,10,AC314-1)&gt;0.01))*('Recurring Items'!$H$17&lt;&gt;"Skip")*(DAY(AB314)='Recurring Items'!$F$17)*IFERROR(N('Recurring Items'!$D$17),0)+(IF(AC314=1,'Debt Tracker'!$P$15&gt;0.01,INDEX('Debt Tracker'!$T$5:$AE$29,11,AC314-1)&gt;0.01))*('Recurring Items'!$H$18&lt;&gt;"Skip")*(DAY(AB314)='Recurring Items'!$F$18)*IFERROR(N('Recurring Items'!$D$18),0)+(IF(AC314=1,'Debt Tracker'!$P$16&gt;0.01,INDEX('Debt Tracker'!$T$5:$AE$29,12,AC314-1)&gt;0.01))*('Recurring Items'!$H$19&lt;&gt;"Skip")*(DAY(AB314)='Recurring Items'!$F$19)*IFERROR(N('Recurring Items'!$D$19),0)+(IF(AC314=1,'Debt Tracker'!$P$17&gt;0.01,INDEX('Debt Tracker'!$T$5:$AE$29,13,AC314-1)&gt;0.01))*('Recurring Items'!$H$20&lt;&gt;"Skip")*(DAY(AB314)='Recurring Items'!$F$20)*IFERROR(N('Recurring Items'!$D$20),0)+(IF(AC314=1,'Debt Tracker'!$P$18&gt;0.01,INDEX('Debt Tracker'!$T$5:$AE$29,14,AC314-1)&gt;0.01))*('Recurring Items'!$H$21&lt;&gt;"Skip")*(DAY(AB314)='Recurring Items'!$F$21)*IFERROR(N('Recurring Items'!$D$21),0)+(IF(AC314=1,'Debt Tracker'!$P$19&gt;0.01,INDEX('Debt Tracker'!$T$5:$AE$29,15,AC314-1)&gt;0.01))*('Recurring Items'!$H$22&lt;&gt;"Skip")*(DAY(AB314)='Recurring Items'!$F$22)*IFERROR(N('Recurring Items'!$D$22),0)+(IF(AC314=1,'Debt Tracker'!$P$20&gt;0.01,INDEX('Debt Tracker'!$T$5:$AE$29,16,AC314-1)&gt;0.01))*('Recurring Items'!$H$23&lt;&gt;"Skip")*(DAY(AB314)='Recurring Items'!$F$23)*IFERROR(N('Recurring Items'!$D$23),0)+(IF(AC314=1,'Debt Tracker'!$P$21&gt;0.01,INDEX('Debt Tracker'!$T$5:$AE$29,17,AC314-1)&gt;0.01))*('Recurring Items'!$H$24&lt;&gt;"Skip")*(DAY(AB314)='Recurring Items'!$F$24)*IFERROR(N('Recurring Items'!$D$24),0)+(IF(AC314=1,'Debt Tracker'!$P$22&gt;0.01,INDEX('Debt Tracker'!$T$5:$AE$29,18,AC314-1)&gt;0.01))*('Recurring Items'!$H$25&lt;&gt;"Skip")*(DAY(AB314)='Recurring Items'!$F$25)*IFERROR(N('Recurring Items'!$D$25),0)+(IF(AC314=1,'Debt Tracker'!$P$23&gt;0.01,INDEX('Debt Tracker'!$T$5:$AE$29,19,AC314-1)&gt;0.01))*('Recurring Items'!$H$26&lt;&gt;"Skip")*(DAY(AB314)='Recurring Items'!$F$26)*IFERROR(N('Recurring Items'!$D$26),0)+(IF(AC314=1,'Debt Tracker'!$P$24&gt;0.01,INDEX('Debt Tracker'!$T$5:$AE$29,20,AC314-1)&gt;0.01))*('Recurring Items'!$H$27&lt;&gt;"Skip")*(DAY(AB314)='Recurring Items'!$F$27)*IFERROR(N('Recurring Items'!$D$27),0)+(IF(AC314=1,'Debt Tracker'!$P$25&gt;0.01,INDEX('Debt Tracker'!$T$5:$AE$29,21,AC314-1)&gt;0.01))*('Recurring Items'!$H$28&lt;&gt;"Skip")*(DAY(AB314)='Recurring Items'!$F$28)*IFERROR(N('Recurring Items'!$D$28),0)+(IF(AC314=1,'Debt Tracker'!$P$26&gt;0.01,INDEX('Debt Tracker'!$T$5:$AE$29,22,AC314-1)&gt;0.01))*('Recurring Items'!$H$29&lt;&gt;"Skip")*(DAY(AB314)='Recurring Items'!$F$29)*IFERROR(N('Recurring Items'!$D$29),0)+(IF(AC314=1,'Debt Tracker'!$P$27&gt;0.01,INDEX('Debt Tracker'!$T$5:$AE$29,23,AC314-1)&gt;0.01))*('Recurring Items'!$H$30&lt;&gt;"Skip")*(DAY(AB314)='Recurring Items'!$F$30)*IFERROR(N('Recurring Items'!$D$30),0)+(IF(AC314=1,'Debt Tracker'!$P$28&gt;0.01,INDEX('Debt Tracker'!$T$5:$AE$29,24,AC314-1)&gt;0.01))*('Recurring Items'!$H$31&lt;&gt;"Skip")*(DAY(AB314)='Recurring Items'!$F$31)*IFERROR(N('Recurring Items'!$D$31),0)+(IF(AC314=1,'Debt Tracker'!$P$29&gt;0.01,INDEX('Debt Tracker'!$T$5:$AE$29,25,AC314-1)&gt;0.01))*('Recurring Items'!$H$32&lt;&gt;"Skip")*(DAY(AB314)='Recurring Items'!$F$32)*IFERROR(N('Recurring Items'!$D$32),0)</f>
        <v>0</v>
      </c>
      <c r="AG314" s="1" t="n">
        <f aca="false">AD314-AE314-AF314</f>
        <v>0</v>
      </c>
      <c r="AH314" s="1" t="n">
        <f aca="false">AH313+AG314</f>
        <v>8534.75</v>
      </c>
    </row>
    <row r="315" customFormat="false" ht="15" hidden="false" customHeight="true" outlineLevel="0" collapsed="false">
      <c r="AA315" s="1" t="n">
        <v>115</v>
      </c>
      <c r="AB315" s="145" t="n">
        <f aca="false">$D$3+115</f>
        <v>46258</v>
      </c>
      <c r="AC315" s="1" t="n">
        <f aca="false">MIN(12,1+DATEDIF($D$3,AB315,"M"))</f>
        <v>4</v>
      </c>
      <c r="AD315" s="1" t="n">
        <f aca="false">SUMPRODUCT(('Recurring Items'!$C$6:$C$56="Income")*('Recurring Items'!$H$6:$H$56&lt;&gt;"Skip")*IFERROR(N('Recurring Items'!$D$6:$D$56),0)*(('Recurring Items'!$E$6:$E$56="Monthly")*(DAY(AB315)='Recurring Items'!$F$6:$F$56)+('Recurring Items'!$E$6:$E$56="Bi-weekly")*(WEEKDAY(AB315)=IFERROR(WEEKDAY('Recurring Items'!$G$6:$G$56),0))*(MOD(AB315-IFERROR('Recurring Items'!$G$6:$G$56,0),14)=0)*(AB315&gt;=IFERROR('Recurring Items'!$G$6:$G$56,9000000000))+('Recurring Items'!$E$6:$E$56="Weekly")*(WEEKDAY(AB315)=IFERROR(WEEKDAY('Recurring Items'!$G$6:$G$56),0))*(AB315&gt;=IFERROR('Recurring Items'!$G$6:$G$56,9000000000))+('Recurring Items'!$E$6:$E$56="One-time")*(AB315='Recurring Items'!$G$6:$G$56)))</f>
        <v>0</v>
      </c>
      <c r="AE315" s="1" t="n">
        <f aca="false">SUMPRODUCT(('Recurring Items'!$C$6:$C$56="Expense")*('Recurring Items'!$H$6:$H$56&lt;&gt;"Skip")*IFERROR(N('Recurring Items'!$D$6:$D$56),0)*(('Recurring Items'!$E$6:$E$56="Monthly")*(DAY(AB315)='Recurring Items'!$F$6:$F$56)+('Recurring Items'!$E$6:$E$56="Bi-weekly")*(WEEKDAY(AB315)=IFERROR(WEEKDAY('Recurring Items'!$G$6:$G$56),0))*(MOD(AB315-IFERROR('Recurring Items'!$G$6:$G$56,0),14)=0)*(AB315&gt;=IFERROR('Recurring Items'!$G$6:$G$56,9000000000))+('Recurring Items'!$E$6:$E$56="Weekly")*(WEEKDAY(AB315)=IFERROR(WEEKDAY('Recurring Items'!$G$6:$G$56),0))*(AB315&gt;=IFERROR('Recurring Items'!$G$6:$G$56,9000000000))+('Recurring Items'!$E$6:$E$56="One-time")*(AB315='Recurring Items'!$G$6:$G$56)))</f>
        <v>101.02</v>
      </c>
      <c r="AF315" s="1" t="n">
        <f aca="false">(IF(AC315=1,'Debt Tracker'!$P$5&gt;0.01,INDEX('Debt Tracker'!$T$5:$AE$29,1,AC315-1)&gt;0.01))*('Recurring Items'!$H$8&lt;&gt;"Skip")*(DAY(AB315)='Recurring Items'!$F$8)*IFERROR(N('Recurring Items'!$D$8),0)+(IF(AC315=1,'Debt Tracker'!$P$6&gt;0.01,INDEX('Debt Tracker'!$T$5:$AE$29,2,AC315-1)&gt;0.01))*('Recurring Items'!$H$9&lt;&gt;"Skip")*(DAY(AB315)='Recurring Items'!$F$9)*IFERROR(N('Recurring Items'!$D$9),0)+(IF(AC315=1,'Debt Tracker'!$P$7&gt;0.01,INDEX('Debt Tracker'!$T$5:$AE$29,3,AC315-1)&gt;0.01))*('Recurring Items'!$H$10&lt;&gt;"Skip")*(DAY(AB315)='Recurring Items'!$F$10)*IFERROR(N('Recurring Items'!$D$10),0)+(IF(AC315=1,'Debt Tracker'!$P$8&gt;0.01,INDEX('Debt Tracker'!$T$5:$AE$29,4,AC315-1)&gt;0.01))*('Recurring Items'!$H$11&lt;&gt;"Skip")*(DAY(AB315)='Recurring Items'!$F$11)*IFERROR(N('Recurring Items'!$D$11),0)+(IF(AC315=1,'Debt Tracker'!$P$9&gt;0.01,INDEX('Debt Tracker'!$T$5:$AE$29,5,AC315-1)&gt;0.01))*('Recurring Items'!$H$12&lt;&gt;"Skip")*(DAY(AB315)='Recurring Items'!$F$12)*IFERROR(N('Recurring Items'!$D$12),0)+(IF(AC315=1,'Debt Tracker'!$P$10&gt;0.01,INDEX('Debt Tracker'!$T$5:$AE$29,6,AC315-1)&gt;0.01))*('Recurring Items'!$H$13&lt;&gt;"Skip")*(DAY(AB315)='Recurring Items'!$F$13)*IFERROR(N('Recurring Items'!$D$13),0)+(IF(AC315=1,'Debt Tracker'!$P$11&gt;0.01,INDEX('Debt Tracker'!$T$5:$AE$29,7,AC315-1)&gt;0.01))*('Recurring Items'!$H$14&lt;&gt;"Skip")*(DAY(AB315)='Recurring Items'!$F$14)*IFERROR(N('Recurring Items'!$D$14),0)+(IF(AC315=1,'Debt Tracker'!$P$12&gt;0.01,INDEX('Debt Tracker'!$T$5:$AE$29,8,AC315-1)&gt;0.01))*('Recurring Items'!$H$15&lt;&gt;"Skip")*(DAY(AB315)='Recurring Items'!$F$15)*IFERROR(N('Recurring Items'!$D$15),0)+(IF(AC315=1,'Debt Tracker'!$P$13&gt;0.01,INDEX('Debt Tracker'!$T$5:$AE$29,9,AC315-1)&gt;0.01))*('Recurring Items'!$H$16&lt;&gt;"Skip")*(DAY(AB315)='Recurring Items'!$F$16)*IFERROR(N('Recurring Items'!$D$16),0)+(IF(AC315=1,'Debt Tracker'!$P$14&gt;0.01,INDEX('Debt Tracker'!$T$5:$AE$29,10,AC315-1)&gt;0.01))*('Recurring Items'!$H$17&lt;&gt;"Skip")*(DAY(AB315)='Recurring Items'!$F$17)*IFERROR(N('Recurring Items'!$D$17),0)+(IF(AC315=1,'Debt Tracker'!$P$15&gt;0.01,INDEX('Debt Tracker'!$T$5:$AE$29,11,AC315-1)&gt;0.01))*('Recurring Items'!$H$18&lt;&gt;"Skip")*(DAY(AB315)='Recurring Items'!$F$18)*IFERROR(N('Recurring Items'!$D$18),0)+(IF(AC315=1,'Debt Tracker'!$P$16&gt;0.01,INDEX('Debt Tracker'!$T$5:$AE$29,12,AC315-1)&gt;0.01))*('Recurring Items'!$H$19&lt;&gt;"Skip")*(DAY(AB315)='Recurring Items'!$F$19)*IFERROR(N('Recurring Items'!$D$19),0)+(IF(AC315=1,'Debt Tracker'!$P$17&gt;0.01,INDEX('Debt Tracker'!$T$5:$AE$29,13,AC315-1)&gt;0.01))*('Recurring Items'!$H$20&lt;&gt;"Skip")*(DAY(AB315)='Recurring Items'!$F$20)*IFERROR(N('Recurring Items'!$D$20),0)+(IF(AC315=1,'Debt Tracker'!$P$18&gt;0.01,INDEX('Debt Tracker'!$T$5:$AE$29,14,AC315-1)&gt;0.01))*('Recurring Items'!$H$21&lt;&gt;"Skip")*(DAY(AB315)='Recurring Items'!$F$21)*IFERROR(N('Recurring Items'!$D$21),0)+(IF(AC315=1,'Debt Tracker'!$P$19&gt;0.01,INDEX('Debt Tracker'!$T$5:$AE$29,15,AC315-1)&gt;0.01))*('Recurring Items'!$H$22&lt;&gt;"Skip")*(DAY(AB315)='Recurring Items'!$F$22)*IFERROR(N('Recurring Items'!$D$22),0)+(IF(AC315=1,'Debt Tracker'!$P$20&gt;0.01,INDEX('Debt Tracker'!$T$5:$AE$29,16,AC315-1)&gt;0.01))*('Recurring Items'!$H$23&lt;&gt;"Skip")*(DAY(AB315)='Recurring Items'!$F$23)*IFERROR(N('Recurring Items'!$D$23),0)+(IF(AC315=1,'Debt Tracker'!$P$21&gt;0.01,INDEX('Debt Tracker'!$T$5:$AE$29,17,AC315-1)&gt;0.01))*('Recurring Items'!$H$24&lt;&gt;"Skip")*(DAY(AB315)='Recurring Items'!$F$24)*IFERROR(N('Recurring Items'!$D$24),0)+(IF(AC315=1,'Debt Tracker'!$P$22&gt;0.01,INDEX('Debt Tracker'!$T$5:$AE$29,18,AC315-1)&gt;0.01))*('Recurring Items'!$H$25&lt;&gt;"Skip")*(DAY(AB315)='Recurring Items'!$F$25)*IFERROR(N('Recurring Items'!$D$25),0)+(IF(AC315=1,'Debt Tracker'!$P$23&gt;0.01,INDEX('Debt Tracker'!$T$5:$AE$29,19,AC315-1)&gt;0.01))*('Recurring Items'!$H$26&lt;&gt;"Skip")*(DAY(AB315)='Recurring Items'!$F$26)*IFERROR(N('Recurring Items'!$D$26),0)+(IF(AC315=1,'Debt Tracker'!$P$24&gt;0.01,INDEX('Debt Tracker'!$T$5:$AE$29,20,AC315-1)&gt;0.01))*('Recurring Items'!$H$27&lt;&gt;"Skip")*(DAY(AB315)='Recurring Items'!$F$27)*IFERROR(N('Recurring Items'!$D$27),0)+(IF(AC315=1,'Debt Tracker'!$P$25&gt;0.01,INDEX('Debt Tracker'!$T$5:$AE$29,21,AC315-1)&gt;0.01))*('Recurring Items'!$H$28&lt;&gt;"Skip")*(DAY(AB315)='Recurring Items'!$F$28)*IFERROR(N('Recurring Items'!$D$28),0)+(IF(AC315=1,'Debt Tracker'!$P$26&gt;0.01,INDEX('Debt Tracker'!$T$5:$AE$29,22,AC315-1)&gt;0.01))*('Recurring Items'!$H$29&lt;&gt;"Skip")*(DAY(AB315)='Recurring Items'!$F$29)*IFERROR(N('Recurring Items'!$D$29),0)+(IF(AC315=1,'Debt Tracker'!$P$27&gt;0.01,INDEX('Debt Tracker'!$T$5:$AE$29,23,AC315-1)&gt;0.01))*('Recurring Items'!$H$30&lt;&gt;"Skip")*(DAY(AB315)='Recurring Items'!$F$30)*IFERROR(N('Recurring Items'!$D$30),0)+(IF(AC315=1,'Debt Tracker'!$P$28&gt;0.01,INDEX('Debt Tracker'!$T$5:$AE$29,24,AC315-1)&gt;0.01))*('Recurring Items'!$H$31&lt;&gt;"Skip")*(DAY(AB315)='Recurring Items'!$F$31)*IFERROR(N('Recurring Items'!$D$31),0)+(IF(AC315=1,'Debt Tracker'!$P$29&gt;0.01,INDEX('Debt Tracker'!$T$5:$AE$29,25,AC315-1)&gt;0.01))*('Recurring Items'!$H$32&lt;&gt;"Skip")*(DAY(AB315)='Recurring Items'!$F$32)*IFERROR(N('Recurring Items'!$D$32),0)</f>
        <v>0</v>
      </c>
      <c r="AG315" s="1" t="n">
        <f aca="false">AD315-AE315-AF315</f>
        <v>-101.02</v>
      </c>
      <c r="AH315" s="1" t="n">
        <f aca="false">AH314+AG315</f>
        <v>8433.73</v>
      </c>
    </row>
    <row r="316" customFormat="false" ht="15" hidden="false" customHeight="true" outlineLevel="0" collapsed="false">
      <c r="AA316" s="1" t="n">
        <v>116</v>
      </c>
      <c r="AB316" s="145" t="n">
        <f aca="false">$D$3+116</f>
        <v>46259</v>
      </c>
      <c r="AC316" s="1" t="n">
        <f aca="false">MIN(12,1+DATEDIF($D$3,AB316,"M"))</f>
        <v>4</v>
      </c>
      <c r="AD316" s="1" t="n">
        <f aca="false">SUMPRODUCT(('Recurring Items'!$C$6:$C$56="Income")*('Recurring Items'!$H$6:$H$56&lt;&gt;"Skip")*IFERROR(N('Recurring Items'!$D$6:$D$56),0)*(('Recurring Items'!$E$6:$E$56="Monthly")*(DAY(AB316)='Recurring Items'!$F$6:$F$56)+('Recurring Items'!$E$6:$E$56="Bi-weekly")*(WEEKDAY(AB316)=IFERROR(WEEKDAY('Recurring Items'!$G$6:$G$56),0))*(MOD(AB316-IFERROR('Recurring Items'!$G$6:$G$56,0),14)=0)*(AB316&gt;=IFERROR('Recurring Items'!$G$6:$G$56,9000000000))+('Recurring Items'!$E$6:$E$56="Weekly")*(WEEKDAY(AB316)=IFERROR(WEEKDAY('Recurring Items'!$G$6:$G$56),0))*(AB316&gt;=IFERROR('Recurring Items'!$G$6:$G$56,9000000000))+('Recurring Items'!$E$6:$E$56="One-time")*(AB316='Recurring Items'!$G$6:$G$56)))</f>
        <v>0</v>
      </c>
      <c r="AE316" s="1" t="n">
        <f aca="false">SUMPRODUCT(('Recurring Items'!$C$6:$C$56="Expense")*('Recurring Items'!$H$6:$H$56&lt;&gt;"Skip")*IFERROR(N('Recurring Items'!$D$6:$D$56),0)*(('Recurring Items'!$E$6:$E$56="Monthly")*(DAY(AB316)='Recurring Items'!$F$6:$F$56)+('Recurring Items'!$E$6:$E$56="Bi-weekly")*(WEEKDAY(AB316)=IFERROR(WEEKDAY('Recurring Items'!$G$6:$G$56),0))*(MOD(AB316-IFERROR('Recurring Items'!$G$6:$G$56,0),14)=0)*(AB316&gt;=IFERROR('Recurring Items'!$G$6:$G$56,9000000000))+('Recurring Items'!$E$6:$E$56="Weekly")*(WEEKDAY(AB316)=IFERROR(WEEKDAY('Recurring Items'!$G$6:$G$56),0))*(AB316&gt;=IFERROR('Recurring Items'!$G$6:$G$56,9000000000))+('Recurring Items'!$E$6:$E$56="One-time")*(AB316='Recurring Items'!$G$6:$G$56)))</f>
        <v>0</v>
      </c>
      <c r="AF316" s="1" t="n">
        <f aca="false">(IF(AC316=1,'Debt Tracker'!$P$5&gt;0.01,INDEX('Debt Tracker'!$T$5:$AE$29,1,AC316-1)&gt;0.01))*('Recurring Items'!$H$8&lt;&gt;"Skip")*(DAY(AB316)='Recurring Items'!$F$8)*IFERROR(N('Recurring Items'!$D$8),0)+(IF(AC316=1,'Debt Tracker'!$P$6&gt;0.01,INDEX('Debt Tracker'!$T$5:$AE$29,2,AC316-1)&gt;0.01))*('Recurring Items'!$H$9&lt;&gt;"Skip")*(DAY(AB316)='Recurring Items'!$F$9)*IFERROR(N('Recurring Items'!$D$9),0)+(IF(AC316=1,'Debt Tracker'!$P$7&gt;0.01,INDEX('Debt Tracker'!$T$5:$AE$29,3,AC316-1)&gt;0.01))*('Recurring Items'!$H$10&lt;&gt;"Skip")*(DAY(AB316)='Recurring Items'!$F$10)*IFERROR(N('Recurring Items'!$D$10),0)+(IF(AC316=1,'Debt Tracker'!$P$8&gt;0.01,INDEX('Debt Tracker'!$T$5:$AE$29,4,AC316-1)&gt;0.01))*('Recurring Items'!$H$11&lt;&gt;"Skip")*(DAY(AB316)='Recurring Items'!$F$11)*IFERROR(N('Recurring Items'!$D$11),0)+(IF(AC316=1,'Debt Tracker'!$P$9&gt;0.01,INDEX('Debt Tracker'!$T$5:$AE$29,5,AC316-1)&gt;0.01))*('Recurring Items'!$H$12&lt;&gt;"Skip")*(DAY(AB316)='Recurring Items'!$F$12)*IFERROR(N('Recurring Items'!$D$12),0)+(IF(AC316=1,'Debt Tracker'!$P$10&gt;0.01,INDEX('Debt Tracker'!$T$5:$AE$29,6,AC316-1)&gt;0.01))*('Recurring Items'!$H$13&lt;&gt;"Skip")*(DAY(AB316)='Recurring Items'!$F$13)*IFERROR(N('Recurring Items'!$D$13),0)+(IF(AC316=1,'Debt Tracker'!$P$11&gt;0.01,INDEX('Debt Tracker'!$T$5:$AE$29,7,AC316-1)&gt;0.01))*('Recurring Items'!$H$14&lt;&gt;"Skip")*(DAY(AB316)='Recurring Items'!$F$14)*IFERROR(N('Recurring Items'!$D$14),0)+(IF(AC316=1,'Debt Tracker'!$P$12&gt;0.01,INDEX('Debt Tracker'!$T$5:$AE$29,8,AC316-1)&gt;0.01))*('Recurring Items'!$H$15&lt;&gt;"Skip")*(DAY(AB316)='Recurring Items'!$F$15)*IFERROR(N('Recurring Items'!$D$15),0)+(IF(AC316=1,'Debt Tracker'!$P$13&gt;0.01,INDEX('Debt Tracker'!$T$5:$AE$29,9,AC316-1)&gt;0.01))*('Recurring Items'!$H$16&lt;&gt;"Skip")*(DAY(AB316)='Recurring Items'!$F$16)*IFERROR(N('Recurring Items'!$D$16),0)+(IF(AC316=1,'Debt Tracker'!$P$14&gt;0.01,INDEX('Debt Tracker'!$T$5:$AE$29,10,AC316-1)&gt;0.01))*('Recurring Items'!$H$17&lt;&gt;"Skip")*(DAY(AB316)='Recurring Items'!$F$17)*IFERROR(N('Recurring Items'!$D$17),0)+(IF(AC316=1,'Debt Tracker'!$P$15&gt;0.01,INDEX('Debt Tracker'!$T$5:$AE$29,11,AC316-1)&gt;0.01))*('Recurring Items'!$H$18&lt;&gt;"Skip")*(DAY(AB316)='Recurring Items'!$F$18)*IFERROR(N('Recurring Items'!$D$18),0)+(IF(AC316=1,'Debt Tracker'!$P$16&gt;0.01,INDEX('Debt Tracker'!$T$5:$AE$29,12,AC316-1)&gt;0.01))*('Recurring Items'!$H$19&lt;&gt;"Skip")*(DAY(AB316)='Recurring Items'!$F$19)*IFERROR(N('Recurring Items'!$D$19),0)+(IF(AC316=1,'Debt Tracker'!$P$17&gt;0.01,INDEX('Debt Tracker'!$T$5:$AE$29,13,AC316-1)&gt;0.01))*('Recurring Items'!$H$20&lt;&gt;"Skip")*(DAY(AB316)='Recurring Items'!$F$20)*IFERROR(N('Recurring Items'!$D$20),0)+(IF(AC316=1,'Debt Tracker'!$P$18&gt;0.01,INDEX('Debt Tracker'!$T$5:$AE$29,14,AC316-1)&gt;0.01))*('Recurring Items'!$H$21&lt;&gt;"Skip")*(DAY(AB316)='Recurring Items'!$F$21)*IFERROR(N('Recurring Items'!$D$21),0)+(IF(AC316=1,'Debt Tracker'!$P$19&gt;0.01,INDEX('Debt Tracker'!$T$5:$AE$29,15,AC316-1)&gt;0.01))*('Recurring Items'!$H$22&lt;&gt;"Skip")*(DAY(AB316)='Recurring Items'!$F$22)*IFERROR(N('Recurring Items'!$D$22),0)+(IF(AC316=1,'Debt Tracker'!$P$20&gt;0.01,INDEX('Debt Tracker'!$T$5:$AE$29,16,AC316-1)&gt;0.01))*('Recurring Items'!$H$23&lt;&gt;"Skip")*(DAY(AB316)='Recurring Items'!$F$23)*IFERROR(N('Recurring Items'!$D$23),0)+(IF(AC316=1,'Debt Tracker'!$P$21&gt;0.01,INDEX('Debt Tracker'!$T$5:$AE$29,17,AC316-1)&gt;0.01))*('Recurring Items'!$H$24&lt;&gt;"Skip")*(DAY(AB316)='Recurring Items'!$F$24)*IFERROR(N('Recurring Items'!$D$24),0)+(IF(AC316=1,'Debt Tracker'!$P$22&gt;0.01,INDEX('Debt Tracker'!$T$5:$AE$29,18,AC316-1)&gt;0.01))*('Recurring Items'!$H$25&lt;&gt;"Skip")*(DAY(AB316)='Recurring Items'!$F$25)*IFERROR(N('Recurring Items'!$D$25),0)+(IF(AC316=1,'Debt Tracker'!$P$23&gt;0.01,INDEX('Debt Tracker'!$T$5:$AE$29,19,AC316-1)&gt;0.01))*('Recurring Items'!$H$26&lt;&gt;"Skip")*(DAY(AB316)='Recurring Items'!$F$26)*IFERROR(N('Recurring Items'!$D$26),0)+(IF(AC316=1,'Debt Tracker'!$P$24&gt;0.01,INDEX('Debt Tracker'!$T$5:$AE$29,20,AC316-1)&gt;0.01))*('Recurring Items'!$H$27&lt;&gt;"Skip")*(DAY(AB316)='Recurring Items'!$F$27)*IFERROR(N('Recurring Items'!$D$27),0)+(IF(AC316=1,'Debt Tracker'!$P$25&gt;0.01,INDEX('Debt Tracker'!$T$5:$AE$29,21,AC316-1)&gt;0.01))*('Recurring Items'!$H$28&lt;&gt;"Skip")*(DAY(AB316)='Recurring Items'!$F$28)*IFERROR(N('Recurring Items'!$D$28),0)+(IF(AC316=1,'Debt Tracker'!$P$26&gt;0.01,INDEX('Debt Tracker'!$T$5:$AE$29,22,AC316-1)&gt;0.01))*('Recurring Items'!$H$29&lt;&gt;"Skip")*(DAY(AB316)='Recurring Items'!$F$29)*IFERROR(N('Recurring Items'!$D$29),0)+(IF(AC316=1,'Debt Tracker'!$P$27&gt;0.01,INDEX('Debt Tracker'!$T$5:$AE$29,23,AC316-1)&gt;0.01))*('Recurring Items'!$H$30&lt;&gt;"Skip")*(DAY(AB316)='Recurring Items'!$F$30)*IFERROR(N('Recurring Items'!$D$30),0)+(IF(AC316=1,'Debt Tracker'!$P$28&gt;0.01,INDEX('Debt Tracker'!$T$5:$AE$29,24,AC316-1)&gt;0.01))*('Recurring Items'!$H$31&lt;&gt;"Skip")*(DAY(AB316)='Recurring Items'!$F$31)*IFERROR(N('Recurring Items'!$D$31),0)+(IF(AC316=1,'Debt Tracker'!$P$29&gt;0.01,INDEX('Debt Tracker'!$T$5:$AE$29,25,AC316-1)&gt;0.01))*('Recurring Items'!$H$32&lt;&gt;"Skip")*(DAY(AB316)='Recurring Items'!$F$32)*IFERROR(N('Recurring Items'!$D$32),0)</f>
        <v>0</v>
      </c>
      <c r="AG316" s="1" t="n">
        <f aca="false">AD316-AE316-AF316</f>
        <v>0</v>
      </c>
      <c r="AH316" s="1" t="n">
        <f aca="false">AH315+AG316</f>
        <v>8433.73</v>
      </c>
    </row>
    <row r="317" customFormat="false" ht="15" hidden="false" customHeight="true" outlineLevel="0" collapsed="false">
      <c r="AA317" s="1" t="n">
        <v>117</v>
      </c>
      <c r="AB317" s="145" t="n">
        <f aca="false">$D$3+117</f>
        <v>46260</v>
      </c>
      <c r="AC317" s="1" t="n">
        <f aca="false">MIN(12,1+DATEDIF($D$3,AB317,"M"))</f>
        <v>4</v>
      </c>
      <c r="AD317" s="1" t="n">
        <f aca="false">SUMPRODUCT(('Recurring Items'!$C$6:$C$56="Income")*('Recurring Items'!$H$6:$H$56&lt;&gt;"Skip")*IFERROR(N('Recurring Items'!$D$6:$D$56),0)*(('Recurring Items'!$E$6:$E$56="Monthly")*(DAY(AB317)='Recurring Items'!$F$6:$F$56)+('Recurring Items'!$E$6:$E$56="Bi-weekly")*(WEEKDAY(AB317)=IFERROR(WEEKDAY('Recurring Items'!$G$6:$G$56),0))*(MOD(AB317-IFERROR('Recurring Items'!$G$6:$G$56,0),14)=0)*(AB317&gt;=IFERROR('Recurring Items'!$G$6:$G$56,9000000000))+('Recurring Items'!$E$6:$E$56="Weekly")*(WEEKDAY(AB317)=IFERROR(WEEKDAY('Recurring Items'!$G$6:$G$56),0))*(AB317&gt;=IFERROR('Recurring Items'!$G$6:$G$56,9000000000))+('Recurring Items'!$E$6:$E$56="One-time")*(AB317='Recurring Items'!$G$6:$G$56)))</f>
        <v>0</v>
      </c>
      <c r="AE317" s="1" t="n">
        <f aca="false">SUMPRODUCT(('Recurring Items'!$C$6:$C$56="Expense")*('Recurring Items'!$H$6:$H$56&lt;&gt;"Skip")*IFERROR(N('Recurring Items'!$D$6:$D$56),0)*(('Recurring Items'!$E$6:$E$56="Monthly")*(DAY(AB317)='Recurring Items'!$F$6:$F$56)+('Recurring Items'!$E$6:$E$56="Bi-weekly")*(WEEKDAY(AB317)=IFERROR(WEEKDAY('Recurring Items'!$G$6:$G$56),0))*(MOD(AB317-IFERROR('Recurring Items'!$G$6:$G$56,0),14)=0)*(AB317&gt;=IFERROR('Recurring Items'!$G$6:$G$56,9000000000))+('Recurring Items'!$E$6:$E$56="Weekly")*(WEEKDAY(AB317)=IFERROR(WEEKDAY('Recurring Items'!$G$6:$G$56),0))*(AB317&gt;=IFERROR('Recurring Items'!$G$6:$G$56,9000000000))+('Recurring Items'!$E$6:$E$56="One-time")*(AB317='Recurring Items'!$G$6:$G$56)))</f>
        <v>0</v>
      </c>
      <c r="AF317" s="1" t="n">
        <f aca="false">(IF(AC317=1,'Debt Tracker'!$P$5&gt;0.01,INDEX('Debt Tracker'!$T$5:$AE$29,1,AC317-1)&gt;0.01))*('Recurring Items'!$H$8&lt;&gt;"Skip")*(DAY(AB317)='Recurring Items'!$F$8)*IFERROR(N('Recurring Items'!$D$8),0)+(IF(AC317=1,'Debt Tracker'!$P$6&gt;0.01,INDEX('Debt Tracker'!$T$5:$AE$29,2,AC317-1)&gt;0.01))*('Recurring Items'!$H$9&lt;&gt;"Skip")*(DAY(AB317)='Recurring Items'!$F$9)*IFERROR(N('Recurring Items'!$D$9),0)+(IF(AC317=1,'Debt Tracker'!$P$7&gt;0.01,INDEX('Debt Tracker'!$T$5:$AE$29,3,AC317-1)&gt;0.01))*('Recurring Items'!$H$10&lt;&gt;"Skip")*(DAY(AB317)='Recurring Items'!$F$10)*IFERROR(N('Recurring Items'!$D$10),0)+(IF(AC317=1,'Debt Tracker'!$P$8&gt;0.01,INDEX('Debt Tracker'!$T$5:$AE$29,4,AC317-1)&gt;0.01))*('Recurring Items'!$H$11&lt;&gt;"Skip")*(DAY(AB317)='Recurring Items'!$F$11)*IFERROR(N('Recurring Items'!$D$11),0)+(IF(AC317=1,'Debt Tracker'!$P$9&gt;0.01,INDEX('Debt Tracker'!$T$5:$AE$29,5,AC317-1)&gt;0.01))*('Recurring Items'!$H$12&lt;&gt;"Skip")*(DAY(AB317)='Recurring Items'!$F$12)*IFERROR(N('Recurring Items'!$D$12),0)+(IF(AC317=1,'Debt Tracker'!$P$10&gt;0.01,INDEX('Debt Tracker'!$T$5:$AE$29,6,AC317-1)&gt;0.01))*('Recurring Items'!$H$13&lt;&gt;"Skip")*(DAY(AB317)='Recurring Items'!$F$13)*IFERROR(N('Recurring Items'!$D$13),0)+(IF(AC317=1,'Debt Tracker'!$P$11&gt;0.01,INDEX('Debt Tracker'!$T$5:$AE$29,7,AC317-1)&gt;0.01))*('Recurring Items'!$H$14&lt;&gt;"Skip")*(DAY(AB317)='Recurring Items'!$F$14)*IFERROR(N('Recurring Items'!$D$14),0)+(IF(AC317=1,'Debt Tracker'!$P$12&gt;0.01,INDEX('Debt Tracker'!$T$5:$AE$29,8,AC317-1)&gt;0.01))*('Recurring Items'!$H$15&lt;&gt;"Skip")*(DAY(AB317)='Recurring Items'!$F$15)*IFERROR(N('Recurring Items'!$D$15),0)+(IF(AC317=1,'Debt Tracker'!$P$13&gt;0.01,INDEX('Debt Tracker'!$T$5:$AE$29,9,AC317-1)&gt;0.01))*('Recurring Items'!$H$16&lt;&gt;"Skip")*(DAY(AB317)='Recurring Items'!$F$16)*IFERROR(N('Recurring Items'!$D$16),0)+(IF(AC317=1,'Debt Tracker'!$P$14&gt;0.01,INDEX('Debt Tracker'!$T$5:$AE$29,10,AC317-1)&gt;0.01))*('Recurring Items'!$H$17&lt;&gt;"Skip")*(DAY(AB317)='Recurring Items'!$F$17)*IFERROR(N('Recurring Items'!$D$17),0)+(IF(AC317=1,'Debt Tracker'!$P$15&gt;0.01,INDEX('Debt Tracker'!$T$5:$AE$29,11,AC317-1)&gt;0.01))*('Recurring Items'!$H$18&lt;&gt;"Skip")*(DAY(AB317)='Recurring Items'!$F$18)*IFERROR(N('Recurring Items'!$D$18),0)+(IF(AC317=1,'Debt Tracker'!$P$16&gt;0.01,INDEX('Debt Tracker'!$T$5:$AE$29,12,AC317-1)&gt;0.01))*('Recurring Items'!$H$19&lt;&gt;"Skip")*(DAY(AB317)='Recurring Items'!$F$19)*IFERROR(N('Recurring Items'!$D$19),0)+(IF(AC317=1,'Debt Tracker'!$P$17&gt;0.01,INDEX('Debt Tracker'!$T$5:$AE$29,13,AC317-1)&gt;0.01))*('Recurring Items'!$H$20&lt;&gt;"Skip")*(DAY(AB317)='Recurring Items'!$F$20)*IFERROR(N('Recurring Items'!$D$20),0)+(IF(AC317=1,'Debt Tracker'!$P$18&gt;0.01,INDEX('Debt Tracker'!$T$5:$AE$29,14,AC317-1)&gt;0.01))*('Recurring Items'!$H$21&lt;&gt;"Skip")*(DAY(AB317)='Recurring Items'!$F$21)*IFERROR(N('Recurring Items'!$D$21),0)+(IF(AC317=1,'Debt Tracker'!$P$19&gt;0.01,INDEX('Debt Tracker'!$T$5:$AE$29,15,AC317-1)&gt;0.01))*('Recurring Items'!$H$22&lt;&gt;"Skip")*(DAY(AB317)='Recurring Items'!$F$22)*IFERROR(N('Recurring Items'!$D$22),0)+(IF(AC317=1,'Debt Tracker'!$P$20&gt;0.01,INDEX('Debt Tracker'!$T$5:$AE$29,16,AC317-1)&gt;0.01))*('Recurring Items'!$H$23&lt;&gt;"Skip")*(DAY(AB317)='Recurring Items'!$F$23)*IFERROR(N('Recurring Items'!$D$23),0)+(IF(AC317=1,'Debt Tracker'!$P$21&gt;0.01,INDEX('Debt Tracker'!$T$5:$AE$29,17,AC317-1)&gt;0.01))*('Recurring Items'!$H$24&lt;&gt;"Skip")*(DAY(AB317)='Recurring Items'!$F$24)*IFERROR(N('Recurring Items'!$D$24),0)+(IF(AC317=1,'Debt Tracker'!$P$22&gt;0.01,INDEX('Debt Tracker'!$T$5:$AE$29,18,AC317-1)&gt;0.01))*('Recurring Items'!$H$25&lt;&gt;"Skip")*(DAY(AB317)='Recurring Items'!$F$25)*IFERROR(N('Recurring Items'!$D$25),0)+(IF(AC317=1,'Debt Tracker'!$P$23&gt;0.01,INDEX('Debt Tracker'!$T$5:$AE$29,19,AC317-1)&gt;0.01))*('Recurring Items'!$H$26&lt;&gt;"Skip")*(DAY(AB317)='Recurring Items'!$F$26)*IFERROR(N('Recurring Items'!$D$26),0)+(IF(AC317=1,'Debt Tracker'!$P$24&gt;0.01,INDEX('Debt Tracker'!$T$5:$AE$29,20,AC317-1)&gt;0.01))*('Recurring Items'!$H$27&lt;&gt;"Skip")*(DAY(AB317)='Recurring Items'!$F$27)*IFERROR(N('Recurring Items'!$D$27),0)+(IF(AC317=1,'Debt Tracker'!$P$25&gt;0.01,INDEX('Debt Tracker'!$T$5:$AE$29,21,AC317-1)&gt;0.01))*('Recurring Items'!$H$28&lt;&gt;"Skip")*(DAY(AB317)='Recurring Items'!$F$28)*IFERROR(N('Recurring Items'!$D$28),0)+(IF(AC317=1,'Debt Tracker'!$P$26&gt;0.01,INDEX('Debt Tracker'!$T$5:$AE$29,22,AC317-1)&gt;0.01))*('Recurring Items'!$H$29&lt;&gt;"Skip")*(DAY(AB317)='Recurring Items'!$F$29)*IFERROR(N('Recurring Items'!$D$29),0)+(IF(AC317=1,'Debt Tracker'!$P$27&gt;0.01,INDEX('Debt Tracker'!$T$5:$AE$29,23,AC317-1)&gt;0.01))*('Recurring Items'!$H$30&lt;&gt;"Skip")*(DAY(AB317)='Recurring Items'!$F$30)*IFERROR(N('Recurring Items'!$D$30),0)+(IF(AC317=1,'Debt Tracker'!$P$28&gt;0.01,INDEX('Debt Tracker'!$T$5:$AE$29,24,AC317-1)&gt;0.01))*('Recurring Items'!$H$31&lt;&gt;"Skip")*(DAY(AB317)='Recurring Items'!$F$31)*IFERROR(N('Recurring Items'!$D$31),0)+(IF(AC317=1,'Debt Tracker'!$P$29&gt;0.01,INDEX('Debt Tracker'!$T$5:$AE$29,25,AC317-1)&gt;0.01))*('Recurring Items'!$H$32&lt;&gt;"Skip")*(DAY(AB317)='Recurring Items'!$F$32)*IFERROR(N('Recurring Items'!$D$32),0)</f>
        <v>0</v>
      </c>
      <c r="AG317" s="1" t="n">
        <f aca="false">AD317-AE317-AF317</f>
        <v>0</v>
      </c>
      <c r="AH317" s="1" t="n">
        <f aca="false">AH316+AG317</f>
        <v>8433.73</v>
      </c>
    </row>
    <row r="318" customFormat="false" ht="15" hidden="false" customHeight="true" outlineLevel="0" collapsed="false">
      <c r="AA318" s="1" t="n">
        <v>118</v>
      </c>
      <c r="AB318" s="145" t="n">
        <f aca="false">$D$3+118</f>
        <v>46261</v>
      </c>
      <c r="AC318" s="1" t="n">
        <f aca="false">MIN(12,1+DATEDIF($D$3,AB318,"M"))</f>
        <v>4</v>
      </c>
      <c r="AD318" s="1" t="n">
        <f aca="false">SUMPRODUCT(('Recurring Items'!$C$6:$C$56="Income")*('Recurring Items'!$H$6:$H$56&lt;&gt;"Skip")*IFERROR(N('Recurring Items'!$D$6:$D$56),0)*(('Recurring Items'!$E$6:$E$56="Monthly")*(DAY(AB318)='Recurring Items'!$F$6:$F$56)+('Recurring Items'!$E$6:$E$56="Bi-weekly")*(WEEKDAY(AB318)=IFERROR(WEEKDAY('Recurring Items'!$G$6:$G$56),0))*(MOD(AB318-IFERROR('Recurring Items'!$G$6:$G$56,0),14)=0)*(AB318&gt;=IFERROR('Recurring Items'!$G$6:$G$56,9000000000))+('Recurring Items'!$E$6:$E$56="Weekly")*(WEEKDAY(AB318)=IFERROR(WEEKDAY('Recurring Items'!$G$6:$G$56),0))*(AB318&gt;=IFERROR('Recurring Items'!$G$6:$G$56,9000000000))+('Recurring Items'!$E$6:$E$56="One-time")*(AB318='Recurring Items'!$G$6:$G$56)))</f>
        <v>2274.42</v>
      </c>
      <c r="AE318" s="1" t="n">
        <f aca="false">SUMPRODUCT(('Recurring Items'!$C$6:$C$56="Expense")*('Recurring Items'!$H$6:$H$56&lt;&gt;"Skip")*IFERROR(N('Recurring Items'!$D$6:$D$56),0)*(('Recurring Items'!$E$6:$E$56="Monthly")*(DAY(AB318)='Recurring Items'!$F$6:$F$56)+('Recurring Items'!$E$6:$E$56="Bi-weekly")*(WEEKDAY(AB318)=IFERROR(WEEKDAY('Recurring Items'!$G$6:$G$56),0))*(MOD(AB318-IFERROR('Recurring Items'!$G$6:$G$56,0),14)=0)*(AB318&gt;=IFERROR('Recurring Items'!$G$6:$G$56,9000000000))+('Recurring Items'!$E$6:$E$56="Weekly")*(WEEKDAY(AB318)=IFERROR(WEEKDAY('Recurring Items'!$G$6:$G$56),0))*(AB318&gt;=IFERROR('Recurring Items'!$G$6:$G$56,9000000000))+('Recurring Items'!$E$6:$E$56="One-time")*(AB318='Recurring Items'!$G$6:$G$56)))</f>
        <v>0</v>
      </c>
      <c r="AF318" s="1" t="n">
        <f aca="false">(IF(AC318=1,'Debt Tracker'!$P$5&gt;0.01,INDEX('Debt Tracker'!$T$5:$AE$29,1,AC318-1)&gt;0.01))*('Recurring Items'!$H$8&lt;&gt;"Skip")*(DAY(AB318)='Recurring Items'!$F$8)*IFERROR(N('Recurring Items'!$D$8),0)+(IF(AC318=1,'Debt Tracker'!$P$6&gt;0.01,INDEX('Debt Tracker'!$T$5:$AE$29,2,AC318-1)&gt;0.01))*('Recurring Items'!$H$9&lt;&gt;"Skip")*(DAY(AB318)='Recurring Items'!$F$9)*IFERROR(N('Recurring Items'!$D$9),0)+(IF(AC318=1,'Debt Tracker'!$P$7&gt;0.01,INDEX('Debt Tracker'!$T$5:$AE$29,3,AC318-1)&gt;0.01))*('Recurring Items'!$H$10&lt;&gt;"Skip")*(DAY(AB318)='Recurring Items'!$F$10)*IFERROR(N('Recurring Items'!$D$10),0)+(IF(AC318=1,'Debt Tracker'!$P$8&gt;0.01,INDEX('Debt Tracker'!$T$5:$AE$29,4,AC318-1)&gt;0.01))*('Recurring Items'!$H$11&lt;&gt;"Skip")*(DAY(AB318)='Recurring Items'!$F$11)*IFERROR(N('Recurring Items'!$D$11),0)+(IF(AC318=1,'Debt Tracker'!$P$9&gt;0.01,INDEX('Debt Tracker'!$T$5:$AE$29,5,AC318-1)&gt;0.01))*('Recurring Items'!$H$12&lt;&gt;"Skip")*(DAY(AB318)='Recurring Items'!$F$12)*IFERROR(N('Recurring Items'!$D$12),0)+(IF(AC318=1,'Debt Tracker'!$P$10&gt;0.01,INDEX('Debt Tracker'!$T$5:$AE$29,6,AC318-1)&gt;0.01))*('Recurring Items'!$H$13&lt;&gt;"Skip")*(DAY(AB318)='Recurring Items'!$F$13)*IFERROR(N('Recurring Items'!$D$13),0)+(IF(AC318=1,'Debt Tracker'!$P$11&gt;0.01,INDEX('Debt Tracker'!$T$5:$AE$29,7,AC318-1)&gt;0.01))*('Recurring Items'!$H$14&lt;&gt;"Skip")*(DAY(AB318)='Recurring Items'!$F$14)*IFERROR(N('Recurring Items'!$D$14),0)+(IF(AC318=1,'Debt Tracker'!$P$12&gt;0.01,INDEX('Debt Tracker'!$T$5:$AE$29,8,AC318-1)&gt;0.01))*('Recurring Items'!$H$15&lt;&gt;"Skip")*(DAY(AB318)='Recurring Items'!$F$15)*IFERROR(N('Recurring Items'!$D$15),0)+(IF(AC318=1,'Debt Tracker'!$P$13&gt;0.01,INDEX('Debt Tracker'!$T$5:$AE$29,9,AC318-1)&gt;0.01))*('Recurring Items'!$H$16&lt;&gt;"Skip")*(DAY(AB318)='Recurring Items'!$F$16)*IFERROR(N('Recurring Items'!$D$16),0)+(IF(AC318=1,'Debt Tracker'!$P$14&gt;0.01,INDEX('Debt Tracker'!$T$5:$AE$29,10,AC318-1)&gt;0.01))*('Recurring Items'!$H$17&lt;&gt;"Skip")*(DAY(AB318)='Recurring Items'!$F$17)*IFERROR(N('Recurring Items'!$D$17),0)+(IF(AC318=1,'Debt Tracker'!$P$15&gt;0.01,INDEX('Debt Tracker'!$T$5:$AE$29,11,AC318-1)&gt;0.01))*('Recurring Items'!$H$18&lt;&gt;"Skip")*(DAY(AB318)='Recurring Items'!$F$18)*IFERROR(N('Recurring Items'!$D$18),0)+(IF(AC318=1,'Debt Tracker'!$P$16&gt;0.01,INDEX('Debt Tracker'!$T$5:$AE$29,12,AC318-1)&gt;0.01))*('Recurring Items'!$H$19&lt;&gt;"Skip")*(DAY(AB318)='Recurring Items'!$F$19)*IFERROR(N('Recurring Items'!$D$19),0)+(IF(AC318=1,'Debt Tracker'!$P$17&gt;0.01,INDEX('Debt Tracker'!$T$5:$AE$29,13,AC318-1)&gt;0.01))*('Recurring Items'!$H$20&lt;&gt;"Skip")*(DAY(AB318)='Recurring Items'!$F$20)*IFERROR(N('Recurring Items'!$D$20),0)+(IF(AC318=1,'Debt Tracker'!$P$18&gt;0.01,INDEX('Debt Tracker'!$T$5:$AE$29,14,AC318-1)&gt;0.01))*('Recurring Items'!$H$21&lt;&gt;"Skip")*(DAY(AB318)='Recurring Items'!$F$21)*IFERROR(N('Recurring Items'!$D$21),0)+(IF(AC318=1,'Debt Tracker'!$P$19&gt;0.01,INDEX('Debt Tracker'!$T$5:$AE$29,15,AC318-1)&gt;0.01))*('Recurring Items'!$H$22&lt;&gt;"Skip")*(DAY(AB318)='Recurring Items'!$F$22)*IFERROR(N('Recurring Items'!$D$22),0)+(IF(AC318=1,'Debt Tracker'!$P$20&gt;0.01,INDEX('Debt Tracker'!$T$5:$AE$29,16,AC318-1)&gt;0.01))*('Recurring Items'!$H$23&lt;&gt;"Skip")*(DAY(AB318)='Recurring Items'!$F$23)*IFERROR(N('Recurring Items'!$D$23),0)+(IF(AC318=1,'Debt Tracker'!$P$21&gt;0.01,INDEX('Debt Tracker'!$T$5:$AE$29,17,AC318-1)&gt;0.01))*('Recurring Items'!$H$24&lt;&gt;"Skip")*(DAY(AB318)='Recurring Items'!$F$24)*IFERROR(N('Recurring Items'!$D$24),0)+(IF(AC318=1,'Debt Tracker'!$P$22&gt;0.01,INDEX('Debt Tracker'!$T$5:$AE$29,18,AC318-1)&gt;0.01))*('Recurring Items'!$H$25&lt;&gt;"Skip")*(DAY(AB318)='Recurring Items'!$F$25)*IFERROR(N('Recurring Items'!$D$25),0)+(IF(AC318=1,'Debt Tracker'!$P$23&gt;0.01,INDEX('Debt Tracker'!$T$5:$AE$29,19,AC318-1)&gt;0.01))*('Recurring Items'!$H$26&lt;&gt;"Skip")*(DAY(AB318)='Recurring Items'!$F$26)*IFERROR(N('Recurring Items'!$D$26),0)+(IF(AC318=1,'Debt Tracker'!$P$24&gt;0.01,INDEX('Debt Tracker'!$T$5:$AE$29,20,AC318-1)&gt;0.01))*('Recurring Items'!$H$27&lt;&gt;"Skip")*(DAY(AB318)='Recurring Items'!$F$27)*IFERROR(N('Recurring Items'!$D$27),0)+(IF(AC318=1,'Debt Tracker'!$P$25&gt;0.01,INDEX('Debt Tracker'!$T$5:$AE$29,21,AC318-1)&gt;0.01))*('Recurring Items'!$H$28&lt;&gt;"Skip")*(DAY(AB318)='Recurring Items'!$F$28)*IFERROR(N('Recurring Items'!$D$28),0)+(IF(AC318=1,'Debt Tracker'!$P$26&gt;0.01,INDEX('Debt Tracker'!$T$5:$AE$29,22,AC318-1)&gt;0.01))*('Recurring Items'!$H$29&lt;&gt;"Skip")*(DAY(AB318)='Recurring Items'!$F$29)*IFERROR(N('Recurring Items'!$D$29),0)+(IF(AC318=1,'Debt Tracker'!$P$27&gt;0.01,INDEX('Debt Tracker'!$T$5:$AE$29,23,AC318-1)&gt;0.01))*('Recurring Items'!$H$30&lt;&gt;"Skip")*(DAY(AB318)='Recurring Items'!$F$30)*IFERROR(N('Recurring Items'!$D$30),0)+(IF(AC318=1,'Debt Tracker'!$P$28&gt;0.01,INDEX('Debt Tracker'!$T$5:$AE$29,24,AC318-1)&gt;0.01))*('Recurring Items'!$H$31&lt;&gt;"Skip")*(DAY(AB318)='Recurring Items'!$F$31)*IFERROR(N('Recurring Items'!$D$31),0)+(IF(AC318=1,'Debt Tracker'!$P$29&gt;0.01,INDEX('Debt Tracker'!$T$5:$AE$29,25,AC318-1)&gt;0.01))*('Recurring Items'!$H$32&lt;&gt;"Skip")*(DAY(AB318)='Recurring Items'!$F$32)*IFERROR(N('Recurring Items'!$D$32),0)</f>
        <v>0</v>
      </c>
      <c r="AG318" s="1" t="n">
        <f aca="false">AD318-AE318-AF318</f>
        <v>2274.42</v>
      </c>
      <c r="AH318" s="1" t="n">
        <f aca="false">AH317+AG318</f>
        <v>10708.15</v>
      </c>
    </row>
    <row r="319" customFormat="false" ht="15" hidden="false" customHeight="true" outlineLevel="0" collapsed="false">
      <c r="AA319" s="1" t="n">
        <v>119</v>
      </c>
      <c r="AB319" s="145" t="n">
        <f aca="false">$D$3+119</f>
        <v>46262</v>
      </c>
      <c r="AC319" s="1" t="n">
        <f aca="false">MIN(12,1+DATEDIF($D$3,AB319,"M"))</f>
        <v>4</v>
      </c>
      <c r="AD319" s="1" t="n">
        <f aca="false">SUMPRODUCT(('Recurring Items'!$C$6:$C$56="Income")*('Recurring Items'!$H$6:$H$56&lt;&gt;"Skip")*IFERROR(N('Recurring Items'!$D$6:$D$56),0)*(('Recurring Items'!$E$6:$E$56="Monthly")*(DAY(AB319)='Recurring Items'!$F$6:$F$56)+('Recurring Items'!$E$6:$E$56="Bi-weekly")*(WEEKDAY(AB319)=IFERROR(WEEKDAY('Recurring Items'!$G$6:$G$56),0))*(MOD(AB319-IFERROR('Recurring Items'!$G$6:$G$56,0),14)=0)*(AB319&gt;=IFERROR('Recurring Items'!$G$6:$G$56,9000000000))+('Recurring Items'!$E$6:$E$56="Weekly")*(WEEKDAY(AB319)=IFERROR(WEEKDAY('Recurring Items'!$G$6:$G$56),0))*(AB319&gt;=IFERROR('Recurring Items'!$G$6:$G$56,9000000000))+('Recurring Items'!$E$6:$E$56="One-time")*(AB319='Recurring Items'!$G$6:$G$56)))</f>
        <v>0</v>
      </c>
      <c r="AE319" s="1" t="n">
        <f aca="false">SUMPRODUCT(('Recurring Items'!$C$6:$C$56="Expense")*('Recurring Items'!$H$6:$H$56&lt;&gt;"Skip")*IFERROR(N('Recurring Items'!$D$6:$D$56),0)*(('Recurring Items'!$E$6:$E$56="Monthly")*(DAY(AB319)='Recurring Items'!$F$6:$F$56)+('Recurring Items'!$E$6:$E$56="Bi-weekly")*(WEEKDAY(AB319)=IFERROR(WEEKDAY('Recurring Items'!$G$6:$G$56),0))*(MOD(AB319-IFERROR('Recurring Items'!$G$6:$G$56,0),14)=0)*(AB319&gt;=IFERROR('Recurring Items'!$G$6:$G$56,9000000000))+('Recurring Items'!$E$6:$E$56="Weekly")*(WEEKDAY(AB319)=IFERROR(WEEKDAY('Recurring Items'!$G$6:$G$56),0))*(AB319&gt;=IFERROR('Recurring Items'!$G$6:$G$56,9000000000))+('Recurring Items'!$E$6:$E$56="One-time")*(AB319='Recurring Items'!$G$6:$G$56)))</f>
        <v>460</v>
      </c>
      <c r="AF319" s="1" t="n">
        <f aca="false">(IF(AC319=1,'Debt Tracker'!$P$5&gt;0.01,INDEX('Debt Tracker'!$T$5:$AE$29,1,AC319-1)&gt;0.01))*('Recurring Items'!$H$8&lt;&gt;"Skip")*(DAY(AB319)='Recurring Items'!$F$8)*IFERROR(N('Recurring Items'!$D$8),0)+(IF(AC319=1,'Debt Tracker'!$P$6&gt;0.01,INDEX('Debt Tracker'!$T$5:$AE$29,2,AC319-1)&gt;0.01))*('Recurring Items'!$H$9&lt;&gt;"Skip")*(DAY(AB319)='Recurring Items'!$F$9)*IFERROR(N('Recurring Items'!$D$9),0)+(IF(AC319=1,'Debt Tracker'!$P$7&gt;0.01,INDEX('Debt Tracker'!$T$5:$AE$29,3,AC319-1)&gt;0.01))*('Recurring Items'!$H$10&lt;&gt;"Skip")*(DAY(AB319)='Recurring Items'!$F$10)*IFERROR(N('Recurring Items'!$D$10),0)+(IF(AC319=1,'Debt Tracker'!$P$8&gt;0.01,INDEX('Debt Tracker'!$T$5:$AE$29,4,AC319-1)&gt;0.01))*('Recurring Items'!$H$11&lt;&gt;"Skip")*(DAY(AB319)='Recurring Items'!$F$11)*IFERROR(N('Recurring Items'!$D$11),0)+(IF(AC319=1,'Debt Tracker'!$P$9&gt;0.01,INDEX('Debt Tracker'!$T$5:$AE$29,5,AC319-1)&gt;0.01))*('Recurring Items'!$H$12&lt;&gt;"Skip")*(DAY(AB319)='Recurring Items'!$F$12)*IFERROR(N('Recurring Items'!$D$12),0)+(IF(AC319=1,'Debt Tracker'!$P$10&gt;0.01,INDEX('Debt Tracker'!$T$5:$AE$29,6,AC319-1)&gt;0.01))*('Recurring Items'!$H$13&lt;&gt;"Skip")*(DAY(AB319)='Recurring Items'!$F$13)*IFERROR(N('Recurring Items'!$D$13),0)+(IF(AC319=1,'Debt Tracker'!$P$11&gt;0.01,INDEX('Debt Tracker'!$T$5:$AE$29,7,AC319-1)&gt;0.01))*('Recurring Items'!$H$14&lt;&gt;"Skip")*(DAY(AB319)='Recurring Items'!$F$14)*IFERROR(N('Recurring Items'!$D$14),0)+(IF(AC319=1,'Debt Tracker'!$P$12&gt;0.01,INDEX('Debt Tracker'!$T$5:$AE$29,8,AC319-1)&gt;0.01))*('Recurring Items'!$H$15&lt;&gt;"Skip")*(DAY(AB319)='Recurring Items'!$F$15)*IFERROR(N('Recurring Items'!$D$15),0)+(IF(AC319=1,'Debt Tracker'!$P$13&gt;0.01,INDEX('Debt Tracker'!$T$5:$AE$29,9,AC319-1)&gt;0.01))*('Recurring Items'!$H$16&lt;&gt;"Skip")*(DAY(AB319)='Recurring Items'!$F$16)*IFERROR(N('Recurring Items'!$D$16),0)+(IF(AC319=1,'Debt Tracker'!$P$14&gt;0.01,INDEX('Debt Tracker'!$T$5:$AE$29,10,AC319-1)&gt;0.01))*('Recurring Items'!$H$17&lt;&gt;"Skip")*(DAY(AB319)='Recurring Items'!$F$17)*IFERROR(N('Recurring Items'!$D$17),0)+(IF(AC319=1,'Debt Tracker'!$P$15&gt;0.01,INDEX('Debt Tracker'!$T$5:$AE$29,11,AC319-1)&gt;0.01))*('Recurring Items'!$H$18&lt;&gt;"Skip")*(DAY(AB319)='Recurring Items'!$F$18)*IFERROR(N('Recurring Items'!$D$18),0)+(IF(AC319=1,'Debt Tracker'!$P$16&gt;0.01,INDEX('Debt Tracker'!$T$5:$AE$29,12,AC319-1)&gt;0.01))*('Recurring Items'!$H$19&lt;&gt;"Skip")*(DAY(AB319)='Recurring Items'!$F$19)*IFERROR(N('Recurring Items'!$D$19),0)+(IF(AC319=1,'Debt Tracker'!$P$17&gt;0.01,INDEX('Debt Tracker'!$T$5:$AE$29,13,AC319-1)&gt;0.01))*('Recurring Items'!$H$20&lt;&gt;"Skip")*(DAY(AB319)='Recurring Items'!$F$20)*IFERROR(N('Recurring Items'!$D$20),0)+(IF(AC319=1,'Debt Tracker'!$P$18&gt;0.01,INDEX('Debt Tracker'!$T$5:$AE$29,14,AC319-1)&gt;0.01))*('Recurring Items'!$H$21&lt;&gt;"Skip")*(DAY(AB319)='Recurring Items'!$F$21)*IFERROR(N('Recurring Items'!$D$21),0)+(IF(AC319=1,'Debt Tracker'!$P$19&gt;0.01,INDEX('Debt Tracker'!$T$5:$AE$29,15,AC319-1)&gt;0.01))*('Recurring Items'!$H$22&lt;&gt;"Skip")*(DAY(AB319)='Recurring Items'!$F$22)*IFERROR(N('Recurring Items'!$D$22),0)+(IF(AC319=1,'Debt Tracker'!$P$20&gt;0.01,INDEX('Debt Tracker'!$T$5:$AE$29,16,AC319-1)&gt;0.01))*('Recurring Items'!$H$23&lt;&gt;"Skip")*(DAY(AB319)='Recurring Items'!$F$23)*IFERROR(N('Recurring Items'!$D$23),0)+(IF(AC319=1,'Debt Tracker'!$P$21&gt;0.01,INDEX('Debt Tracker'!$T$5:$AE$29,17,AC319-1)&gt;0.01))*('Recurring Items'!$H$24&lt;&gt;"Skip")*(DAY(AB319)='Recurring Items'!$F$24)*IFERROR(N('Recurring Items'!$D$24),0)+(IF(AC319=1,'Debt Tracker'!$P$22&gt;0.01,INDEX('Debt Tracker'!$T$5:$AE$29,18,AC319-1)&gt;0.01))*('Recurring Items'!$H$25&lt;&gt;"Skip")*(DAY(AB319)='Recurring Items'!$F$25)*IFERROR(N('Recurring Items'!$D$25),0)+(IF(AC319=1,'Debt Tracker'!$P$23&gt;0.01,INDEX('Debt Tracker'!$T$5:$AE$29,19,AC319-1)&gt;0.01))*('Recurring Items'!$H$26&lt;&gt;"Skip")*(DAY(AB319)='Recurring Items'!$F$26)*IFERROR(N('Recurring Items'!$D$26),0)+(IF(AC319=1,'Debt Tracker'!$P$24&gt;0.01,INDEX('Debt Tracker'!$T$5:$AE$29,20,AC319-1)&gt;0.01))*('Recurring Items'!$H$27&lt;&gt;"Skip")*(DAY(AB319)='Recurring Items'!$F$27)*IFERROR(N('Recurring Items'!$D$27),0)+(IF(AC319=1,'Debt Tracker'!$P$25&gt;0.01,INDEX('Debt Tracker'!$T$5:$AE$29,21,AC319-1)&gt;0.01))*('Recurring Items'!$H$28&lt;&gt;"Skip")*(DAY(AB319)='Recurring Items'!$F$28)*IFERROR(N('Recurring Items'!$D$28),0)+(IF(AC319=1,'Debt Tracker'!$P$26&gt;0.01,INDEX('Debt Tracker'!$T$5:$AE$29,22,AC319-1)&gt;0.01))*('Recurring Items'!$H$29&lt;&gt;"Skip")*(DAY(AB319)='Recurring Items'!$F$29)*IFERROR(N('Recurring Items'!$D$29),0)+(IF(AC319=1,'Debt Tracker'!$P$27&gt;0.01,INDEX('Debt Tracker'!$T$5:$AE$29,23,AC319-1)&gt;0.01))*('Recurring Items'!$H$30&lt;&gt;"Skip")*(DAY(AB319)='Recurring Items'!$F$30)*IFERROR(N('Recurring Items'!$D$30),0)+(IF(AC319=1,'Debt Tracker'!$P$28&gt;0.01,INDEX('Debt Tracker'!$T$5:$AE$29,24,AC319-1)&gt;0.01))*('Recurring Items'!$H$31&lt;&gt;"Skip")*(DAY(AB319)='Recurring Items'!$F$31)*IFERROR(N('Recurring Items'!$D$31),0)+(IF(AC319=1,'Debt Tracker'!$P$29&gt;0.01,INDEX('Debt Tracker'!$T$5:$AE$29,25,AC319-1)&gt;0.01))*('Recurring Items'!$H$32&lt;&gt;"Skip")*(DAY(AB319)='Recurring Items'!$F$32)*IFERROR(N('Recurring Items'!$D$32),0)</f>
        <v>0</v>
      </c>
      <c r="AG319" s="1" t="n">
        <f aca="false">AD319-AE319-AF319</f>
        <v>-460</v>
      </c>
      <c r="AH319" s="1" t="n">
        <f aca="false">AH318+AG319</f>
        <v>10248.15</v>
      </c>
    </row>
    <row r="320" customFormat="false" ht="15" hidden="false" customHeight="true" outlineLevel="0" collapsed="false">
      <c r="AA320" s="1" t="n">
        <v>120</v>
      </c>
      <c r="AB320" s="145" t="n">
        <f aca="false">$D$3+120</f>
        <v>46263</v>
      </c>
      <c r="AC320" s="1" t="n">
        <f aca="false">MIN(12,1+DATEDIF($D$3,AB320,"M"))</f>
        <v>4</v>
      </c>
      <c r="AD320" s="1" t="n">
        <f aca="false">SUMPRODUCT(('Recurring Items'!$C$6:$C$56="Income")*('Recurring Items'!$H$6:$H$56&lt;&gt;"Skip")*IFERROR(N('Recurring Items'!$D$6:$D$56),0)*(('Recurring Items'!$E$6:$E$56="Monthly")*(DAY(AB320)='Recurring Items'!$F$6:$F$56)+('Recurring Items'!$E$6:$E$56="Bi-weekly")*(WEEKDAY(AB320)=IFERROR(WEEKDAY('Recurring Items'!$G$6:$G$56),0))*(MOD(AB320-IFERROR('Recurring Items'!$G$6:$G$56,0),14)=0)*(AB320&gt;=IFERROR('Recurring Items'!$G$6:$G$56,9000000000))+('Recurring Items'!$E$6:$E$56="Weekly")*(WEEKDAY(AB320)=IFERROR(WEEKDAY('Recurring Items'!$G$6:$G$56),0))*(AB320&gt;=IFERROR('Recurring Items'!$G$6:$G$56,9000000000))+('Recurring Items'!$E$6:$E$56="One-time")*(AB320='Recurring Items'!$G$6:$G$56)))</f>
        <v>0</v>
      </c>
      <c r="AE320" s="1" t="n">
        <f aca="false">SUMPRODUCT(('Recurring Items'!$C$6:$C$56="Expense")*('Recurring Items'!$H$6:$H$56&lt;&gt;"Skip")*IFERROR(N('Recurring Items'!$D$6:$D$56),0)*(('Recurring Items'!$E$6:$E$56="Monthly")*(DAY(AB320)='Recurring Items'!$F$6:$F$56)+('Recurring Items'!$E$6:$E$56="Bi-weekly")*(WEEKDAY(AB320)=IFERROR(WEEKDAY('Recurring Items'!$G$6:$G$56),0))*(MOD(AB320-IFERROR('Recurring Items'!$G$6:$G$56,0),14)=0)*(AB320&gt;=IFERROR('Recurring Items'!$G$6:$G$56,9000000000))+('Recurring Items'!$E$6:$E$56="Weekly")*(WEEKDAY(AB320)=IFERROR(WEEKDAY('Recurring Items'!$G$6:$G$56),0))*(AB320&gt;=IFERROR('Recurring Items'!$G$6:$G$56,9000000000))+('Recurring Items'!$E$6:$E$56="One-time")*(AB320='Recurring Items'!$G$6:$G$56)))</f>
        <v>237.58</v>
      </c>
      <c r="AF320" s="1" t="n">
        <f aca="false">(IF(AC320=1,'Debt Tracker'!$P$5&gt;0.01,INDEX('Debt Tracker'!$T$5:$AE$29,1,AC320-1)&gt;0.01))*('Recurring Items'!$H$8&lt;&gt;"Skip")*(DAY(AB320)='Recurring Items'!$F$8)*IFERROR(N('Recurring Items'!$D$8),0)+(IF(AC320=1,'Debt Tracker'!$P$6&gt;0.01,INDEX('Debt Tracker'!$T$5:$AE$29,2,AC320-1)&gt;0.01))*('Recurring Items'!$H$9&lt;&gt;"Skip")*(DAY(AB320)='Recurring Items'!$F$9)*IFERROR(N('Recurring Items'!$D$9),0)+(IF(AC320=1,'Debt Tracker'!$P$7&gt;0.01,INDEX('Debt Tracker'!$T$5:$AE$29,3,AC320-1)&gt;0.01))*('Recurring Items'!$H$10&lt;&gt;"Skip")*(DAY(AB320)='Recurring Items'!$F$10)*IFERROR(N('Recurring Items'!$D$10),0)+(IF(AC320=1,'Debt Tracker'!$P$8&gt;0.01,INDEX('Debt Tracker'!$T$5:$AE$29,4,AC320-1)&gt;0.01))*('Recurring Items'!$H$11&lt;&gt;"Skip")*(DAY(AB320)='Recurring Items'!$F$11)*IFERROR(N('Recurring Items'!$D$11),0)+(IF(AC320=1,'Debt Tracker'!$P$9&gt;0.01,INDEX('Debt Tracker'!$T$5:$AE$29,5,AC320-1)&gt;0.01))*('Recurring Items'!$H$12&lt;&gt;"Skip")*(DAY(AB320)='Recurring Items'!$F$12)*IFERROR(N('Recurring Items'!$D$12),0)+(IF(AC320=1,'Debt Tracker'!$P$10&gt;0.01,INDEX('Debt Tracker'!$T$5:$AE$29,6,AC320-1)&gt;0.01))*('Recurring Items'!$H$13&lt;&gt;"Skip")*(DAY(AB320)='Recurring Items'!$F$13)*IFERROR(N('Recurring Items'!$D$13),0)+(IF(AC320=1,'Debt Tracker'!$P$11&gt;0.01,INDEX('Debt Tracker'!$T$5:$AE$29,7,AC320-1)&gt;0.01))*('Recurring Items'!$H$14&lt;&gt;"Skip")*(DAY(AB320)='Recurring Items'!$F$14)*IFERROR(N('Recurring Items'!$D$14),0)+(IF(AC320=1,'Debt Tracker'!$P$12&gt;0.01,INDEX('Debt Tracker'!$T$5:$AE$29,8,AC320-1)&gt;0.01))*('Recurring Items'!$H$15&lt;&gt;"Skip")*(DAY(AB320)='Recurring Items'!$F$15)*IFERROR(N('Recurring Items'!$D$15),0)+(IF(AC320=1,'Debt Tracker'!$P$13&gt;0.01,INDEX('Debt Tracker'!$T$5:$AE$29,9,AC320-1)&gt;0.01))*('Recurring Items'!$H$16&lt;&gt;"Skip")*(DAY(AB320)='Recurring Items'!$F$16)*IFERROR(N('Recurring Items'!$D$16),0)+(IF(AC320=1,'Debt Tracker'!$P$14&gt;0.01,INDEX('Debt Tracker'!$T$5:$AE$29,10,AC320-1)&gt;0.01))*('Recurring Items'!$H$17&lt;&gt;"Skip")*(DAY(AB320)='Recurring Items'!$F$17)*IFERROR(N('Recurring Items'!$D$17),0)+(IF(AC320=1,'Debt Tracker'!$P$15&gt;0.01,INDEX('Debt Tracker'!$T$5:$AE$29,11,AC320-1)&gt;0.01))*('Recurring Items'!$H$18&lt;&gt;"Skip")*(DAY(AB320)='Recurring Items'!$F$18)*IFERROR(N('Recurring Items'!$D$18),0)+(IF(AC320=1,'Debt Tracker'!$P$16&gt;0.01,INDEX('Debt Tracker'!$T$5:$AE$29,12,AC320-1)&gt;0.01))*('Recurring Items'!$H$19&lt;&gt;"Skip")*(DAY(AB320)='Recurring Items'!$F$19)*IFERROR(N('Recurring Items'!$D$19),0)+(IF(AC320=1,'Debt Tracker'!$P$17&gt;0.01,INDEX('Debt Tracker'!$T$5:$AE$29,13,AC320-1)&gt;0.01))*('Recurring Items'!$H$20&lt;&gt;"Skip")*(DAY(AB320)='Recurring Items'!$F$20)*IFERROR(N('Recurring Items'!$D$20),0)+(IF(AC320=1,'Debt Tracker'!$P$18&gt;0.01,INDEX('Debt Tracker'!$T$5:$AE$29,14,AC320-1)&gt;0.01))*('Recurring Items'!$H$21&lt;&gt;"Skip")*(DAY(AB320)='Recurring Items'!$F$21)*IFERROR(N('Recurring Items'!$D$21),0)+(IF(AC320=1,'Debt Tracker'!$P$19&gt;0.01,INDEX('Debt Tracker'!$T$5:$AE$29,15,AC320-1)&gt;0.01))*('Recurring Items'!$H$22&lt;&gt;"Skip")*(DAY(AB320)='Recurring Items'!$F$22)*IFERROR(N('Recurring Items'!$D$22),0)+(IF(AC320=1,'Debt Tracker'!$P$20&gt;0.01,INDEX('Debt Tracker'!$T$5:$AE$29,16,AC320-1)&gt;0.01))*('Recurring Items'!$H$23&lt;&gt;"Skip")*(DAY(AB320)='Recurring Items'!$F$23)*IFERROR(N('Recurring Items'!$D$23),0)+(IF(AC320=1,'Debt Tracker'!$P$21&gt;0.01,INDEX('Debt Tracker'!$T$5:$AE$29,17,AC320-1)&gt;0.01))*('Recurring Items'!$H$24&lt;&gt;"Skip")*(DAY(AB320)='Recurring Items'!$F$24)*IFERROR(N('Recurring Items'!$D$24),0)+(IF(AC320=1,'Debt Tracker'!$P$22&gt;0.01,INDEX('Debt Tracker'!$T$5:$AE$29,18,AC320-1)&gt;0.01))*('Recurring Items'!$H$25&lt;&gt;"Skip")*(DAY(AB320)='Recurring Items'!$F$25)*IFERROR(N('Recurring Items'!$D$25),0)+(IF(AC320=1,'Debt Tracker'!$P$23&gt;0.01,INDEX('Debt Tracker'!$T$5:$AE$29,19,AC320-1)&gt;0.01))*('Recurring Items'!$H$26&lt;&gt;"Skip")*(DAY(AB320)='Recurring Items'!$F$26)*IFERROR(N('Recurring Items'!$D$26),0)+(IF(AC320=1,'Debt Tracker'!$P$24&gt;0.01,INDEX('Debt Tracker'!$T$5:$AE$29,20,AC320-1)&gt;0.01))*('Recurring Items'!$H$27&lt;&gt;"Skip")*(DAY(AB320)='Recurring Items'!$F$27)*IFERROR(N('Recurring Items'!$D$27),0)+(IF(AC320=1,'Debt Tracker'!$P$25&gt;0.01,INDEX('Debt Tracker'!$T$5:$AE$29,21,AC320-1)&gt;0.01))*('Recurring Items'!$H$28&lt;&gt;"Skip")*(DAY(AB320)='Recurring Items'!$F$28)*IFERROR(N('Recurring Items'!$D$28),0)+(IF(AC320=1,'Debt Tracker'!$P$26&gt;0.01,INDEX('Debt Tracker'!$T$5:$AE$29,22,AC320-1)&gt;0.01))*('Recurring Items'!$H$29&lt;&gt;"Skip")*(DAY(AB320)='Recurring Items'!$F$29)*IFERROR(N('Recurring Items'!$D$29),0)+(IF(AC320=1,'Debt Tracker'!$P$27&gt;0.01,INDEX('Debt Tracker'!$T$5:$AE$29,23,AC320-1)&gt;0.01))*('Recurring Items'!$H$30&lt;&gt;"Skip")*(DAY(AB320)='Recurring Items'!$F$30)*IFERROR(N('Recurring Items'!$D$30),0)+(IF(AC320=1,'Debt Tracker'!$P$28&gt;0.01,INDEX('Debt Tracker'!$T$5:$AE$29,24,AC320-1)&gt;0.01))*('Recurring Items'!$H$31&lt;&gt;"Skip")*(DAY(AB320)='Recurring Items'!$F$31)*IFERROR(N('Recurring Items'!$D$31),0)+(IF(AC320=1,'Debt Tracker'!$P$29&gt;0.01,INDEX('Debt Tracker'!$T$5:$AE$29,25,AC320-1)&gt;0.01))*('Recurring Items'!$H$32&lt;&gt;"Skip")*(DAY(AB320)='Recurring Items'!$F$32)*IFERROR(N('Recurring Items'!$D$32),0)</f>
        <v>206.43</v>
      </c>
      <c r="AG320" s="1" t="n">
        <f aca="false">AD320-AE320-AF320</f>
        <v>-444.01</v>
      </c>
      <c r="AH320" s="1" t="n">
        <f aca="false">AH319+AG320</f>
        <v>9804.14</v>
      </c>
    </row>
    <row r="321" customFormat="false" ht="15" hidden="false" customHeight="true" outlineLevel="0" collapsed="false">
      <c r="AA321" s="1" t="n">
        <v>121</v>
      </c>
      <c r="AB321" s="145" t="n">
        <f aca="false">$D$3+121</f>
        <v>46264</v>
      </c>
      <c r="AC321" s="1" t="n">
        <f aca="false">MIN(12,1+DATEDIF($D$3,AB321,"M"))</f>
        <v>4</v>
      </c>
      <c r="AD321" s="1" t="n">
        <f aca="false">SUMPRODUCT(('Recurring Items'!$C$6:$C$56="Income")*('Recurring Items'!$H$6:$H$56&lt;&gt;"Skip")*IFERROR(N('Recurring Items'!$D$6:$D$56),0)*(('Recurring Items'!$E$6:$E$56="Monthly")*(DAY(AB321)='Recurring Items'!$F$6:$F$56)+('Recurring Items'!$E$6:$E$56="Bi-weekly")*(WEEKDAY(AB321)=IFERROR(WEEKDAY('Recurring Items'!$G$6:$G$56),0))*(MOD(AB321-IFERROR('Recurring Items'!$G$6:$G$56,0),14)=0)*(AB321&gt;=IFERROR('Recurring Items'!$G$6:$G$56,9000000000))+('Recurring Items'!$E$6:$E$56="Weekly")*(WEEKDAY(AB321)=IFERROR(WEEKDAY('Recurring Items'!$G$6:$G$56),0))*(AB321&gt;=IFERROR('Recurring Items'!$G$6:$G$56,9000000000))+('Recurring Items'!$E$6:$E$56="One-time")*(AB321='Recurring Items'!$G$6:$G$56)))</f>
        <v>0</v>
      </c>
      <c r="AE321" s="1" t="n">
        <f aca="false">SUMPRODUCT(('Recurring Items'!$C$6:$C$56="Expense")*('Recurring Items'!$H$6:$H$56&lt;&gt;"Skip")*IFERROR(N('Recurring Items'!$D$6:$D$56),0)*(('Recurring Items'!$E$6:$E$56="Monthly")*(DAY(AB321)='Recurring Items'!$F$6:$F$56)+('Recurring Items'!$E$6:$E$56="Bi-weekly")*(WEEKDAY(AB321)=IFERROR(WEEKDAY('Recurring Items'!$G$6:$G$56),0))*(MOD(AB321-IFERROR('Recurring Items'!$G$6:$G$56,0),14)=0)*(AB321&gt;=IFERROR('Recurring Items'!$G$6:$G$56,9000000000))+('Recurring Items'!$E$6:$E$56="Weekly")*(WEEKDAY(AB321)=IFERROR(WEEKDAY('Recurring Items'!$G$6:$G$56),0))*(AB321&gt;=IFERROR('Recurring Items'!$G$6:$G$56,9000000000))+('Recurring Items'!$E$6:$E$56="One-time")*(AB321='Recurring Items'!$G$6:$G$56)))</f>
        <v>0</v>
      </c>
      <c r="AF321" s="1" t="n">
        <f aca="false">(IF(AC321=1,'Debt Tracker'!$P$5&gt;0.01,INDEX('Debt Tracker'!$T$5:$AE$29,1,AC321-1)&gt;0.01))*('Recurring Items'!$H$8&lt;&gt;"Skip")*(DAY(AB321)='Recurring Items'!$F$8)*IFERROR(N('Recurring Items'!$D$8),0)+(IF(AC321=1,'Debt Tracker'!$P$6&gt;0.01,INDEX('Debt Tracker'!$T$5:$AE$29,2,AC321-1)&gt;0.01))*('Recurring Items'!$H$9&lt;&gt;"Skip")*(DAY(AB321)='Recurring Items'!$F$9)*IFERROR(N('Recurring Items'!$D$9),0)+(IF(AC321=1,'Debt Tracker'!$P$7&gt;0.01,INDEX('Debt Tracker'!$T$5:$AE$29,3,AC321-1)&gt;0.01))*('Recurring Items'!$H$10&lt;&gt;"Skip")*(DAY(AB321)='Recurring Items'!$F$10)*IFERROR(N('Recurring Items'!$D$10),0)+(IF(AC321=1,'Debt Tracker'!$P$8&gt;0.01,INDEX('Debt Tracker'!$T$5:$AE$29,4,AC321-1)&gt;0.01))*('Recurring Items'!$H$11&lt;&gt;"Skip")*(DAY(AB321)='Recurring Items'!$F$11)*IFERROR(N('Recurring Items'!$D$11),0)+(IF(AC321=1,'Debt Tracker'!$P$9&gt;0.01,INDEX('Debt Tracker'!$T$5:$AE$29,5,AC321-1)&gt;0.01))*('Recurring Items'!$H$12&lt;&gt;"Skip")*(DAY(AB321)='Recurring Items'!$F$12)*IFERROR(N('Recurring Items'!$D$12),0)+(IF(AC321=1,'Debt Tracker'!$P$10&gt;0.01,INDEX('Debt Tracker'!$T$5:$AE$29,6,AC321-1)&gt;0.01))*('Recurring Items'!$H$13&lt;&gt;"Skip")*(DAY(AB321)='Recurring Items'!$F$13)*IFERROR(N('Recurring Items'!$D$13),0)+(IF(AC321=1,'Debt Tracker'!$P$11&gt;0.01,INDEX('Debt Tracker'!$T$5:$AE$29,7,AC321-1)&gt;0.01))*('Recurring Items'!$H$14&lt;&gt;"Skip")*(DAY(AB321)='Recurring Items'!$F$14)*IFERROR(N('Recurring Items'!$D$14),0)+(IF(AC321=1,'Debt Tracker'!$P$12&gt;0.01,INDEX('Debt Tracker'!$T$5:$AE$29,8,AC321-1)&gt;0.01))*('Recurring Items'!$H$15&lt;&gt;"Skip")*(DAY(AB321)='Recurring Items'!$F$15)*IFERROR(N('Recurring Items'!$D$15),0)+(IF(AC321=1,'Debt Tracker'!$P$13&gt;0.01,INDEX('Debt Tracker'!$T$5:$AE$29,9,AC321-1)&gt;0.01))*('Recurring Items'!$H$16&lt;&gt;"Skip")*(DAY(AB321)='Recurring Items'!$F$16)*IFERROR(N('Recurring Items'!$D$16),0)+(IF(AC321=1,'Debt Tracker'!$P$14&gt;0.01,INDEX('Debt Tracker'!$T$5:$AE$29,10,AC321-1)&gt;0.01))*('Recurring Items'!$H$17&lt;&gt;"Skip")*(DAY(AB321)='Recurring Items'!$F$17)*IFERROR(N('Recurring Items'!$D$17),0)+(IF(AC321=1,'Debt Tracker'!$P$15&gt;0.01,INDEX('Debt Tracker'!$T$5:$AE$29,11,AC321-1)&gt;0.01))*('Recurring Items'!$H$18&lt;&gt;"Skip")*(DAY(AB321)='Recurring Items'!$F$18)*IFERROR(N('Recurring Items'!$D$18),0)+(IF(AC321=1,'Debt Tracker'!$P$16&gt;0.01,INDEX('Debt Tracker'!$T$5:$AE$29,12,AC321-1)&gt;0.01))*('Recurring Items'!$H$19&lt;&gt;"Skip")*(DAY(AB321)='Recurring Items'!$F$19)*IFERROR(N('Recurring Items'!$D$19),0)+(IF(AC321=1,'Debt Tracker'!$P$17&gt;0.01,INDEX('Debt Tracker'!$T$5:$AE$29,13,AC321-1)&gt;0.01))*('Recurring Items'!$H$20&lt;&gt;"Skip")*(DAY(AB321)='Recurring Items'!$F$20)*IFERROR(N('Recurring Items'!$D$20),0)+(IF(AC321=1,'Debt Tracker'!$P$18&gt;0.01,INDEX('Debt Tracker'!$T$5:$AE$29,14,AC321-1)&gt;0.01))*('Recurring Items'!$H$21&lt;&gt;"Skip")*(DAY(AB321)='Recurring Items'!$F$21)*IFERROR(N('Recurring Items'!$D$21),0)+(IF(AC321=1,'Debt Tracker'!$P$19&gt;0.01,INDEX('Debt Tracker'!$T$5:$AE$29,15,AC321-1)&gt;0.01))*('Recurring Items'!$H$22&lt;&gt;"Skip")*(DAY(AB321)='Recurring Items'!$F$22)*IFERROR(N('Recurring Items'!$D$22),0)+(IF(AC321=1,'Debt Tracker'!$P$20&gt;0.01,INDEX('Debt Tracker'!$T$5:$AE$29,16,AC321-1)&gt;0.01))*('Recurring Items'!$H$23&lt;&gt;"Skip")*(DAY(AB321)='Recurring Items'!$F$23)*IFERROR(N('Recurring Items'!$D$23),0)+(IF(AC321=1,'Debt Tracker'!$P$21&gt;0.01,INDEX('Debt Tracker'!$T$5:$AE$29,17,AC321-1)&gt;0.01))*('Recurring Items'!$H$24&lt;&gt;"Skip")*(DAY(AB321)='Recurring Items'!$F$24)*IFERROR(N('Recurring Items'!$D$24),0)+(IF(AC321=1,'Debt Tracker'!$P$22&gt;0.01,INDEX('Debt Tracker'!$T$5:$AE$29,18,AC321-1)&gt;0.01))*('Recurring Items'!$H$25&lt;&gt;"Skip")*(DAY(AB321)='Recurring Items'!$F$25)*IFERROR(N('Recurring Items'!$D$25),0)+(IF(AC321=1,'Debt Tracker'!$P$23&gt;0.01,INDEX('Debt Tracker'!$T$5:$AE$29,19,AC321-1)&gt;0.01))*('Recurring Items'!$H$26&lt;&gt;"Skip")*(DAY(AB321)='Recurring Items'!$F$26)*IFERROR(N('Recurring Items'!$D$26),0)+(IF(AC321=1,'Debt Tracker'!$P$24&gt;0.01,INDEX('Debt Tracker'!$T$5:$AE$29,20,AC321-1)&gt;0.01))*('Recurring Items'!$H$27&lt;&gt;"Skip")*(DAY(AB321)='Recurring Items'!$F$27)*IFERROR(N('Recurring Items'!$D$27),0)+(IF(AC321=1,'Debt Tracker'!$P$25&gt;0.01,INDEX('Debt Tracker'!$T$5:$AE$29,21,AC321-1)&gt;0.01))*('Recurring Items'!$H$28&lt;&gt;"Skip")*(DAY(AB321)='Recurring Items'!$F$28)*IFERROR(N('Recurring Items'!$D$28),0)+(IF(AC321=1,'Debt Tracker'!$P$26&gt;0.01,INDEX('Debt Tracker'!$T$5:$AE$29,22,AC321-1)&gt;0.01))*('Recurring Items'!$H$29&lt;&gt;"Skip")*(DAY(AB321)='Recurring Items'!$F$29)*IFERROR(N('Recurring Items'!$D$29),0)+(IF(AC321=1,'Debt Tracker'!$P$27&gt;0.01,INDEX('Debt Tracker'!$T$5:$AE$29,23,AC321-1)&gt;0.01))*('Recurring Items'!$H$30&lt;&gt;"Skip")*(DAY(AB321)='Recurring Items'!$F$30)*IFERROR(N('Recurring Items'!$D$30),0)+(IF(AC321=1,'Debt Tracker'!$P$28&gt;0.01,INDEX('Debt Tracker'!$T$5:$AE$29,24,AC321-1)&gt;0.01))*('Recurring Items'!$H$31&lt;&gt;"Skip")*(DAY(AB321)='Recurring Items'!$F$31)*IFERROR(N('Recurring Items'!$D$31),0)+(IF(AC321=1,'Debt Tracker'!$P$29&gt;0.01,INDEX('Debt Tracker'!$T$5:$AE$29,25,AC321-1)&gt;0.01))*('Recurring Items'!$H$32&lt;&gt;"Skip")*(DAY(AB321)='Recurring Items'!$F$32)*IFERROR(N('Recurring Items'!$D$32),0)</f>
        <v>0</v>
      </c>
      <c r="AG321" s="1" t="n">
        <f aca="false">AD321-AE321-AF321</f>
        <v>0</v>
      </c>
      <c r="AH321" s="1" t="n">
        <f aca="false">AH320+AG321</f>
        <v>9804.14</v>
      </c>
    </row>
    <row r="322" customFormat="false" ht="15" hidden="false" customHeight="true" outlineLevel="0" collapsed="false">
      <c r="AA322" s="1" t="n">
        <v>122</v>
      </c>
      <c r="AB322" s="145" t="n">
        <f aca="false">$D$3+122</f>
        <v>46265</v>
      </c>
      <c r="AC322" s="1" t="n">
        <f aca="false">MIN(12,1+DATEDIF($D$3,AB322,"M"))</f>
        <v>4</v>
      </c>
      <c r="AD322" s="1" t="n">
        <f aca="false">SUMPRODUCT(('Recurring Items'!$C$6:$C$56="Income")*('Recurring Items'!$H$6:$H$56&lt;&gt;"Skip")*IFERROR(N('Recurring Items'!$D$6:$D$56),0)*(('Recurring Items'!$E$6:$E$56="Monthly")*(DAY(AB322)='Recurring Items'!$F$6:$F$56)+('Recurring Items'!$E$6:$E$56="Bi-weekly")*(WEEKDAY(AB322)=IFERROR(WEEKDAY('Recurring Items'!$G$6:$G$56),0))*(MOD(AB322-IFERROR('Recurring Items'!$G$6:$G$56,0),14)=0)*(AB322&gt;=IFERROR('Recurring Items'!$G$6:$G$56,9000000000))+('Recurring Items'!$E$6:$E$56="Weekly")*(WEEKDAY(AB322)=IFERROR(WEEKDAY('Recurring Items'!$G$6:$G$56),0))*(AB322&gt;=IFERROR('Recurring Items'!$G$6:$G$56,9000000000))+('Recurring Items'!$E$6:$E$56="One-time")*(AB322='Recurring Items'!$G$6:$G$56)))</f>
        <v>0</v>
      </c>
      <c r="AE322" s="1" t="n">
        <f aca="false">SUMPRODUCT(('Recurring Items'!$C$6:$C$56="Expense")*('Recurring Items'!$H$6:$H$56&lt;&gt;"Skip")*IFERROR(N('Recurring Items'!$D$6:$D$56),0)*(('Recurring Items'!$E$6:$E$56="Monthly")*(DAY(AB322)='Recurring Items'!$F$6:$F$56)+('Recurring Items'!$E$6:$E$56="Bi-weekly")*(WEEKDAY(AB322)=IFERROR(WEEKDAY('Recurring Items'!$G$6:$G$56),0))*(MOD(AB322-IFERROR('Recurring Items'!$G$6:$G$56,0),14)=0)*(AB322&gt;=IFERROR('Recurring Items'!$G$6:$G$56,9000000000))+('Recurring Items'!$E$6:$E$56="Weekly")*(WEEKDAY(AB322)=IFERROR(WEEKDAY('Recurring Items'!$G$6:$G$56),0))*(AB322&gt;=IFERROR('Recurring Items'!$G$6:$G$56,9000000000))+('Recurring Items'!$E$6:$E$56="One-time")*(AB322='Recurring Items'!$G$6:$G$56)))</f>
        <v>0</v>
      </c>
      <c r="AF322" s="1" t="n">
        <f aca="false">(IF(AC322=1,'Debt Tracker'!$P$5&gt;0.01,INDEX('Debt Tracker'!$T$5:$AE$29,1,AC322-1)&gt;0.01))*('Recurring Items'!$H$8&lt;&gt;"Skip")*(DAY(AB322)='Recurring Items'!$F$8)*IFERROR(N('Recurring Items'!$D$8),0)+(IF(AC322=1,'Debt Tracker'!$P$6&gt;0.01,INDEX('Debt Tracker'!$T$5:$AE$29,2,AC322-1)&gt;0.01))*('Recurring Items'!$H$9&lt;&gt;"Skip")*(DAY(AB322)='Recurring Items'!$F$9)*IFERROR(N('Recurring Items'!$D$9),0)+(IF(AC322=1,'Debt Tracker'!$P$7&gt;0.01,INDEX('Debt Tracker'!$T$5:$AE$29,3,AC322-1)&gt;0.01))*('Recurring Items'!$H$10&lt;&gt;"Skip")*(DAY(AB322)='Recurring Items'!$F$10)*IFERROR(N('Recurring Items'!$D$10),0)+(IF(AC322=1,'Debt Tracker'!$P$8&gt;0.01,INDEX('Debt Tracker'!$T$5:$AE$29,4,AC322-1)&gt;0.01))*('Recurring Items'!$H$11&lt;&gt;"Skip")*(DAY(AB322)='Recurring Items'!$F$11)*IFERROR(N('Recurring Items'!$D$11),0)+(IF(AC322=1,'Debt Tracker'!$P$9&gt;0.01,INDEX('Debt Tracker'!$T$5:$AE$29,5,AC322-1)&gt;0.01))*('Recurring Items'!$H$12&lt;&gt;"Skip")*(DAY(AB322)='Recurring Items'!$F$12)*IFERROR(N('Recurring Items'!$D$12),0)+(IF(AC322=1,'Debt Tracker'!$P$10&gt;0.01,INDEX('Debt Tracker'!$T$5:$AE$29,6,AC322-1)&gt;0.01))*('Recurring Items'!$H$13&lt;&gt;"Skip")*(DAY(AB322)='Recurring Items'!$F$13)*IFERROR(N('Recurring Items'!$D$13),0)+(IF(AC322=1,'Debt Tracker'!$P$11&gt;0.01,INDEX('Debt Tracker'!$T$5:$AE$29,7,AC322-1)&gt;0.01))*('Recurring Items'!$H$14&lt;&gt;"Skip")*(DAY(AB322)='Recurring Items'!$F$14)*IFERROR(N('Recurring Items'!$D$14),0)+(IF(AC322=1,'Debt Tracker'!$P$12&gt;0.01,INDEX('Debt Tracker'!$T$5:$AE$29,8,AC322-1)&gt;0.01))*('Recurring Items'!$H$15&lt;&gt;"Skip")*(DAY(AB322)='Recurring Items'!$F$15)*IFERROR(N('Recurring Items'!$D$15),0)+(IF(AC322=1,'Debt Tracker'!$P$13&gt;0.01,INDEX('Debt Tracker'!$T$5:$AE$29,9,AC322-1)&gt;0.01))*('Recurring Items'!$H$16&lt;&gt;"Skip")*(DAY(AB322)='Recurring Items'!$F$16)*IFERROR(N('Recurring Items'!$D$16),0)+(IF(AC322=1,'Debt Tracker'!$P$14&gt;0.01,INDEX('Debt Tracker'!$T$5:$AE$29,10,AC322-1)&gt;0.01))*('Recurring Items'!$H$17&lt;&gt;"Skip")*(DAY(AB322)='Recurring Items'!$F$17)*IFERROR(N('Recurring Items'!$D$17),0)+(IF(AC322=1,'Debt Tracker'!$P$15&gt;0.01,INDEX('Debt Tracker'!$T$5:$AE$29,11,AC322-1)&gt;0.01))*('Recurring Items'!$H$18&lt;&gt;"Skip")*(DAY(AB322)='Recurring Items'!$F$18)*IFERROR(N('Recurring Items'!$D$18),0)+(IF(AC322=1,'Debt Tracker'!$P$16&gt;0.01,INDEX('Debt Tracker'!$T$5:$AE$29,12,AC322-1)&gt;0.01))*('Recurring Items'!$H$19&lt;&gt;"Skip")*(DAY(AB322)='Recurring Items'!$F$19)*IFERROR(N('Recurring Items'!$D$19),0)+(IF(AC322=1,'Debt Tracker'!$P$17&gt;0.01,INDEX('Debt Tracker'!$T$5:$AE$29,13,AC322-1)&gt;0.01))*('Recurring Items'!$H$20&lt;&gt;"Skip")*(DAY(AB322)='Recurring Items'!$F$20)*IFERROR(N('Recurring Items'!$D$20),0)+(IF(AC322=1,'Debt Tracker'!$P$18&gt;0.01,INDEX('Debt Tracker'!$T$5:$AE$29,14,AC322-1)&gt;0.01))*('Recurring Items'!$H$21&lt;&gt;"Skip")*(DAY(AB322)='Recurring Items'!$F$21)*IFERROR(N('Recurring Items'!$D$21),0)+(IF(AC322=1,'Debt Tracker'!$P$19&gt;0.01,INDEX('Debt Tracker'!$T$5:$AE$29,15,AC322-1)&gt;0.01))*('Recurring Items'!$H$22&lt;&gt;"Skip")*(DAY(AB322)='Recurring Items'!$F$22)*IFERROR(N('Recurring Items'!$D$22),0)+(IF(AC322=1,'Debt Tracker'!$P$20&gt;0.01,INDEX('Debt Tracker'!$T$5:$AE$29,16,AC322-1)&gt;0.01))*('Recurring Items'!$H$23&lt;&gt;"Skip")*(DAY(AB322)='Recurring Items'!$F$23)*IFERROR(N('Recurring Items'!$D$23),0)+(IF(AC322=1,'Debt Tracker'!$P$21&gt;0.01,INDEX('Debt Tracker'!$T$5:$AE$29,17,AC322-1)&gt;0.01))*('Recurring Items'!$H$24&lt;&gt;"Skip")*(DAY(AB322)='Recurring Items'!$F$24)*IFERROR(N('Recurring Items'!$D$24),0)+(IF(AC322=1,'Debt Tracker'!$P$22&gt;0.01,INDEX('Debt Tracker'!$T$5:$AE$29,18,AC322-1)&gt;0.01))*('Recurring Items'!$H$25&lt;&gt;"Skip")*(DAY(AB322)='Recurring Items'!$F$25)*IFERROR(N('Recurring Items'!$D$25),0)+(IF(AC322=1,'Debt Tracker'!$P$23&gt;0.01,INDEX('Debt Tracker'!$T$5:$AE$29,19,AC322-1)&gt;0.01))*('Recurring Items'!$H$26&lt;&gt;"Skip")*(DAY(AB322)='Recurring Items'!$F$26)*IFERROR(N('Recurring Items'!$D$26),0)+(IF(AC322=1,'Debt Tracker'!$P$24&gt;0.01,INDEX('Debt Tracker'!$T$5:$AE$29,20,AC322-1)&gt;0.01))*('Recurring Items'!$H$27&lt;&gt;"Skip")*(DAY(AB322)='Recurring Items'!$F$27)*IFERROR(N('Recurring Items'!$D$27),0)+(IF(AC322=1,'Debt Tracker'!$P$25&gt;0.01,INDEX('Debt Tracker'!$T$5:$AE$29,21,AC322-1)&gt;0.01))*('Recurring Items'!$H$28&lt;&gt;"Skip")*(DAY(AB322)='Recurring Items'!$F$28)*IFERROR(N('Recurring Items'!$D$28),0)+(IF(AC322=1,'Debt Tracker'!$P$26&gt;0.01,INDEX('Debt Tracker'!$T$5:$AE$29,22,AC322-1)&gt;0.01))*('Recurring Items'!$H$29&lt;&gt;"Skip")*(DAY(AB322)='Recurring Items'!$F$29)*IFERROR(N('Recurring Items'!$D$29),0)+(IF(AC322=1,'Debt Tracker'!$P$27&gt;0.01,INDEX('Debt Tracker'!$T$5:$AE$29,23,AC322-1)&gt;0.01))*('Recurring Items'!$H$30&lt;&gt;"Skip")*(DAY(AB322)='Recurring Items'!$F$30)*IFERROR(N('Recurring Items'!$D$30),0)+(IF(AC322=1,'Debt Tracker'!$P$28&gt;0.01,INDEX('Debt Tracker'!$T$5:$AE$29,24,AC322-1)&gt;0.01))*('Recurring Items'!$H$31&lt;&gt;"Skip")*(DAY(AB322)='Recurring Items'!$F$31)*IFERROR(N('Recurring Items'!$D$31),0)+(IF(AC322=1,'Debt Tracker'!$P$29&gt;0.01,INDEX('Debt Tracker'!$T$5:$AE$29,25,AC322-1)&gt;0.01))*('Recurring Items'!$H$32&lt;&gt;"Skip")*(DAY(AB322)='Recurring Items'!$F$32)*IFERROR(N('Recurring Items'!$D$32),0)</f>
        <v>0</v>
      </c>
      <c r="AG322" s="1" t="n">
        <f aca="false">AD322-AE322-AF322</f>
        <v>0</v>
      </c>
      <c r="AH322" s="1" t="n">
        <f aca="false">AH321+AG322</f>
        <v>9804.14</v>
      </c>
    </row>
    <row r="323" customFormat="false" ht="15" hidden="false" customHeight="true" outlineLevel="0" collapsed="false">
      <c r="AA323" s="1" t="n">
        <v>123</v>
      </c>
      <c r="AB323" s="145" t="n">
        <f aca="false">$D$3+123</f>
        <v>46266</v>
      </c>
      <c r="AC323" s="1" t="n">
        <f aca="false">MIN(12,1+DATEDIF($D$3,AB323,"M"))</f>
        <v>5</v>
      </c>
      <c r="AD323" s="1" t="n">
        <f aca="false">SUMPRODUCT(('Recurring Items'!$C$6:$C$56="Income")*('Recurring Items'!$H$6:$H$56&lt;&gt;"Skip")*IFERROR(N('Recurring Items'!$D$6:$D$56),0)*(('Recurring Items'!$E$6:$E$56="Monthly")*(DAY(AB323)='Recurring Items'!$F$6:$F$56)+('Recurring Items'!$E$6:$E$56="Bi-weekly")*(WEEKDAY(AB323)=IFERROR(WEEKDAY('Recurring Items'!$G$6:$G$56),0))*(MOD(AB323-IFERROR('Recurring Items'!$G$6:$G$56,0),14)=0)*(AB323&gt;=IFERROR('Recurring Items'!$G$6:$G$56,9000000000))+('Recurring Items'!$E$6:$E$56="Weekly")*(WEEKDAY(AB323)=IFERROR(WEEKDAY('Recurring Items'!$G$6:$G$56),0))*(AB323&gt;=IFERROR('Recurring Items'!$G$6:$G$56,9000000000))+('Recurring Items'!$E$6:$E$56="One-time")*(AB323='Recurring Items'!$G$6:$G$56)))</f>
        <v>0</v>
      </c>
      <c r="AE323" s="1" t="n">
        <f aca="false">SUMPRODUCT(('Recurring Items'!$C$6:$C$56="Expense")*('Recurring Items'!$H$6:$H$56&lt;&gt;"Skip")*IFERROR(N('Recurring Items'!$D$6:$D$56),0)*(('Recurring Items'!$E$6:$E$56="Monthly")*(DAY(AB323)='Recurring Items'!$F$6:$F$56)+('Recurring Items'!$E$6:$E$56="Bi-weekly")*(WEEKDAY(AB323)=IFERROR(WEEKDAY('Recurring Items'!$G$6:$G$56),0))*(MOD(AB323-IFERROR('Recurring Items'!$G$6:$G$56,0),14)=0)*(AB323&gt;=IFERROR('Recurring Items'!$G$6:$G$56,9000000000))+('Recurring Items'!$E$6:$E$56="Weekly")*(WEEKDAY(AB323)=IFERROR(WEEKDAY('Recurring Items'!$G$6:$G$56),0))*(AB323&gt;=IFERROR('Recurring Items'!$G$6:$G$56,9000000000))+('Recurring Items'!$E$6:$E$56="One-time")*(AB323='Recurring Items'!$G$6:$G$56)))</f>
        <v>141.16</v>
      </c>
      <c r="AF323" s="1" t="n">
        <f aca="false">(IF(AC323=1,'Debt Tracker'!$P$5&gt;0.01,INDEX('Debt Tracker'!$T$5:$AE$29,1,AC323-1)&gt;0.01))*('Recurring Items'!$H$8&lt;&gt;"Skip")*(DAY(AB323)='Recurring Items'!$F$8)*IFERROR(N('Recurring Items'!$D$8),0)+(IF(AC323=1,'Debt Tracker'!$P$6&gt;0.01,INDEX('Debt Tracker'!$T$5:$AE$29,2,AC323-1)&gt;0.01))*('Recurring Items'!$H$9&lt;&gt;"Skip")*(DAY(AB323)='Recurring Items'!$F$9)*IFERROR(N('Recurring Items'!$D$9),0)+(IF(AC323=1,'Debt Tracker'!$P$7&gt;0.01,INDEX('Debt Tracker'!$T$5:$AE$29,3,AC323-1)&gt;0.01))*('Recurring Items'!$H$10&lt;&gt;"Skip")*(DAY(AB323)='Recurring Items'!$F$10)*IFERROR(N('Recurring Items'!$D$10),0)+(IF(AC323=1,'Debt Tracker'!$P$8&gt;0.01,INDEX('Debt Tracker'!$T$5:$AE$29,4,AC323-1)&gt;0.01))*('Recurring Items'!$H$11&lt;&gt;"Skip")*(DAY(AB323)='Recurring Items'!$F$11)*IFERROR(N('Recurring Items'!$D$11),0)+(IF(AC323=1,'Debt Tracker'!$P$9&gt;0.01,INDEX('Debt Tracker'!$T$5:$AE$29,5,AC323-1)&gt;0.01))*('Recurring Items'!$H$12&lt;&gt;"Skip")*(DAY(AB323)='Recurring Items'!$F$12)*IFERROR(N('Recurring Items'!$D$12),0)+(IF(AC323=1,'Debt Tracker'!$P$10&gt;0.01,INDEX('Debt Tracker'!$T$5:$AE$29,6,AC323-1)&gt;0.01))*('Recurring Items'!$H$13&lt;&gt;"Skip")*(DAY(AB323)='Recurring Items'!$F$13)*IFERROR(N('Recurring Items'!$D$13),0)+(IF(AC323=1,'Debt Tracker'!$P$11&gt;0.01,INDEX('Debt Tracker'!$T$5:$AE$29,7,AC323-1)&gt;0.01))*('Recurring Items'!$H$14&lt;&gt;"Skip")*(DAY(AB323)='Recurring Items'!$F$14)*IFERROR(N('Recurring Items'!$D$14),0)+(IF(AC323=1,'Debt Tracker'!$P$12&gt;0.01,INDEX('Debt Tracker'!$T$5:$AE$29,8,AC323-1)&gt;0.01))*('Recurring Items'!$H$15&lt;&gt;"Skip")*(DAY(AB323)='Recurring Items'!$F$15)*IFERROR(N('Recurring Items'!$D$15),0)+(IF(AC323=1,'Debt Tracker'!$P$13&gt;0.01,INDEX('Debt Tracker'!$T$5:$AE$29,9,AC323-1)&gt;0.01))*('Recurring Items'!$H$16&lt;&gt;"Skip")*(DAY(AB323)='Recurring Items'!$F$16)*IFERROR(N('Recurring Items'!$D$16),0)+(IF(AC323=1,'Debt Tracker'!$P$14&gt;0.01,INDEX('Debt Tracker'!$T$5:$AE$29,10,AC323-1)&gt;0.01))*('Recurring Items'!$H$17&lt;&gt;"Skip")*(DAY(AB323)='Recurring Items'!$F$17)*IFERROR(N('Recurring Items'!$D$17),0)+(IF(AC323=1,'Debt Tracker'!$P$15&gt;0.01,INDEX('Debt Tracker'!$T$5:$AE$29,11,AC323-1)&gt;0.01))*('Recurring Items'!$H$18&lt;&gt;"Skip")*(DAY(AB323)='Recurring Items'!$F$18)*IFERROR(N('Recurring Items'!$D$18),0)+(IF(AC323=1,'Debt Tracker'!$P$16&gt;0.01,INDEX('Debt Tracker'!$T$5:$AE$29,12,AC323-1)&gt;0.01))*('Recurring Items'!$H$19&lt;&gt;"Skip")*(DAY(AB323)='Recurring Items'!$F$19)*IFERROR(N('Recurring Items'!$D$19),0)+(IF(AC323=1,'Debt Tracker'!$P$17&gt;0.01,INDEX('Debt Tracker'!$T$5:$AE$29,13,AC323-1)&gt;0.01))*('Recurring Items'!$H$20&lt;&gt;"Skip")*(DAY(AB323)='Recurring Items'!$F$20)*IFERROR(N('Recurring Items'!$D$20),0)+(IF(AC323=1,'Debt Tracker'!$P$18&gt;0.01,INDEX('Debt Tracker'!$T$5:$AE$29,14,AC323-1)&gt;0.01))*('Recurring Items'!$H$21&lt;&gt;"Skip")*(DAY(AB323)='Recurring Items'!$F$21)*IFERROR(N('Recurring Items'!$D$21),0)+(IF(AC323=1,'Debt Tracker'!$P$19&gt;0.01,INDEX('Debt Tracker'!$T$5:$AE$29,15,AC323-1)&gt;0.01))*('Recurring Items'!$H$22&lt;&gt;"Skip")*(DAY(AB323)='Recurring Items'!$F$22)*IFERROR(N('Recurring Items'!$D$22),0)+(IF(AC323=1,'Debt Tracker'!$P$20&gt;0.01,INDEX('Debt Tracker'!$T$5:$AE$29,16,AC323-1)&gt;0.01))*('Recurring Items'!$H$23&lt;&gt;"Skip")*(DAY(AB323)='Recurring Items'!$F$23)*IFERROR(N('Recurring Items'!$D$23),0)+(IF(AC323=1,'Debt Tracker'!$P$21&gt;0.01,INDEX('Debt Tracker'!$T$5:$AE$29,17,AC323-1)&gt;0.01))*('Recurring Items'!$H$24&lt;&gt;"Skip")*(DAY(AB323)='Recurring Items'!$F$24)*IFERROR(N('Recurring Items'!$D$24),0)+(IF(AC323=1,'Debt Tracker'!$P$22&gt;0.01,INDEX('Debt Tracker'!$T$5:$AE$29,18,AC323-1)&gt;0.01))*('Recurring Items'!$H$25&lt;&gt;"Skip")*(DAY(AB323)='Recurring Items'!$F$25)*IFERROR(N('Recurring Items'!$D$25),0)+(IF(AC323=1,'Debt Tracker'!$P$23&gt;0.01,INDEX('Debt Tracker'!$T$5:$AE$29,19,AC323-1)&gt;0.01))*('Recurring Items'!$H$26&lt;&gt;"Skip")*(DAY(AB323)='Recurring Items'!$F$26)*IFERROR(N('Recurring Items'!$D$26),0)+(IF(AC323=1,'Debt Tracker'!$P$24&gt;0.01,INDEX('Debt Tracker'!$T$5:$AE$29,20,AC323-1)&gt;0.01))*('Recurring Items'!$H$27&lt;&gt;"Skip")*(DAY(AB323)='Recurring Items'!$F$27)*IFERROR(N('Recurring Items'!$D$27),0)+(IF(AC323=1,'Debt Tracker'!$P$25&gt;0.01,INDEX('Debt Tracker'!$T$5:$AE$29,21,AC323-1)&gt;0.01))*('Recurring Items'!$H$28&lt;&gt;"Skip")*(DAY(AB323)='Recurring Items'!$F$28)*IFERROR(N('Recurring Items'!$D$28),0)+(IF(AC323=1,'Debt Tracker'!$P$26&gt;0.01,INDEX('Debt Tracker'!$T$5:$AE$29,22,AC323-1)&gt;0.01))*('Recurring Items'!$H$29&lt;&gt;"Skip")*(DAY(AB323)='Recurring Items'!$F$29)*IFERROR(N('Recurring Items'!$D$29),0)+(IF(AC323=1,'Debt Tracker'!$P$27&gt;0.01,INDEX('Debt Tracker'!$T$5:$AE$29,23,AC323-1)&gt;0.01))*('Recurring Items'!$H$30&lt;&gt;"Skip")*(DAY(AB323)='Recurring Items'!$F$30)*IFERROR(N('Recurring Items'!$D$30),0)+(IF(AC323=1,'Debt Tracker'!$P$28&gt;0.01,INDEX('Debt Tracker'!$T$5:$AE$29,24,AC323-1)&gt;0.01))*('Recurring Items'!$H$31&lt;&gt;"Skip")*(DAY(AB323)='Recurring Items'!$F$31)*IFERROR(N('Recurring Items'!$D$31),0)+(IF(AC323=1,'Debt Tracker'!$P$29&gt;0.01,INDEX('Debt Tracker'!$T$5:$AE$29,25,AC323-1)&gt;0.01))*('Recurring Items'!$H$32&lt;&gt;"Skip")*(DAY(AB323)='Recurring Items'!$F$32)*IFERROR(N('Recurring Items'!$D$32),0)</f>
        <v>357.5</v>
      </c>
      <c r="AG323" s="1" t="n">
        <f aca="false">AD323-AE323-AF323</f>
        <v>-498.66</v>
      </c>
      <c r="AH323" s="1" t="n">
        <f aca="false">AH322+AG323</f>
        <v>9305.48</v>
      </c>
    </row>
    <row r="324" customFormat="false" ht="15" hidden="false" customHeight="true" outlineLevel="0" collapsed="false">
      <c r="AA324" s="1" t="n">
        <v>124</v>
      </c>
      <c r="AB324" s="145" t="n">
        <f aca="false">$D$3+124</f>
        <v>46267</v>
      </c>
      <c r="AC324" s="1" t="n">
        <f aca="false">MIN(12,1+DATEDIF($D$3,AB324,"M"))</f>
        <v>5</v>
      </c>
      <c r="AD324" s="1" t="n">
        <f aca="false">SUMPRODUCT(('Recurring Items'!$C$6:$C$56="Income")*('Recurring Items'!$H$6:$H$56&lt;&gt;"Skip")*IFERROR(N('Recurring Items'!$D$6:$D$56),0)*(('Recurring Items'!$E$6:$E$56="Monthly")*(DAY(AB324)='Recurring Items'!$F$6:$F$56)+('Recurring Items'!$E$6:$E$56="Bi-weekly")*(WEEKDAY(AB324)=IFERROR(WEEKDAY('Recurring Items'!$G$6:$G$56),0))*(MOD(AB324-IFERROR('Recurring Items'!$G$6:$G$56,0),14)=0)*(AB324&gt;=IFERROR('Recurring Items'!$G$6:$G$56,9000000000))+('Recurring Items'!$E$6:$E$56="Weekly")*(WEEKDAY(AB324)=IFERROR(WEEKDAY('Recurring Items'!$G$6:$G$56),0))*(AB324&gt;=IFERROR('Recurring Items'!$G$6:$G$56,9000000000))+('Recurring Items'!$E$6:$E$56="One-time")*(AB324='Recurring Items'!$G$6:$G$56)))</f>
        <v>0</v>
      </c>
      <c r="AE324" s="1" t="n">
        <f aca="false">SUMPRODUCT(('Recurring Items'!$C$6:$C$56="Expense")*('Recurring Items'!$H$6:$H$56&lt;&gt;"Skip")*IFERROR(N('Recurring Items'!$D$6:$D$56),0)*(('Recurring Items'!$E$6:$E$56="Monthly")*(DAY(AB324)='Recurring Items'!$F$6:$F$56)+('Recurring Items'!$E$6:$E$56="Bi-weekly")*(WEEKDAY(AB324)=IFERROR(WEEKDAY('Recurring Items'!$G$6:$G$56),0))*(MOD(AB324-IFERROR('Recurring Items'!$G$6:$G$56,0),14)=0)*(AB324&gt;=IFERROR('Recurring Items'!$G$6:$G$56,9000000000))+('Recurring Items'!$E$6:$E$56="Weekly")*(WEEKDAY(AB324)=IFERROR(WEEKDAY('Recurring Items'!$G$6:$G$56),0))*(AB324&gt;=IFERROR('Recurring Items'!$G$6:$G$56,9000000000))+('Recurring Items'!$E$6:$E$56="One-time")*(AB324='Recurring Items'!$G$6:$G$56)))</f>
        <v>0</v>
      </c>
      <c r="AF324" s="1" t="n">
        <f aca="false">(IF(AC324=1,'Debt Tracker'!$P$5&gt;0.01,INDEX('Debt Tracker'!$T$5:$AE$29,1,AC324-1)&gt;0.01))*('Recurring Items'!$H$8&lt;&gt;"Skip")*(DAY(AB324)='Recurring Items'!$F$8)*IFERROR(N('Recurring Items'!$D$8),0)+(IF(AC324=1,'Debt Tracker'!$P$6&gt;0.01,INDEX('Debt Tracker'!$T$5:$AE$29,2,AC324-1)&gt;0.01))*('Recurring Items'!$H$9&lt;&gt;"Skip")*(DAY(AB324)='Recurring Items'!$F$9)*IFERROR(N('Recurring Items'!$D$9),0)+(IF(AC324=1,'Debt Tracker'!$P$7&gt;0.01,INDEX('Debt Tracker'!$T$5:$AE$29,3,AC324-1)&gt;0.01))*('Recurring Items'!$H$10&lt;&gt;"Skip")*(DAY(AB324)='Recurring Items'!$F$10)*IFERROR(N('Recurring Items'!$D$10),0)+(IF(AC324=1,'Debt Tracker'!$P$8&gt;0.01,INDEX('Debt Tracker'!$T$5:$AE$29,4,AC324-1)&gt;0.01))*('Recurring Items'!$H$11&lt;&gt;"Skip")*(DAY(AB324)='Recurring Items'!$F$11)*IFERROR(N('Recurring Items'!$D$11),0)+(IF(AC324=1,'Debt Tracker'!$P$9&gt;0.01,INDEX('Debt Tracker'!$T$5:$AE$29,5,AC324-1)&gt;0.01))*('Recurring Items'!$H$12&lt;&gt;"Skip")*(DAY(AB324)='Recurring Items'!$F$12)*IFERROR(N('Recurring Items'!$D$12),0)+(IF(AC324=1,'Debt Tracker'!$P$10&gt;0.01,INDEX('Debt Tracker'!$T$5:$AE$29,6,AC324-1)&gt;0.01))*('Recurring Items'!$H$13&lt;&gt;"Skip")*(DAY(AB324)='Recurring Items'!$F$13)*IFERROR(N('Recurring Items'!$D$13),0)+(IF(AC324=1,'Debt Tracker'!$P$11&gt;0.01,INDEX('Debt Tracker'!$T$5:$AE$29,7,AC324-1)&gt;0.01))*('Recurring Items'!$H$14&lt;&gt;"Skip")*(DAY(AB324)='Recurring Items'!$F$14)*IFERROR(N('Recurring Items'!$D$14),0)+(IF(AC324=1,'Debt Tracker'!$P$12&gt;0.01,INDEX('Debt Tracker'!$T$5:$AE$29,8,AC324-1)&gt;0.01))*('Recurring Items'!$H$15&lt;&gt;"Skip")*(DAY(AB324)='Recurring Items'!$F$15)*IFERROR(N('Recurring Items'!$D$15),0)+(IF(AC324=1,'Debt Tracker'!$P$13&gt;0.01,INDEX('Debt Tracker'!$T$5:$AE$29,9,AC324-1)&gt;0.01))*('Recurring Items'!$H$16&lt;&gt;"Skip")*(DAY(AB324)='Recurring Items'!$F$16)*IFERROR(N('Recurring Items'!$D$16),0)+(IF(AC324=1,'Debt Tracker'!$P$14&gt;0.01,INDEX('Debt Tracker'!$T$5:$AE$29,10,AC324-1)&gt;0.01))*('Recurring Items'!$H$17&lt;&gt;"Skip")*(DAY(AB324)='Recurring Items'!$F$17)*IFERROR(N('Recurring Items'!$D$17),0)+(IF(AC324=1,'Debt Tracker'!$P$15&gt;0.01,INDEX('Debt Tracker'!$T$5:$AE$29,11,AC324-1)&gt;0.01))*('Recurring Items'!$H$18&lt;&gt;"Skip")*(DAY(AB324)='Recurring Items'!$F$18)*IFERROR(N('Recurring Items'!$D$18),0)+(IF(AC324=1,'Debt Tracker'!$P$16&gt;0.01,INDEX('Debt Tracker'!$T$5:$AE$29,12,AC324-1)&gt;0.01))*('Recurring Items'!$H$19&lt;&gt;"Skip")*(DAY(AB324)='Recurring Items'!$F$19)*IFERROR(N('Recurring Items'!$D$19),0)+(IF(AC324=1,'Debt Tracker'!$P$17&gt;0.01,INDEX('Debt Tracker'!$T$5:$AE$29,13,AC324-1)&gt;0.01))*('Recurring Items'!$H$20&lt;&gt;"Skip")*(DAY(AB324)='Recurring Items'!$F$20)*IFERROR(N('Recurring Items'!$D$20),0)+(IF(AC324=1,'Debt Tracker'!$P$18&gt;0.01,INDEX('Debt Tracker'!$T$5:$AE$29,14,AC324-1)&gt;0.01))*('Recurring Items'!$H$21&lt;&gt;"Skip")*(DAY(AB324)='Recurring Items'!$F$21)*IFERROR(N('Recurring Items'!$D$21),0)+(IF(AC324=1,'Debt Tracker'!$P$19&gt;0.01,INDEX('Debt Tracker'!$T$5:$AE$29,15,AC324-1)&gt;0.01))*('Recurring Items'!$H$22&lt;&gt;"Skip")*(DAY(AB324)='Recurring Items'!$F$22)*IFERROR(N('Recurring Items'!$D$22),0)+(IF(AC324=1,'Debt Tracker'!$P$20&gt;0.01,INDEX('Debt Tracker'!$T$5:$AE$29,16,AC324-1)&gt;0.01))*('Recurring Items'!$H$23&lt;&gt;"Skip")*(DAY(AB324)='Recurring Items'!$F$23)*IFERROR(N('Recurring Items'!$D$23),0)+(IF(AC324=1,'Debt Tracker'!$P$21&gt;0.01,INDEX('Debt Tracker'!$T$5:$AE$29,17,AC324-1)&gt;0.01))*('Recurring Items'!$H$24&lt;&gt;"Skip")*(DAY(AB324)='Recurring Items'!$F$24)*IFERROR(N('Recurring Items'!$D$24),0)+(IF(AC324=1,'Debt Tracker'!$P$22&gt;0.01,INDEX('Debt Tracker'!$T$5:$AE$29,18,AC324-1)&gt;0.01))*('Recurring Items'!$H$25&lt;&gt;"Skip")*(DAY(AB324)='Recurring Items'!$F$25)*IFERROR(N('Recurring Items'!$D$25),0)+(IF(AC324=1,'Debt Tracker'!$P$23&gt;0.01,INDEX('Debt Tracker'!$T$5:$AE$29,19,AC324-1)&gt;0.01))*('Recurring Items'!$H$26&lt;&gt;"Skip")*(DAY(AB324)='Recurring Items'!$F$26)*IFERROR(N('Recurring Items'!$D$26),0)+(IF(AC324=1,'Debt Tracker'!$P$24&gt;0.01,INDEX('Debt Tracker'!$T$5:$AE$29,20,AC324-1)&gt;0.01))*('Recurring Items'!$H$27&lt;&gt;"Skip")*(DAY(AB324)='Recurring Items'!$F$27)*IFERROR(N('Recurring Items'!$D$27),0)+(IF(AC324=1,'Debt Tracker'!$P$25&gt;0.01,INDEX('Debt Tracker'!$T$5:$AE$29,21,AC324-1)&gt;0.01))*('Recurring Items'!$H$28&lt;&gt;"Skip")*(DAY(AB324)='Recurring Items'!$F$28)*IFERROR(N('Recurring Items'!$D$28),0)+(IF(AC324=1,'Debt Tracker'!$P$26&gt;0.01,INDEX('Debt Tracker'!$T$5:$AE$29,22,AC324-1)&gt;0.01))*('Recurring Items'!$H$29&lt;&gt;"Skip")*(DAY(AB324)='Recurring Items'!$F$29)*IFERROR(N('Recurring Items'!$D$29),0)+(IF(AC324=1,'Debt Tracker'!$P$27&gt;0.01,INDEX('Debt Tracker'!$T$5:$AE$29,23,AC324-1)&gt;0.01))*('Recurring Items'!$H$30&lt;&gt;"Skip")*(DAY(AB324)='Recurring Items'!$F$30)*IFERROR(N('Recurring Items'!$D$30),0)+(IF(AC324=1,'Debt Tracker'!$P$28&gt;0.01,INDEX('Debt Tracker'!$T$5:$AE$29,24,AC324-1)&gt;0.01))*('Recurring Items'!$H$31&lt;&gt;"Skip")*(DAY(AB324)='Recurring Items'!$F$31)*IFERROR(N('Recurring Items'!$D$31),0)+(IF(AC324=1,'Debt Tracker'!$P$29&gt;0.01,INDEX('Debt Tracker'!$T$5:$AE$29,25,AC324-1)&gt;0.01))*('Recurring Items'!$H$32&lt;&gt;"Skip")*(DAY(AB324)='Recurring Items'!$F$32)*IFERROR(N('Recurring Items'!$D$32),0)</f>
        <v>1309.17</v>
      </c>
      <c r="AG324" s="1" t="n">
        <f aca="false">AD324-AE324-AF324</f>
        <v>-1309.17</v>
      </c>
      <c r="AH324" s="1" t="n">
        <f aca="false">AH323+AG324</f>
        <v>7996.31</v>
      </c>
    </row>
    <row r="325" customFormat="false" ht="15" hidden="false" customHeight="true" outlineLevel="0" collapsed="false">
      <c r="AA325" s="1" t="n">
        <v>125</v>
      </c>
      <c r="AB325" s="145" t="n">
        <f aca="false">$D$3+125</f>
        <v>46268</v>
      </c>
      <c r="AC325" s="1" t="n">
        <f aca="false">MIN(12,1+DATEDIF($D$3,AB325,"M"))</f>
        <v>5</v>
      </c>
      <c r="AD325" s="1" t="n">
        <f aca="false">SUMPRODUCT(('Recurring Items'!$C$6:$C$56="Income")*('Recurring Items'!$H$6:$H$56&lt;&gt;"Skip")*IFERROR(N('Recurring Items'!$D$6:$D$56),0)*(('Recurring Items'!$E$6:$E$56="Monthly")*(DAY(AB325)='Recurring Items'!$F$6:$F$56)+('Recurring Items'!$E$6:$E$56="Bi-weekly")*(WEEKDAY(AB325)=IFERROR(WEEKDAY('Recurring Items'!$G$6:$G$56),0))*(MOD(AB325-IFERROR('Recurring Items'!$G$6:$G$56,0),14)=0)*(AB325&gt;=IFERROR('Recurring Items'!$G$6:$G$56,9000000000))+('Recurring Items'!$E$6:$E$56="Weekly")*(WEEKDAY(AB325)=IFERROR(WEEKDAY('Recurring Items'!$G$6:$G$56),0))*(AB325&gt;=IFERROR('Recurring Items'!$G$6:$G$56,9000000000))+('Recurring Items'!$E$6:$E$56="One-time")*(AB325='Recurring Items'!$G$6:$G$56)))</f>
        <v>0</v>
      </c>
      <c r="AE325" s="1" t="n">
        <f aca="false">SUMPRODUCT(('Recurring Items'!$C$6:$C$56="Expense")*('Recurring Items'!$H$6:$H$56&lt;&gt;"Skip")*IFERROR(N('Recurring Items'!$D$6:$D$56),0)*(('Recurring Items'!$E$6:$E$56="Monthly")*(DAY(AB325)='Recurring Items'!$F$6:$F$56)+('Recurring Items'!$E$6:$E$56="Bi-weekly")*(WEEKDAY(AB325)=IFERROR(WEEKDAY('Recurring Items'!$G$6:$G$56),0))*(MOD(AB325-IFERROR('Recurring Items'!$G$6:$G$56,0),14)=0)*(AB325&gt;=IFERROR('Recurring Items'!$G$6:$G$56,9000000000))+('Recurring Items'!$E$6:$E$56="Weekly")*(WEEKDAY(AB325)=IFERROR(WEEKDAY('Recurring Items'!$G$6:$G$56),0))*(AB325&gt;=IFERROR('Recurring Items'!$G$6:$G$56,9000000000))+('Recurring Items'!$E$6:$E$56="One-time")*(AB325='Recurring Items'!$G$6:$G$56)))</f>
        <v>927.53</v>
      </c>
      <c r="AF325" s="1" t="n">
        <f aca="false">(IF(AC325=1,'Debt Tracker'!$P$5&gt;0.01,INDEX('Debt Tracker'!$T$5:$AE$29,1,AC325-1)&gt;0.01))*('Recurring Items'!$H$8&lt;&gt;"Skip")*(DAY(AB325)='Recurring Items'!$F$8)*IFERROR(N('Recurring Items'!$D$8),0)+(IF(AC325=1,'Debt Tracker'!$P$6&gt;0.01,INDEX('Debt Tracker'!$T$5:$AE$29,2,AC325-1)&gt;0.01))*('Recurring Items'!$H$9&lt;&gt;"Skip")*(DAY(AB325)='Recurring Items'!$F$9)*IFERROR(N('Recurring Items'!$D$9),0)+(IF(AC325=1,'Debt Tracker'!$P$7&gt;0.01,INDEX('Debt Tracker'!$T$5:$AE$29,3,AC325-1)&gt;0.01))*('Recurring Items'!$H$10&lt;&gt;"Skip")*(DAY(AB325)='Recurring Items'!$F$10)*IFERROR(N('Recurring Items'!$D$10),0)+(IF(AC325=1,'Debt Tracker'!$P$8&gt;0.01,INDEX('Debt Tracker'!$T$5:$AE$29,4,AC325-1)&gt;0.01))*('Recurring Items'!$H$11&lt;&gt;"Skip")*(DAY(AB325)='Recurring Items'!$F$11)*IFERROR(N('Recurring Items'!$D$11),0)+(IF(AC325=1,'Debt Tracker'!$P$9&gt;0.01,INDEX('Debt Tracker'!$T$5:$AE$29,5,AC325-1)&gt;0.01))*('Recurring Items'!$H$12&lt;&gt;"Skip")*(DAY(AB325)='Recurring Items'!$F$12)*IFERROR(N('Recurring Items'!$D$12),0)+(IF(AC325=1,'Debt Tracker'!$P$10&gt;0.01,INDEX('Debt Tracker'!$T$5:$AE$29,6,AC325-1)&gt;0.01))*('Recurring Items'!$H$13&lt;&gt;"Skip")*(DAY(AB325)='Recurring Items'!$F$13)*IFERROR(N('Recurring Items'!$D$13),0)+(IF(AC325=1,'Debt Tracker'!$P$11&gt;0.01,INDEX('Debt Tracker'!$T$5:$AE$29,7,AC325-1)&gt;0.01))*('Recurring Items'!$H$14&lt;&gt;"Skip")*(DAY(AB325)='Recurring Items'!$F$14)*IFERROR(N('Recurring Items'!$D$14),0)+(IF(AC325=1,'Debt Tracker'!$P$12&gt;0.01,INDEX('Debt Tracker'!$T$5:$AE$29,8,AC325-1)&gt;0.01))*('Recurring Items'!$H$15&lt;&gt;"Skip")*(DAY(AB325)='Recurring Items'!$F$15)*IFERROR(N('Recurring Items'!$D$15),0)+(IF(AC325=1,'Debt Tracker'!$P$13&gt;0.01,INDEX('Debt Tracker'!$T$5:$AE$29,9,AC325-1)&gt;0.01))*('Recurring Items'!$H$16&lt;&gt;"Skip")*(DAY(AB325)='Recurring Items'!$F$16)*IFERROR(N('Recurring Items'!$D$16),0)+(IF(AC325=1,'Debt Tracker'!$P$14&gt;0.01,INDEX('Debt Tracker'!$T$5:$AE$29,10,AC325-1)&gt;0.01))*('Recurring Items'!$H$17&lt;&gt;"Skip")*(DAY(AB325)='Recurring Items'!$F$17)*IFERROR(N('Recurring Items'!$D$17),0)+(IF(AC325=1,'Debt Tracker'!$P$15&gt;0.01,INDEX('Debt Tracker'!$T$5:$AE$29,11,AC325-1)&gt;0.01))*('Recurring Items'!$H$18&lt;&gt;"Skip")*(DAY(AB325)='Recurring Items'!$F$18)*IFERROR(N('Recurring Items'!$D$18),0)+(IF(AC325=1,'Debt Tracker'!$P$16&gt;0.01,INDEX('Debt Tracker'!$T$5:$AE$29,12,AC325-1)&gt;0.01))*('Recurring Items'!$H$19&lt;&gt;"Skip")*(DAY(AB325)='Recurring Items'!$F$19)*IFERROR(N('Recurring Items'!$D$19),0)+(IF(AC325=1,'Debt Tracker'!$P$17&gt;0.01,INDEX('Debt Tracker'!$T$5:$AE$29,13,AC325-1)&gt;0.01))*('Recurring Items'!$H$20&lt;&gt;"Skip")*(DAY(AB325)='Recurring Items'!$F$20)*IFERROR(N('Recurring Items'!$D$20),0)+(IF(AC325=1,'Debt Tracker'!$P$18&gt;0.01,INDEX('Debt Tracker'!$T$5:$AE$29,14,AC325-1)&gt;0.01))*('Recurring Items'!$H$21&lt;&gt;"Skip")*(DAY(AB325)='Recurring Items'!$F$21)*IFERROR(N('Recurring Items'!$D$21),0)+(IF(AC325=1,'Debt Tracker'!$P$19&gt;0.01,INDEX('Debt Tracker'!$T$5:$AE$29,15,AC325-1)&gt;0.01))*('Recurring Items'!$H$22&lt;&gt;"Skip")*(DAY(AB325)='Recurring Items'!$F$22)*IFERROR(N('Recurring Items'!$D$22),0)+(IF(AC325=1,'Debt Tracker'!$P$20&gt;0.01,INDEX('Debt Tracker'!$T$5:$AE$29,16,AC325-1)&gt;0.01))*('Recurring Items'!$H$23&lt;&gt;"Skip")*(DAY(AB325)='Recurring Items'!$F$23)*IFERROR(N('Recurring Items'!$D$23),0)+(IF(AC325=1,'Debt Tracker'!$P$21&gt;0.01,INDEX('Debt Tracker'!$T$5:$AE$29,17,AC325-1)&gt;0.01))*('Recurring Items'!$H$24&lt;&gt;"Skip")*(DAY(AB325)='Recurring Items'!$F$24)*IFERROR(N('Recurring Items'!$D$24),0)+(IF(AC325=1,'Debt Tracker'!$P$22&gt;0.01,INDEX('Debt Tracker'!$T$5:$AE$29,18,AC325-1)&gt;0.01))*('Recurring Items'!$H$25&lt;&gt;"Skip")*(DAY(AB325)='Recurring Items'!$F$25)*IFERROR(N('Recurring Items'!$D$25),0)+(IF(AC325=1,'Debt Tracker'!$P$23&gt;0.01,INDEX('Debt Tracker'!$T$5:$AE$29,19,AC325-1)&gt;0.01))*('Recurring Items'!$H$26&lt;&gt;"Skip")*(DAY(AB325)='Recurring Items'!$F$26)*IFERROR(N('Recurring Items'!$D$26),0)+(IF(AC325=1,'Debt Tracker'!$P$24&gt;0.01,INDEX('Debt Tracker'!$T$5:$AE$29,20,AC325-1)&gt;0.01))*('Recurring Items'!$H$27&lt;&gt;"Skip")*(DAY(AB325)='Recurring Items'!$F$27)*IFERROR(N('Recurring Items'!$D$27),0)+(IF(AC325=1,'Debt Tracker'!$P$25&gt;0.01,INDEX('Debt Tracker'!$T$5:$AE$29,21,AC325-1)&gt;0.01))*('Recurring Items'!$H$28&lt;&gt;"Skip")*(DAY(AB325)='Recurring Items'!$F$28)*IFERROR(N('Recurring Items'!$D$28),0)+(IF(AC325=1,'Debt Tracker'!$P$26&gt;0.01,INDEX('Debt Tracker'!$T$5:$AE$29,22,AC325-1)&gt;0.01))*('Recurring Items'!$H$29&lt;&gt;"Skip")*(DAY(AB325)='Recurring Items'!$F$29)*IFERROR(N('Recurring Items'!$D$29),0)+(IF(AC325=1,'Debt Tracker'!$P$27&gt;0.01,INDEX('Debt Tracker'!$T$5:$AE$29,23,AC325-1)&gt;0.01))*('Recurring Items'!$H$30&lt;&gt;"Skip")*(DAY(AB325)='Recurring Items'!$F$30)*IFERROR(N('Recurring Items'!$D$30),0)+(IF(AC325=1,'Debt Tracker'!$P$28&gt;0.01,INDEX('Debt Tracker'!$T$5:$AE$29,24,AC325-1)&gt;0.01))*('Recurring Items'!$H$31&lt;&gt;"Skip")*(DAY(AB325)='Recurring Items'!$F$31)*IFERROR(N('Recurring Items'!$D$31),0)+(IF(AC325=1,'Debt Tracker'!$P$29&gt;0.01,INDEX('Debt Tracker'!$T$5:$AE$29,25,AC325-1)&gt;0.01))*('Recurring Items'!$H$32&lt;&gt;"Skip")*(DAY(AB325)='Recurring Items'!$F$32)*IFERROR(N('Recurring Items'!$D$32),0)</f>
        <v>0</v>
      </c>
      <c r="AG325" s="1" t="n">
        <f aca="false">AD325-AE325-AF325</f>
        <v>-927.53</v>
      </c>
      <c r="AH325" s="1" t="n">
        <f aca="false">AH324+AG325</f>
        <v>7068.78</v>
      </c>
    </row>
    <row r="326" customFormat="false" ht="15" hidden="false" customHeight="true" outlineLevel="0" collapsed="false">
      <c r="AA326" s="1" t="n">
        <v>126</v>
      </c>
      <c r="AB326" s="145" t="n">
        <f aca="false">$D$3+126</f>
        <v>46269</v>
      </c>
      <c r="AC326" s="1" t="n">
        <f aca="false">MIN(12,1+DATEDIF($D$3,AB326,"M"))</f>
        <v>5</v>
      </c>
      <c r="AD326" s="1" t="n">
        <f aca="false">SUMPRODUCT(('Recurring Items'!$C$6:$C$56="Income")*('Recurring Items'!$H$6:$H$56&lt;&gt;"Skip")*IFERROR(N('Recurring Items'!$D$6:$D$56),0)*(('Recurring Items'!$E$6:$E$56="Monthly")*(DAY(AB326)='Recurring Items'!$F$6:$F$56)+('Recurring Items'!$E$6:$E$56="Bi-weekly")*(WEEKDAY(AB326)=IFERROR(WEEKDAY('Recurring Items'!$G$6:$G$56),0))*(MOD(AB326-IFERROR('Recurring Items'!$G$6:$G$56,0),14)=0)*(AB326&gt;=IFERROR('Recurring Items'!$G$6:$G$56,9000000000))+('Recurring Items'!$E$6:$E$56="Weekly")*(WEEKDAY(AB326)=IFERROR(WEEKDAY('Recurring Items'!$G$6:$G$56),0))*(AB326&gt;=IFERROR('Recurring Items'!$G$6:$G$56,9000000000))+('Recurring Items'!$E$6:$E$56="One-time")*(AB326='Recurring Items'!$G$6:$G$56)))</f>
        <v>3819.79</v>
      </c>
      <c r="AE326" s="1" t="n">
        <f aca="false">SUMPRODUCT(('Recurring Items'!$C$6:$C$56="Expense")*('Recurring Items'!$H$6:$H$56&lt;&gt;"Skip")*IFERROR(N('Recurring Items'!$D$6:$D$56),0)*(('Recurring Items'!$E$6:$E$56="Monthly")*(DAY(AB326)='Recurring Items'!$F$6:$F$56)+('Recurring Items'!$E$6:$E$56="Bi-weekly")*(WEEKDAY(AB326)=IFERROR(WEEKDAY('Recurring Items'!$G$6:$G$56),0))*(MOD(AB326-IFERROR('Recurring Items'!$G$6:$G$56,0),14)=0)*(AB326&gt;=IFERROR('Recurring Items'!$G$6:$G$56,9000000000))+('Recurring Items'!$E$6:$E$56="Weekly")*(WEEKDAY(AB326)=IFERROR(WEEKDAY('Recurring Items'!$G$6:$G$56),0))*(AB326&gt;=IFERROR('Recurring Items'!$G$6:$G$56,9000000000))+('Recurring Items'!$E$6:$E$56="One-time")*(AB326='Recurring Items'!$G$6:$G$56)))</f>
        <v>460</v>
      </c>
      <c r="AF326" s="1" t="n">
        <f aca="false">(IF(AC326=1,'Debt Tracker'!$P$5&gt;0.01,INDEX('Debt Tracker'!$T$5:$AE$29,1,AC326-1)&gt;0.01))*('Recurring Items'!$H$8&lt;&gt;"Skip")*(DAY(AB326)='Recurring Items'!$F$8)*IFERROR(N('Recurring Items'!$D$8),0)+(IF(AC326=1,'Debt Tracker'!$P$6&gt;0.01,INDEX('Debt Tracker'!$T$5:$AE$29,2,AC326-1)&gt;0.01))*('Recurring Items'!$H$9&lt;&gt;"Skip")*(DAY(AB326)='Recurring Items'!$F$9)*IFERROR(N('Recurring Items'!$D$9),0)+(IF(AC326=1,'Debt Tracker'!$P$7&gt;0.01,INDEX('Debt Tracker'!$T$5:$AE$29,3,AC326-1)&gt;0.01))*('Recurring Items'!$H$10&lt;&gt;"Skip")*(DAY(AB326)='Recurring Items'!$F$10)*IFERROR(N('Recurring Items'!$D$10),0)+(IF(AC326=1,'Debt Tracker'!$P$8&gt;0.01,INDEX('Debt Tracker'!$T$5:$AE$29,4,AC326-1)&gt;0.01))*('Recurring Items'!$H$11&lt;&gt;"Skip")*(DAY(AB326)='Recurring Items'!$F$11)*IFERROR(N('Recurring Items'!$D$11),0)+(IF(AC326=1,'Debt Tracker'!$P$9&gt;0.01,INDEX('Debt Tracker'!$T$5:$AE$29,5,AC326-1)&gt;0.01))*('Recurring Items'!$H$12&lt;&gt;"Skip")*(DAY(AB326)='Recurring Items'!$F$12)*IFERROR(N('Recurring Items'!$D$12),0)+(IF(AC326=1,'Debt Tracker'!$P$10&gt;0.01,INDEX('Debt Tracker'!$T$5:$AE$29,6,AC326-1)&gt;0.01))*('Recurring Items'!$H$13&lt;&gt;"Skip")*(DAY(AB326)='Recurring Items'!$F$13)*IFERROR(N('Recurring Items'!$D$13),0)+(IF(AC326=1,'Debt Tracker'!$P$11&gt;0.01,INDEX('Debt Tracker'!$T$5:$AE$29,7,AC326-1)&gt;0.01))*('Recurring Items'!$H$14&lt;&gt;"Skip")*(DAY(AB326)='Recurring Items'!$F$14)*IFERROR(N('Recurring Items'!$D$14),0)+(IF(AC326=1,'Debt Tracker'!$P$12&gt;0.01,INDEX('Debt Tracker'!$T$5:$AE$29,8,AC326-1)&gt;0.01))*('Recurring Items'!$H$15&lt;&gt;"Skip")*(DAY(AB326)='Recurring Items'!$F$15)*IFERROR(N('Recurring Items'!$D$15),0)+(IF(AC326=1,'Debt Tracker'!$P$13&gt;0.01,INDEX('Debt Tracker'!$T$5:$AE$29,9,AC326-1)&gt;0.01))*('Recurring Items'!$H$16&lt;&gt;"Skip")*(DAY(AB326)='Recurring Items'!$F$16)*IFERROR(N('Recurring Items'!$D$16),0)+(IF(AC326=1,'Debt Tracker'!$P$14&gt;0.01,INDEX('Debt Tracker'!$T$5:$AE$29,10,AC326-1)&gt;0.01))*('Recurring Items'!$H$17&lt;&gt;"Skip")*(DAY(AB326)='Recurring Items'!$F$17)*IFERROR(N('Recurring Items'!$D$17),0)+(IF(AC326=1,'Debt Tracker'!$P$15&gt;0.01,INDEX('Debt Tracker'!$T$5:$AE$29,11,AC326-1)&gt;0.01))*('Recurring Items'!$H$18&lt;&gt;"Skip")*(DAY(AB326)='Recurring Items'!$F$18)*IFERROR(N('Recurring Items'!$D$18),0)+(IF(AC326=1,'Debt Tracker'!$P$16&gt;0.01,INDEX('Debt Tracker'!$T$5:$AE$29,12,AC326-1)&gt;0.01))*('Recurring Items'!$H$19&lt;&gt;"Skip")*(DAY(AB326)='Recurring Items'!$F$19)*IFERROR(N('Recurring Items'!$D$19),0)+(IF(AC326=1,'Debt Tracker'!$P$17&gt;0.01,INDEX('Debt Tracker'!$T$5:$AE$29,13,AC326-1)&gt;0.01))*('Recurring Items'!$H$20&lt;&gt;"Skip")*(DAY(AB326)='Recurring Items'!$F$20)*IFERROR(N('Recurring Items'!$D$20),0)+(IF(AC326=1,'Debt Tracker'!$P$18&gt;0.01,INDEX('Debt Tracker'!$T$5:$AE$29,14,AC326-1)&gt;0.01))*('Recurring Items'!$H$21&lt;&gt;"Skip")*(DAY(AB326)='Recurring Items'!$F$21)*IFERROR(N('Recurring Items'!$D$21),0)+(IF(AC326=1,'Debt Tracker'!$P$19&gt;0.01,INDEX('Debt Tracker'!$T$5:$AE$29,15,AC326-1)&gt;0.01))*('Recurring Items'!$H$22&lt;&gt;"Skip")*(DAY(AB326)='Recurring Items'!$F$22)*IFERROR(N('Recurring Items'!$D$22),0)+(IF(AC326=1,'Debt Tracker'!$P$20&gt;0.01,INDEX('Debt Tracker'!$T$5:$AE$29,16,AC326-1)&gt;0.01))*('Recurring Items'!$H$23&lt;&gt;"Skip")*(DAY(AB326)='Recurring Items'!$F$23)*IFERROR(N('Recurring Items'!$D$23),0)+(IF(AC326=1,'Debt Tracker'!$P$21&gt;0.01,INDEX('Debt Tracker'!$T$5:$AE$29,17,AC326-1)&gt;0.01))*('Recurring Items'!$H$24&lt;&gt;"Skip")*(DAY(AB326)='Recurring Items'!$F$24)*IFERROR(N('Recurring Items'!$D$24),0)+(IF(AC326=1,'Debt Tracker'!$P$22&gt;0.01,INDEX('Debt Tracker'!$T$5:$AE$29,18,AC326-1)&gt;0.01))*('Recurring Items'!$H$25&lt;&gt;"Skip")*(DAY(AB326)='Recurring Items'!$F$25)*IFERROR(N('Recurring Items'!$D$25),0)+(IF(AC326=1,'Debt Tracker'!$P$23&gt;0.01,INDEX('Debt Tracker'!$T$5:$AE$29,19,AC326-1)&gt;0.01))*('Recurring Items'!$H$26&lt;&gt;"Skip")*(DAY(AB326)='Recurring Items'!$F$26)*IFERROR(N('Recurring Items'!$D$26),0)+(IF(AC326=1,'Debt Tracker'!$P$24&gt;0.01,INDEX('Debt Tracker'!$T$5:$AE$29,20,AC326-1)&gt;0.01))*('Recurring Items'!$H$27&lt;&gt;"Skip")*(DAY(AB326)='Recurring Items'!$F$27)*IFERROR(N('Recurring Items'!$D$27),0)+(IF(AC326=1,'Debt Tracker'!$P$25&gt;0.01,INDEX('Debt Tracker'!$T$5:$AE$29,21,AC326-1)&gt;0.01))*('Recurring Items'!$H$28&lt;&gt;"Skip")*(DAY(AB326)='Recurring Items'!$F$28)*IFERROR(N('Recurring Items'!$D$28),0)+(IF(AC326=1,'Debt Tracker'!$P$26&gt;0.01,INDEX('Debt Tracker'!$T$5:$AE$29,22,AC326-1)&gt;0.01))*('Recurring Items'!$H$29&lt;&gt;"Skip")*(DAY(AB326)='Recurring Items'!$F$29)*IFERROR(N('Recurring Items'!$D$29),0)+(IF(AC326=1,'Debt Tracker'!$P$27&gt;0.01,INDEX('Debt Tracker'!$T$5:$AE$29,23,AC326-1)&gt;0.01))*('Recurring Items'!$H$30&lt;&gt;"Skip")*(DAY(AB326)='Recurring Items'!$F$30)*IFERROR(N('Recurring Items'!$D$30),0)+(IF(AC326=1,'Debt Tracker'!$P$28&gt;0.01,INDEX('Debt Tracker'!$T$5:$AE$29,24,AC326-1)&gt;0.01))*('Recurring Items'!$H$31&lt;&gt;"Skip")*(DAY(AB326)='Recurring Items'!$F$31)*IFERROR(N('Recurring Items'!$D$31),0)+(IF(AC326=1,'Debt Tracker'!$P$29&gt;0.01,INDEX('Debt Tracker'!$T$5:$AE$29,25,AC326-1)&gt;0.01))*('Recurring Items'!$H$32&lt;&gt;"Skip")*(DAY(AB326)='Recurring Items'!$F$32)*IFERROR(N('Recurring Items'!$D$32),0)</f>
        <v>0</v>
      </c>
      <c r="AG326" s="1" t="n">
        <f aca="false">AD326-AE326-AF326</f>
        <v>3359.79</v>
      </c>
      <c r="AH326" s="1" t="n">
        <f aca="false">AH325+AG326</f>
        <v>10428.57</v>
      </c>
    </row>
    <row r="327" customFormat="false" ht="15" hidden="false" customHeight="true" outlineLevel="0" collapsed="false">
      <c r="AA327" s="1" t="n">
        <v>127</v>
      </c>
      <c r="AB327" s="145" t="n">
        <f aca="false">$D$3+127</f>
        <v>46270</v>
      </c>
      <c r="AC327" s="1" t="n">
        <f aca="false">MIN(12,1+DATEDIF($D$3,AB327,"M"))</f>
        <v>5</v>
      </c>
      <c r="AD327" s="1" t="n">
        <f aca="false">SUMPRODUCT(('Recurring Items'!$C$6:$C$56="Income")*('Recurring Items'!$H$6:$H$56&lt;&gt;"Skip")*IFERROR(N('Recurring Items'!$D$6:$D$56),0)*(('Recurring Items'!$E$6:$E$56="Monthly")*(DAY(AB327)='Recurring Items'!$F$6:$F$56)+('Recurring Items'!$E$6:$E$56="Bi-weekly")*(WEEKDAY(AB327)=IFERROR(WEEKDAY('Recurring Items'!$G$6:$G$56),0))*(MOD(AB327-IFERROR('Recurring Items'!$G$6:$G$56,0),14)=0)*(AB327&gt;=IFERROR('Recurring Items'!$G$6:$G$56,9000000000))+('Recurring Items'!$E$6:$E$56="Weekly")*(WEEKDAY(AB327)=IFERROR(WEEKDAY('Recurring Items'!$G$6:$G$56),0))*(AB327&gt;=IFERROR('Recurring Items'!$G$6:$G$56,9000000000))+('Recurring Items'!$E$6:$E$56="One-time")*(AB327='Recurring Items'!$G$6:$G$56)))</f>
        <v>0</v>
      </c>
      <c r="AE327" s="1" t="n">
        <f aca="false">SUMPRODUCT(('Recurring Items'!$C$6:$C$56="Expense")*('Recurring Items'!$H$6:$H$56&lt;&gt;"Skip")*IFERROR(N('Recurring Items'!$D$6:$D$56),0)*(('Recurring Items'!$E$6:$E$56="Monthly")*(DAY(AB327)='Recurring Items'!$F$6:$F$56)+('Recurring Items'!$E$6:$E$56="Bi-weekly")*(WEEKDAY(AB327)=IFERROR(WEEKDAY('Recurring Items'!$G$6:$G$56),0))*(MOD(AB327-IFERROR('Recurring Items'!$G$6:$G$56,0),14)=0)*(AB327&gt;=IFERROR('Recurring Items'!$G$6:$G$56,9000000000))+('Recurring Items'!$E$6:$E$56="Weekly")*(WEEKDAY(AB327)=IFERROR(WEEKDAY('Recurring Items'!$G$6:$G$56),0))*(AB327&gt;=IFERROR('Recurring Items'!$G$6:$G$56,9000000000))+('Recurring Items'!$E$6:$E$56="One-time")*(AB327='Recurring Items'!$G$6:$G$56)))</f>
        <v>51.01</v>
      </c>
      <c r="AF327" s="1" t="n">
        <f aca="false">(IF(AC327=1,'Debt Tracker'!$P$5&gt;0.01,INDEX('Debt Tracker'!$T$5:$AE$29,1,AC327-1)&gt;0.01))*('Recurring Items'!$H$8&lt;&gt;"Skip")*(DAY(AB327)='Recurring Items'!$F$8)*IFERROR(N('Recurring Items'!$D$8),0)+(IF(AC327=1,'Debt Tracker'!$P$6&gt;0.01,INDEX('Debt Tracker'!$T$5:$AE$29,2,AC327-1)&gt;0.01))*('Recurring Items'!$H$9&lt;&gt;"Skip")*(DAY(AB327)='Recurring Items'!$F$9)*IFERROR(N('Recurring Items'!$D$9),0)+(IF(AC327=1,'Debt Tracker'!$P$7&gt;0.01,INDEX('Debt Tracker'!$T$5:$AE$29,3,AC327-1)&gt;0.01))*('Recurring Items'!$H$10&lt;&gt;"Skip")*(DAY(AB327)='Recurring Items'!$F$10)*IFERROR(N('Recurring Items'!$D$10),0)+(IF(AC327=1,'Debt Tracker'!$P$8&gt;0.01,INDEX('Debt Tracker'!$T$5:$AE$29,4,AC327-1)&gt;0.01))*('Recurring Items'!$H$11&lt;&gt;"Skip")*(DAY(AB327)='Recurring Items'!$F$11)*IFERROR(N('Recurring Items'!$D$11),0)+(IF(AC327=1,'Debt Tracker'!$P$9&gt;0.01,INDEX('Debt Tracker'!$T$5:$AE$29,5,AC327-1)&gt;0.01))*('Recurring Items'!$H$12&lt;&gt;"Skip")*(DAY(AB327)='Recurring Items'!$F$12)*IFERROR(N('Recurring Items'!$D$12),0)+(IF(AC327=1,'Debt Tracker'!$P$10&gt;0.01,INDEX('Debt Tracker'!$T$5:$AE$29,6,AC327-1)&gt;0.01))*('Recurring Items'!$H$13&lt;&gt;"Skip")*(DAY(AB327)='Recurring Items'!$F$13)*IFERROR(N('Recurring Items'!$D$13),0)+(IF(AC327=1,'Debt Tracker'!$P$11&gt;0.01,INDEX('Debt Tracker'!$T$5:$AE$29,7,AC327-1)&gt;0.01))*('Recurring Items'!$H$14&lt;&gt;"Skip")*(DAY(AB327)='Recurring Items'!$F$14)*IFERROR(N('Recurring Items'!$D$14),0)+(IF(AC327=1,'Debt Tracker'!$P$12&gt;0.01,INDEX('Debt Tracker'!$T$5:$AE$29,8,AC327-1)&gt;0.01))*('Recurring Items'!$H$15&lt;&gt;"Skip")*(DAY(AB327)='Recurring Items'!$F$15)*IFERROR(N('Recurring Items'!$D$15),0)+(IF(AC327=1,'Debt Tracker'!$P$13&gt;0.01,INDEX('Debt Tracker'!$T$5:$AE$29,9,AC327-1)&gt;0.01))*('Recurring Items'!$H$16&lt;&gt;"Skip")*(DAY(AB327)='Recurring Items'!$F$16)*IFERROR(N('Recurring Items'!$D$16),0)+(IF(AC327=1,'Debt Tracker'!$P$14&gt;0.01,INDEX('Debt Tracker'!$T$5:$AE$29,10,AC327-1)&gt;0.01))*('Recurring Items'!$H$17&lt;&gt;"Skip")*(DAY(AB327)='Recurring Items'!$F$17)*IFERROR(N('Recurring Items'!$D$17),0)+(IF(AC327=1,'Debt Tracker'!$P$15&gt;0.01,INDEX('Debt Tracker'!$T$5:$AE$29,11,AC327-1)&gt;0.01))*('Recurring Items'!$H$18&lt;&gt;"Skip")*(DAY(AB327)='Recurring Items'!$F$18)*IFERROR(N('Recurring Items'!$D$18),0)+(IF(AC327=1,'Debt Tracker'!$P$16&gt;0.01,INDEX('Debt Tracker'!$T$5:$AE$29,12,AC327-1)&gt;0.01))*('Recurring Items'!$H$19&lt;&gt;"Skip")*(DAY(AB327)='Recurring Items'!$F$19)*IFERROR(N('Recurring Items'!$D$19),0)+(IF(AC327=1,'Debt Tracker'!$P$17&gt;0.01,INDEX('Debt Tracker'!$T$5:$AE$29,13,AC327-1)&gt;0.01))*('Recurring Items'!$H$20&lt;&gt;"Skip")*(DAY(AB327)='Recurring Items'!$F$20)*IFERROR(N('Recurring Items'!$D$20),0)+(IF(AC327=1,'Debt Tracker'!$P$18&gt;0.01,INDEX('Debt Tracker'!$T$5:$AE$29,14,AC327-1)&gt;0.01))*('Recurring Items'!$H$21&lt;&gt;"Skip")*(DAY(AB327)='Recurring Items'!$F$21)*IFERROR(N('Recurring Items'!$D$21),0)+(IF(AC327=1,'Debt Tracker'!$P$19&gt;0.01,INDEX('Debt Tracker'!$T$5:$AE$29,15,AC327-1)&gt;0.01))*('Recurring Items'!$H$22&lt;&gt;"Skip")*(DAY(AB327)='Recurring Items'!$F$22)*IFERROR(N('Recurring Items'!$D$22),0)+(IF(AC327=1,'Debt Tracker'!$P$20&gt;0.01,INDEX('Debt Tracker'!$T$5:$AE$29,16,AC327-1)&gt;0.01))*('Recurring Items'!$H$23&lt;&gt;"Skip")*(DAY(AB327)='Recurring Items'!$F$23)*IFERROR(N('Recurring Items'!$D$23),0)+(IF(AC327=1,'Debt Tracker'!$P$21&gt;0.01,INDEX('Debt Tracker'!$T$5:$AE$29,17,AC327-1)&gt;0.01))*('Recurring Items'!$H$24&lt;&gt;"Skip")*(DAY(AB327)='Recurring Items'!$F$24)*IFERROR(N('Recurring Items'!$D$24),0)+(IF(AC327=1,'Debt Tracker'!$P$22&gt;0.01,INDEX('Debt Tracker'!$T$5:$AE$29,18,AC327-1)&gt;0.01))*('Recurring Items'!$H$25&lt;&gt;"Skip")*(DAY(AB327)='Recurring Items'!$F$25)*IFERROR(N('Recurring Items'!$D$25),0)+(IF(AC327=1,'Debt Tracker'!$P$23&gt;0.01,INDEX('Debt Tracker'!$T$5:$AE$29,19,AC327-1)&gt;0.01))*('Recurring Items'!$H$26&lt;&gt;"Skip")*(DAY(AB327)='Recurring Items'!$F$26)*IFERROR(N('Recurring Items'!$D$26),0)+(IF(AC327=1,'Debt Tracker'!$P$24&gt;0.01,INDEX('Debt Tracker'!$T$5:$AE$29,20,AC327-1)&gt;0.01))*('Recurring Items'!$H$27&lt;&gt;"Skip")*(DAY(AB327)='Recurring Items'!$F$27)*IFERROR(N('Recurring Items'!$D$27),0)+(IF(AC327=1,'Debt Tracker'!$P$25&gt;0.01,INDEX('Debt Tracker'!$T$5:$AE$29,21,AC327-1)&gt;0.01))*('Recurring Items'!$H$28&lt;&gt;"Skip")*(DAY(AB327)='Recurring Items'!$F$28)*IFERROR(N('Recurring Items'!$D$28),0)+(IF(AC327=1,'Debt Tracker'!$P$26&gt;0.01,INDEX('Debt Tracker'!$T$5:$AE$29,22,AC327-1)&gt;0.01))*('Recurring Items'!$H$29&lt;&gt;"Skip")*(DAY(AB327)='Recurring Items'!$F$29)*IFERROR(N('Recurring Items'!$D$29),0)+(IF(AC327=1,'Debt Tracker'!$P$27&gt;0.01,INDEX('Debt Tracker'!$T$5:$AE$29,23,AC327-1)&gt;0.01))*('Recurring Items'!$H$30&lt;&gt;"Skip")*(DAY(AB327)='Recurring Items'!$F$30)*IFERROR(N('Recurring Items'!$D$30),0)+(IF(AC327=1,'Debt Tracker'!$P$28&gt;0.01,INDEX('Debt Tracker'!$T$5:$AE$29,24,AC327-1)&gt;0.01))*('Recurring Items'!$H$31&lt;&gt;"Skip")*(DAY(AB327)='Recurring Items'!$F$31)*IFERROR(N('Recurring Items'!$D$31),0)+(IF(AC327=1,'Debt Tracker'!$P$29&gt;0.01,INDEX('Debt Tracker'!$T$5:$AE$29,25,AC327-1)&gt;0.01))*('Recurring Items'!$H$32&lt;&gt;"Skip")*(DAY(AB327)='Recurring Items'!$F$32)*IFERROR(N('Recurring Items'!$D$32),0)</f>
        <v>0</v>
      </c>
      <c r="AG327" s="1" t="n">
        <f aca="false">AD327-AE327-AF327</f>
        <v>-51.01</v>
      </c>
      <c r="AH327" s="1" t="n">
        <f aca="false">AH326+AG327</f>
        <v>10377.56</v>
      </c>
    </row>
    <row r="328" customFormat="false" ht="15" hidden="false" customHeight="true" outlineLevel="0" collapsed="false">
      <c r="AA328" s="1" t="n">
        <v>128</v>
      </c>
      <c r="AB328" s="145" t="n">
        <f aca="false">$D$3+128</f>
        <v>46271</v>
      </c>
      <c r="AC328" s="1" t="n">
        <f aca="false">MIN(12,1+DATEDIF($D$3,AB328,"M"))</f>
        <v>5</v>
      </c>
      <c r="AD328" s="1" t="n">
        <f aca="false">SUMPRODUCT(('Recurring Items'!$C$6:$C$56="Income")*('Recurring Items'!$H$6:$H$56&lt;&gt;"Skip")*IFERROR(N('Recurring Items'!$D$6:$D$56),0)*(('Recurring Items'!$E$6:$E$56="Monthly")*(DAY(AB328)='Recurring Items'!$F$6:$F$56)+('Recurring Items'!$E$6:$E$56="Bi-weekly")*(WEEKDAY(AB328)=IFERROR(WEEKDAY('Recurring Items'!$G$6:$G$56),0))*(MOD(AB328-IFERROR('Recurring Items'!$G$6:$G$56,0),14)=0)*(AB328&gt;=IFERROR('Recurring Items'!$G$6:$G$56,9000000000))+('Recurring Items'!$E$6:$E$56="Weekly")*(WEEKDAY(AB328)=IFERROR(WEEKDAY('Recurring Items'!$G$6:$G$56),0))*(AB328&gt;=IFERROR('Recurring Items'!$G$6:$G$56,9000000000))+('Recurring Items'!$E$6:$E$56="One-time")*(AB328='Recurring Items'!$G$6:$G$56)))</f>
        <v>0</v>
      </c>
      <c r="AE328" s="1" t="n">
        <f aca="false">SUMPRODUCT(('Recurring Items'!$C$6:$C$56="Expense")*('Recurring Items'!$H$6:$H$56&lt;&gt;"Skip")*IFERROR(N('Recurring Items'!$D$6:$D$56),0)*(('Recurring Items'!$E$6:$E$56="Monthly")*(DAY(AB328)='Recurring Items'!$F$6:$F$56)+('Recurring Items'!$E$6:$E$56="Bi-weekly")*(WEEKDAY(AB328)=IFERROR(WEEKDAY('Recurring Items'!$G$6:$G$56),0))*(MOD(AB328-IFERROR('Recurring Items'!$G$6:$G$56,0),14)=0)*(AB328&gt;=IFERROR('Recurring Items'!$G$6:$G$56,9000000000))+('Recurring Items'!$E$6:$E$56="Weekly")*(WEEKDAY(AB328)=IFERROR(WEEKDAY('Recurring Items'!$G$6:$G$56),0))*(AB328&gt;=IFERROR('Recurring Items'!$G$6:$G$56,9000000000))+('Recurring Items'!$E$6:$E$56="One-time")*(AB328='Recurring Items'!$G$6:$G$56)))</f>
        <v>651.55</v>
      </c>
      <c r="AF328" s="1" t="n">
        <f aca="false">(IF(AC328=1,'Debt Tracker'!$P$5&gt;0.01,INDEX('Debt Tracker'!$T$5:$AE$29,1,AC328-1)&gt;0.01))*('Recurring Items'!$H$8&lt;&gt;"Skip")*(DAY(AB328)='Recurring Items'!$F$8)*IFERROR(N('Recurring Items'!$D$8),0)+(IF(AC328=1,'Debt Tracker'!$P$6&gt;0.01,INDEX('Debt Tracker'!$T$5:$AE$29,2,AC328-1)&gt;0.01))*('Recurring Items'!$H$9&lt;&gt;"Skip")*(DAY(AB328)='Recurring Items'!$F$9)*IFERROR(N('Recurring Items'!$D$9),0)+(IF(AC328=1,'Debt Tracker'!$P$7&gt;0.01,INDEX('Debt Tracker'!$T$5:$AE$29,3,AC328-1)&gt;0.01))*('Recurring Items'!$H$10&lt;&gt;"Skip")*(DAY(AB328)='Recurring Items'!$F$10)*IFERROR(N('Recurring Items'!$D$10),0)+(IF(AC328=1,'Debt Tracker'!$P$8&gt;0.01,INDEX('Debt Tracker'!$T$5:$AE$29,4,AC328-1)&gt;0.01))*('Recurring Items'!$H$11&lt;&gt;"Skip")*(DAY(AB328)='Recurring Items'!$F$11)*IFERROR(N('Recurring Items'!$D$11),0)+(IF(AC328=1,'Debt Tracker'!$P$9&gt;0.01,INDEX('Debt Tracker'!$T$5:$AE$29,5,AC328-1)&gt;0.01))*('Recurring Items'!$H$12&lt;&gt;"Skip")*(DAY(AB328)='Recurring Items'!$F$12)*IFERROR(N('Recurring Items'!$D$12),0)+(IF(AC328=1,'Debt Tracker'!$P$10&gt;0.01,INDEX('Debt Tracker'!$T$5:$AE$29,6,AC328-1)&gt;0.01))*('Recurring Items'!$H$13&lt;&gt;"Skip")*(DAY(AB328)='Recurring Items'!$F$13)*IFERROR(N('Recurring Items'!$D$13),0)+(IF(AC328=1,'Debt Tracker'!$P$11&gt;0.01,INDEX('Debt Tracker'!$T$5:$AE$29,7,AC328-1)&gt;0.01))*('Recurring Items'!$H$14&lt;&gt;"Skip")*(DAY(AB328)='Recurring Items'!$F$14)*IFERROR(N('Recurring Items'!$D$14),0)+(IF(AC328=1,'Debt Tracker'!$P$12&gt;0.01,INDEX('Debt Tracker'!$T$5:$AE$29,8,AC328-1)&gt;0.01))*('Recurring Items'!$H$15&lt;&gt;"Skip")*(DAY(AB328)='Recurring Items'!$F$15)*IFERROR(N('Recurring Items'!$D$15),0)+(IF(AC328=1,'Debt Tracker'!$P$13&gt;0.01,INDEX('Debt Tracker'!$T$5:$AE$29,9,AC328-1)&gt;0.01))*('Recurring Items'!$H$16&lt;&gt;"Skip")*(DAY(AB328)='Recurring Items'!$F$16)*IFERROR(N('Recurring Items'!$D$16),0)+(IF(AC328=1,'Debt Tracker'!$P$14&gt;0.01,INDEX('Debt Tracker'!$T$5:$AE$29,10,AC328-1)&gt;0.01))*('Recurring Items'!$H$17&lt;&gt;"Skip")*(DAY(AB328)='Recurring Items'!$F$17)*IFERROR(N('Recurring Items'!$D$17),0)+(IF(AC328=1,'Debt Tracker'!$P$15&gt;0.01,INDEX('Debt Tracker'!$T$5:$AE$29,11,AC328-1)&gt;0.01))*('Recurring Items'!$H$18&lt;&gt;"Skip")*(DAY(AB328)='Recurring Items'!$F$18)*IFERROR(N('Recurring Items'!$D$18),0)+(IF(AC328=1,'Debt Tracker'!$P$16&gt;0.01,INDEX('Debt Tracker'!$T$5:$AE$29,12,AC328-1)&gt;0.01))*('Recurring Items'!$H$19&lt;&gt;"Skip")*(DAY(AB328)='Recurring Items'!$F$19)*IFERROR(N('Recurring Items'!$D$19),0)+(IF(AC328=1,'Debt Tracker'!$P$17&gt;0.01,INDEX('Debt Tracker'!$T$5:$AE$29,13,AC328-1)&gt;0.01))*('Recurring Items'!$H$20&lt;&gt;"Skip")*(DAY(AB328)='Recurring Items'!$F$20)*IFERROR(N('Recurring Items'!$D$20),0)+(IF(AC328=1,'Debt Tracker'!$P$18&gt;0.01,INDEX('Debt Tracker'!$T$5:$AE$29,14,AC328-1)&gt;0.01))*('Recurring Items'!$H$21&lt;&gt;"Skip")*(DAY(AB328)='Recurring Items'!$F$21)*IFERROR(N('Recurring Items'!$D$21),0)+(IF(AC328=1,'Debt Tracker'!$P$19&gt;0.01,INDEX('Debt Tracker'!$T$5:$AE$29,15,AC328-1)&gt;0.01))*('Recurring Items'!$H$22&lt;&gt;"Skip")*(DAY(AB328)='Recurring Items'!$F$22)*IFERROR(N('Recurring Items'!$D$22),0)+(IF(AC328=1,'Debt Tracker'!$P$20&gt;0.01,INDEX('Debt Tracker'!$T$5:$AE$29,16,AC328-1)&gt;0.01))*('Recurring Items'!$H$23&lt;&gt;"Skip")*(DAY(AB328)='Recurring Items'!$F$23)*IFERROR(N('Recurring Items'!$D$23),0)+(IF(AC328=1,'Debt Tracker'!$P$21&gt;0.01,INDEX('Debt Tracker'!$T$5:$AE$29,17,AC328-1)&gt;0.01))*('Recurring Items'!$H$24&lt;&gt;"Skip")*(DAY(AB328)='Recurring Items'!$F$24)*IFERROR(N('Recurring Items'!$D$24),0)+(IF(AC328=1,'Debt Tracker'!$P$22&gt;0.01,INDEX('Debt Tracker'!$T$5:$AE$29,18,AC328-1)&gt;0.01))*('Recurring Items'!$H$25&lt;&gt;"Skip")*(DAY(AB328)='Recurring Items'!$F$25)*IFERROR(N('Recurring Items'!$D$25),0)+(IF(AC328=1,'Debt Tracker'!$P$23&gt;0.01,INDEX('Debt Tracker'!$T$5:$AE$29,19,AC328-1)&gt;0.01))*('Recurring Items'!$H$26&lt;&gt;"Skip")*(DAY(AB328)='Recurring Items'!$F$26)*IFERROR(N('Recurring Items'!$D$26),0)+(IF(AC328=1,'Debt Tracker'!$P$24&gt;0.01,INDEX('Debt Tracker'!$T$5:$AE$29,20,AC328-1)&gt;0.01))*('Recurring Items'!$H$27&lt;&gt;"Skip")*(DAY(AB328)='Recurring Items'!$F$27)*IFERROR(N('Recurring Items'!$D$27),0)+(IF(AC328=1,'Debt Tracker'!$P$25&gt;0.01,INDEX('Debt Tracker'!$T$5:$AE$29,21,AC328-1)&gt;0.01))*('Recurring Items'!$H$28&lt;&gt;"Skip")*(DAY(AB328)='Recurring Items'!$F$28)*IFERROR(N('Recurring Items'!$D$28),0)+(IF(AC328=1,'Debt Tracker'!$P$26&gt;0.01,INDEX('Debt Tracker'!$T$5:$AE$29,22,AC328-1)&gt;0.01))*('Recurring Items'!$H$29&lt;&gt;"Skip")*(DAY(AB328)='Recurring Items'!$F$29)*IFERROR(N('Recurring Items'!$D$29),0)+(IF(AC328=1,'Debt Tracker'!$P$27&gt;0.01,INDEX('Debt Tracker'!$T$5:$AE$29,23,AC328-1)&gt;0.01))*('Recurring Items'!$H$30&lt;&gt;"Skip")*(DAY(AB328)='Recurring Items'!$F$30)*IFERROR(N('Recurring Items'!$D$30),0)+(IF(AC328=1,'Debt Tracker'!$P$28&gt;0.01,INDEX('Debt Tracker'!$T$5:$AE$29,24,AC328-1)&gt;0.01))*('Recurring Items'!$H$31&lt;&gt;"Skip")*(DAY(AB328)='Recurring Items'!$F$31)*IFERROR(N('Recurring Items'!$D$31),0)+(IF(AC328=1,'Debt Tracker'!$P$29&gt;0.01,INDEX('Debt Tracker'!$T$5:$AE$29,25,AC328-1)&gt;0.01))*('Recurring Items'!$H$32&lt;&gt;"Skip")*(DAY(AB328)='Recurring Items'!$F$32)*IFERROR(N('Recurring Items'!$D$32),0)</f>
        <v>53.99</v>
      </c>
      <c r="AG328" s="1" t="n">
        <f aca="false">AD328-AE328-AF328</f>
        <v>-705.54</v>
      </c>
      <c r="AH328" s="1" t="n">
        <f aca="false">AH327+AG328</f>
        <v>9672.02</v>
      </c>
    </row>
    <row r="329" customFormat="false" ht="15" hidden="false" customHeight="true" outlineLevel="0" collapsed="false">
      <c r="AA329" s="1" t="n">
        <v>129</v>
      </c>
      <c r="AB329" s="145" t="n">
        <f aca="false">$D$3+129</f>
        <v>46272</v>
      </c>
      <c r="AC329" s="1" t="n">
        <f aca="false">MIN(12,1+DATEDIF($D$3,AB329,"M"))</f>
        <v>5</v>
      </c>
      <c r="AD329" s="1" t="n">
        <f aca="false">SUMPRODUCT(('Recurring Items'!$C$6:$C$56="Income")*('Recurring Items'!$H$6:$H$56&lt;&gt;"Skip")*IFERROR(N('Recurring Items'!$D$6:$D$56),0)*(('Recurring Items'!$E$6:$E$56="Monthly")*(DAY(AB329)='Recurring Items'!$F$6:$F$56)+('Recurring Items'!$E$6:$E$56="Bi-weekly")*(WEEKDAY(AB329)=IFERROR(WEEKDAY('Recurring Items'!$G$6:$G$56),0))*(MOD(AB329-IFERROR('Recurring Items'!$G$6:$G$56,0),14)=0)*(AB329&gt;=IFERROR('Recurring Items'!$G$6:$G$56,9000000000))+('Recurring Items'!$E$6:$E$56="Weekly")*(WEEKDAY(AB329)=IFERROR(WEEKDAY('Recurring Items'!$G$6:$G$56),0))*(AB329&gt;=IFERROR('Recurring Items'!$G$6:$G$56,9000000000))+('Recurring Items'!$E$6:$E$56="One-time")*(AB329='Recurring Items'!$G$6:$G$56)))</f>
        <v>0</v>
      </c>
      <c r="AE329" s="1" t="n">
        <f aca="false">SUMPRODUCT(('Recurring Items'!$C$6:$C$56="Expense")*('Recurring Items'!$H$6:$H$56&lt;&gt;"Skip")*IFERROR(N('Recurring Items'!$D$6:$D$56),0)*(('Recurring Items'!$E$6:$E$56="Monthly")*(DAY(AB329)='Recurring Items'!$F$6:$F$56)+('Recurring Items'!$E$6:$E$56="Bi-weekly")*(WEEKDAY(AB329)=IFERROR(WEEKDAY('Recurring Items'!$G$6:$G$56),0))*(MOD(AB329-IFERROR('Recurring Items'!$G$6:$G$56,0),14)=0)*(AB329&gt;=IFERROR('Recurring Items'!$G$6:$G$56,9000000000))+('Recurring Items'!$E$6:$E$56="Weekly")*(WEEKDAY(AB329)=IFERROR(WEEKDAY('Recurring Items'!$G$6:$G$56),0))*(AB329&gt;=IFERROR('Recurring Items'!$G$6:$G$56,9000000000))+('Recurring Items'!$E$6:$E$56="One-time")*(AB329='Recurring Items'!$G$6:$G$56)))</f>
        <v>672.8</v>
      </c>
      <c r="AF329" s="1" t="n">
        <f aca="false">(IF(AC329=1,'Debt Tracker'!$P$5&gt;0.01,INDEX('Debt Tracker'!$T$5:$AE$29,1,AC329-1)&gt;0.01))*('Recurring Items'!$H$8&lt;&gt;"Skip")*(DAY(AB329)='Recurring Items'!$F$8)*IFERROR(N('Recurring Items'!$D$8),0)+(IF(AC329=1,'Debt Tracker'!$P$6&gt;0.01,INDEX('Debt Tracker'!$T$5:$AE$29,2,AC329-1)&gt;0.01))*('Recurring Items'!$H$9&lt;&gt;"Skip")*(DAY(AB329)='Recurring Items'!$F$9)*IFERROR(N('Recurring Items'!$D$9),0)+(IF(AC329=1,'Debt Tracker'!$P$7&gt;0.01,INDEX('Debt Tracker'!$T$5:$AE$29,3,AC329-1)&gt;0.01))*('Recurring Items'!$H$10&lt;&gt;"Skip")*(DAY(AB329)='Recurring Items'!$F$10)*IFERROR(N('Recurring Items'!$D$10),0)+(IF(AC329=1,'Debt Tracker'!$P$8&gt;0.01,INDEX('Debt Tracker'!$T$5:$AE$29,4,AC329-1)&gt;0.01))*('Recurring Items'!$H$11&lt;&gt;"Skip")*(DAY(AB329)='Recurring Items'!$F$11)*IFERROR(N('Recurring Items'!$D$11),0)+(IF(AC329=1,'Debt Tracker'!$P$9&gt;0.01,INDEX('Debt Tracker'!$T$5:$AE$29,5,AC329-1)&gt;0.01))*('Recurring Items'!$H$12&lt;&gt;"Skip")*(DAY(AB329)='Recurring Items'!$F$12)*IFERROR(N('Recurring Items'!$D$12),0)+(IF(AC329=1,'Debt Tracker'!$P$10&gt;0.01,INDEX('Debt Tracker'!$T$5:$AE$29,6,AC329-1)&gt;0.01))*('Recurring Items'!$H$13&lt;&gt;"Skip")*(DAY(AB329)='Recurring Items'!$F$13)*IFERROR(N('Recurring Items'!$D$13),0)+(IF(AC329=1,'Debt Tracker'!$P$11&gt;0.01,INDEX('Debt Tracker'!$T$5:$AE$29,7,AC329-1)&gt;0.01))*('Recurring Items'!$H$14&lt;&gt;"Skip")*(DAY(AB329)='Recurring Items'!$F$14)*IFERROR(N('Recurring Items'!$D$14),0)+(IF(AC329=1,'Debt Tracker'!$P$12&gt;0.01,INDEX('Debt Tracker'!$T$5:$AE$29,8,AC329-1)&gt;0.01))*('Recurring Items'!$H$15&lt;&gt;"Skip")*(DAY(AB329)='Recurring Items'!$F$15)*IFERROR(N('Recurring Items'!$D$15),0)+(IF(AC329=1,'Debt Tracker'!$P$13&gt;0.01,INDEX('Debt Tracker'!$T$5:$AE$29,9,AC329-1)&gt;0.01))*('Recurring Items'!$H$16&lt;&gt;"Skip")*(DAY(AB329)='Recurring Items'!$F$16)*IFERROR(N('Recurring Items'!$D$16),0)+(IF(AC329=1,'Debt Tracker'!$P$14&gt;0.01,INDEX('Debt Tracker'!$T$5:$AE$29,10,AC329-1)&gt;0.01))*('Recurring Items'!$H$17&lt;&gt;"Skip")*(DAY(AB329)='Recurring Items'!$F$17)*IFERROR(N('Recurring Items'!$D$17),0)+(IF(AC329=1,'Debt Tracker'!$P$15&gt;0.01,INDEX('Debt Tracker'!$T$5:$AE$29,11,AC329-1)&gt;0.01))*('Recurring Items'!$H$18&lt;&gt;"Skip")*(DAY(AB329)='Recurring Items'!$F$18)*IFERROR(N('Recurring Items'!$D$18),0)+(IF(AC329=1,'Debt Tracker'!$P$16&gt;0.01,INDEX('Debt Tracker'!$T$5:$AE$29,12,AC329-1)&gt;0.01))*('Recurring Items'!$H$19&lt;&gt;"Skip")*(DAY(AB329)='Recurring Items'!$F$19)*IFERROR(N('Recurring Items'!$D$19),0)+(IF(AC329=1,'Debt Tracker'!$P$17&gt;0.01,INDEX('Debt Tracker'!$T$5:$AE$29,13,AC329-1)&gt;0.01))*('Recurring Items'!$H$20&lt;&gt;"Skip")*(DAY(AB329)='Recurring Items'!$F$20)*IFERROR(N('Recurring Items'!$D$20),0)+(IF(AC329=1,'Debt Tracker'!$P$18&gt;0.01,INDEX('Debt Tracker'!$T$5:$AE$29,14,AC329-1)&gt;0.01))*('Recurring Items'!$H$21&lt;&gt;"Skip")*(DAY(AB329)='Recurring Items'!$F$21)*IFERROR(N('Recurring Items'!$D$21),0)+(IF(AC329=1,'Debt Tracker'!$P$19&gt;0.01,INDEX('Debt Tracker'!$T$5:$AE$29,15,AC329-1)&gt;0.01))*('Recurring Items'!$H$22&lt;&gt;"Skip")*(DAY(AB329)='Recurring Items'!$F$22)*IFERROR(N('Recurring Items'!$D$22),0)+(IF(AC329=1,'Debt Tracker'!$P$20&gt;0.01,INDEX('Debt Tracker'!$T$5:$AE$29,16,AC329-1)&gt;0.01))*('Recurring Items'!$H$23&lt;&gt;"Skip")*(DAY(AB329)='Recurring Items'!$F$23)*IFERROR(N('Recurring Items'!$D$23),0)+(IF(AC329=1,'Debt Tracker'!$P$21&gt;0.01,INDEX('Debt Tracker'!$T$5:$AE$29,17,AC329-1)&gt;0.01))*('Recurring Items'!$H$24&lt;&gt;"Skip")*(DAY(AB329)='Recurring Items'!$F$24)*IFERROR(N('Recurring Items'!$D$24),0)+(IF(AC329=1,'Debt Tracker'!$P$22&gt;0.01,INDEX('Debt Tracker'!$T$5:$AE$29,18,AC329-1)&gt;0.01))*('Recurring Items'!$H$25&lt;&gt;"Skip")*(DAY(AB329)='Recurring Items'!$F$25)*IFERROR(N('Recurring Items'!$D$25),0)+(IF(AC329=1,'Debt Tracker'!$P$23&gt;0.01,INDEX('Debt Tracker'!$T$5:$AE$29,19,AC329-1)&gt;0.01))*('Recurring Items'!$H$26&lt;&gt;"Skip")*(DAY(AB329)='Recurring Items'!$F$26)*IFERROR(N('Recurring Items'!$D$26),0)+(IF(AC329=1,'Debt Tracker'!$P$24&gt;0.01,INDEX('Debt Tracker'!$T$5:$AE$29,20,AC329-1)&gt;0.01))*('Recurring Items'!$H$27&lt;&gt;"Skip")*(DAY(AB329)='Recurring Items'!$F$27)*IFERROR(N('Recurring Items'!$D$27),0)+(IF(AC329=1,'Debt Tracker'!$P$25&gt;0.01,INDEX('Debt Tracker'!$T$5:$AE$29,21,AC329-1)&gt;0.01))*('Recurring Items'!$H$28&lt;&gt;"Skip")*(DAY(AB329)='Recurring Items'!$F$28)*IFERROR(N('Recurring Items'!$D$28),0)+(IF(AC329=1,'Debt Tracker'!$P$26&gt;0.01,INDEX('Debt Tracker'!$T$5:$AE$29,22,AC329-1)&gt;0.01))*('Recurring Items'!$H$29&lt;&gt;"Skip")*(DAY(AB329)='Recurring Items'!$F$29)*IFERROR(N('Recurring Items'!$D$29),0)+(IF(AC329=1,'Debt Tracker'!$P$27&gt;0.01,INDEX('Debt Tracker'!$T$5:$AE$29,23,AC329-1)&gt;0.01))*('Recurring Items'!$H$30&lt;&gt;"Skip")*(DAY(AB329)='Recurring Items'!$F$30)*IFERROR(N('Recurring Items'!$D$30),0)+(IF(AC329=1,'Debt Tracker'!$P$28&gt;0.01,INDEX('Debt Tracker'!$T$5:$AE$29,24,AC329-1)&gt;0.01))*('Recurring Items'!$H$31&lt;&gt;"Skip")*(DAY(AB329)='Recurring Items'!$F$31)*IFERROR(N('Recurring Items'!$D$31),0)+(IF(AC329=1,'Debt Tracker'!$P$29&gt;0.01,INDEX('Debt Tracker'!$T$5:$AE$29,25,AC329-1)&gt;0.01))*('Recurring Items'!$H$32&lt;&gt;"Skip")*(DAY(AB329)='Recurring Items'!$F$32)*IFERROR(N('Recurring Items'!$D$32),0)</f>
        <v>8.25</v>
      </c>
      <c r="AG329" s="1" t="n">
        <f aca="false">AD329-AE329-AF329</f>
        <v>-681.05</v>
      </c>
      <c r="AH329" s="1" t="n">
        <f aca="false">AH328+AG329</f>
        <v>8990.97</v>
      </c>
    </row>
    <row r="330" customFormat="false" ht="15" hidden="false" customHeight="true" outlineLevel="0" collapsed="false">
      <c r="AA330" s="1" t="n">
        <v>130</v>
      </c>
      <c r="AB330" s="145" t="n">
        <f aca="false">$D$3+130</f>
        <v>46273</v>
      </c>
      <c r="AC330" s="1" t="n">
        <f aca="false">MIN(12,1+DATEDIF($D$3,AB330,"M"))</f>
        <v>5</v>
      </c>
      <c r="AD330" s="1" t="n">
        <f aca="false">SUMPRODUCT(('Recurring Items'!$C$6:$C$56="Income")*('Recurring Items'!$H$6:$H$56&lt;&gt;"Skip")*IFERROR(N('Recurring Items'!$D$6:$D$56),0)*(('Recurring Items'!$E$6:$E$56="Monthly")*(DAY(AB330)='Recurring Items'!$F$6:$F$56)+('Recurring Items'!$E$6:$E$56="Bi-weekly")*(WEEKDAY(AB330)=IFERROR(WEEKDAY('Recurring Items'!$G$6:$G$56),0))*(MOD(AB330-IFERROR('Recurring Items'!$G$6:$G$56,0),14)=0)*(AB330&gt;=IFERROR('Recurring Items'!$G$6:$G$56,9000000000))+('Recurring Items'!$E$6:$E$56="Weekly")*(WEEKDAY(AB330)=IFERROR(WEEKDAY('Recurring Items'!$G$6:$G$56),0))*(AB330&gt;=IFERROR('Recurring Items'!$G$6:$G$56,9000000000))+('Recurring Items'!$E$6:$E$56="One-time")*(AB330='Recurring Items'!$G$6:$G$56)))</f>
        <v>0</v>
      </c>
      <c r="AE330" s="1" t="n">
        <f aca="false">SUMPRODUCT(('Recurring Items'!$C$6:$C$56="Expense")*('Recurring Items'!$H$6:$H$56&lt;&gt;"Skip")*IFERROR(N('Recurring Items'!$D$6:$D$56),0)*(('Recurring Items'!$E$6:$E$56="Monthly")*(DAY(AB330)='Recurring Items'!$F$6:$F$56)+('Recurring Items'!$E$6:$E$56="Bi-weekly")*(WEEKDAY(AB330)=IFERROR(WEEKDAY('Recurring Items'!$G$6:$G$56),0))*(MOD(AB330-IFERROR('Recurring Items'!$G$6:$G$56,0),14)=0)*(AB330&gt;=IFERROR('Recurring Items'!$G$6:$G$56,9000000000))+('Recurring Items'!$E$6:$E$56="Weekly")*(WEEKDAY(AB330)=IFERROR(WEEKDAY('Recurring Items'!$G$6:$G$56),0))*(AB330&gt;=IFERROR('Recurring Items'!$G$6:$G$56,9000000000))+('Recurring Items'!$E$6:$E$56="One-time")*(AB330='Recurring Items'!$G$6:$G$56)))</f>
        <v>53.85</v>
      </c>
      <c r="AF330" s="1" t="n">
        <f aca="false">(IF(AC330=1,'Debt Tracker'!$P$5&gt;0.01,INDEX('Debt Tracker'!$T$5:$AE$29,1,AC330-1)&gt;0.01))*('Recurring Items'!$H$8&lt;&gt;"Skip")*(DAY(AB330)='Recurring Items'!$F$8)*IFERROR(N('Recurring Items'!$D$8),0)+(IF(AC330=1,'Debt Tracker'!$P$6&gt;0.01,INDEX('Debt Tracker'!$T$5:$AE$29,2,AC330-1)&gt;0.01))*('Recurring Items'!$H$9&lt;&gt;"Skip")*(DAY(AB330)='Recurring Items'!$F$9)*IFERROR(N('Recurring Items'!$D$9),0)+(IF(AC330=1,'Debt Tracker'!$P$7&gt;0.01,INDEX('Debt Tracker'!$T$5:$AE$29,3,AC330-1)&gt;0.01))*('Recurring Items'!$H$10&lt;&gt;"Skip")*(DAY(AB330)='Recurring Items'!$F$10)*IFERROR(N('Recurring Items'!$D$10),0)+(IF(AC330=1,'Debt Tracker'!$P$8&gt;0.01,INDEX('Debt Tracker'!$T$5:$AE$29,4,AC330-1)&gt;0.01))*('Recurring Items'!$H$11&lt;&gt;"Skip")*(DAY(AB330)='Recurring Items'!$F$11)*IFERROR(N('Recurring Items'!$D$11),0)+(IF(AC330=1,'Debt Tracker'!$P$9&gt;0.01,INDEX('Debt Tracker'!$T$5:$AE$29,5,AC330-1)&gt;0.01))*('Recurring Items'!$H$12&lt;&gt;"Skip")*(DAY(AB330)='Recurring Items'!$F$12)*IFERROR(N('Recurring Items'!$D$12),0)+(IF(AC330=1,'Debt Tracker'!$P$10&gt;0.01,INDEX('Debt Tracker'!$T$5:$AE$29,6,AC330-1)&gt;0.01))*('Recurring Items'!$H$13&lt;&gt;"Skip")*(DAY(AB330)='Recurring Items'!$F$13)*IFERROR(N('Recurring Items'!$D$13),0)+(IF(AC330=1,'Debt Tracker'!$P$11&gt;0.01,INDEX('Debt Tracker'!$T$5:$AE$29,7,AC330-1)&gt;0.01))*('Recurring Items'!$H$14&lt;&gt;"Skip")*(DAY(AB330)='Recurring Items'!$F$14)*IFERROR(N('Recurring Items'!$D$14),0)+(IF(AC330=1,'Debt Tracker'!$P$12&gt;0.01,INDEX('Debt Tracker'!$T$5:$AE$29,8,AC330-1)&gt;0.01))*('Recurring Items'!$H$15&lt;&gt;"Skip")*(DAY(AB330)='Recurring Items'!$F$15)*IFERROR(N('Recurring Items'!$D$15),0)+(IF(AC330=1,'Debt Tracker'!$P$13&gt;0.01,INDEX('Debt Tracker'!$T$5:$AE$29,9,AC330-1)&gt;0.01))*('Recurring Items'!$H$16&lt;&gt;"Skip")*(DAY(AB330)='Recurring Items'!$F$16)*IFERROR(N('Recurring Items'!$D$16),0)+(IF(AC330=1,'Debt Tracker'!$P$14&gt;0.01,INDEX('Debt Tracker'!$T$5:$AE$29,10,AC330-1)&gt;0.01))*('Recurring Items'!$H$17&lt;&gt;"Skip")*(DAY(AB330)='Recurring Items'!$F$17)*IFERROR(N('Recurring Items'!$D$17),0)+(IF(AC330=1,'Debt Tracker'!$P$15&gt;0.01,INDEX('Debt Tracker'!$T$5:$AE$29,11,AC330-1)&gt;0.01))*('Recurring Items'!$H$18&lt;&gt;"Skip")*(DAY(AB330)='Recurring Items'!$F$18)*IFERROR(N('Recurring Items'!$D$18),0)+(IF(AC330=1,'Debt Tracker'!$P$16&gt;0.01,INDEX('Debt Tracker'!$T$5:$AE$29,12,AC330-1)&gt;0.01))*('Recurring Items'!$H$19&lt;&gt;"Skip")*(DAY(AB330)='Recurring Items'!$F$19)*IFERROR(N('Recurring Items'!$D$19),0)+(IF(AC330=1,'Debt Tracker'!$P$17&gt;0.01,INDEX('Debt Tracker'!$T$5:$AE$29,13,AC330-1)&gt;0.01))*('Recurring Items'!$H$20&lt;&gt;"Skip")*(DAY(AB330)='Recurring Items'!$F$20)*IFERROR(N('Recurring Items'!$D$20),0)+(IF(AC330=1,'Debt Tracker'!$P$18&gt;0.01,INDEX('Debt Tracker'!$T$5:$AE$29,14,AC330-1)&gt;0.01))*('Recurring Items'!$H$21&lt;&gt;"Skip")*(DAY(AB330)='Recurring Items'!$F$21)*IFERROR(N('Recurring Items'!$D$21),0)+(IF(AC330=1,'Debt Tracker'!$P$19&gt;0.01,INDEX('Debt Tracker'!$T$5:$AE$29,15,AC330-1)&gt;0.01))*('Recurring Items'!$H$22&lt;&gt;"Skip")*(DAY(AB330)='Recurring Items'!$F$22)*IFERROR(N('Recurring Items'!$D$22),0)+(IF(AC330=1,'Debt Tracker'!$P$20&gt;0.01,INDEX('Debt Tracker'!$T$5:$AE$29,16,AC330-1)&gt;0.01))*('Recurring Items'!$H$23&lt;&gt;"Skip")*(DAY(AB330)='Recurring Items'!$F$23)*IFERROR(N('Recurring Items'!$D$23),0)+(IF(AC330=1,'Debt Tracker'!$P$21&gt;0.01,INDEX('Debt Tracker'!$T$5:$AE$29,17,AC330-1)&gt;0.01))*('Recurring Items'!$H$24&lt;&gt;"Skip")*(DAY(AB330)='Recurring Items'!$F$24)*IFERROR(N('Recurring Items'!$D$24),0)+(IF(AC330=1,'Debt Tracker'!$P$22&gt;0.01,INDEX('Debt Tracker'!$T$5:$AE$29,18,AC330-1)&gt;0.01))*('Recurring Items'!$H$25&lt;&gt;"Skip")*(DAY(AB330)='Recurring Items'!$F$25)*IFERROR(N('Recurring Items'!$D$25),0)+(IF(AC330=1,'Debt Tracker'!$P$23&gt;0.01,INDEX('Debt Tracker'!$T$5:$AE$29,19,AC330-1)&gt;0.01))*('Recurring Items'!$H$26&lt;&gt;"Skip")*(DAY(AB330)='Recurring Items'!$F$26)*IFERROR(N('Recurring Items'!$D$26),0)+(IF(AC330=1,'Debt Tracker'!$P$24&gt;0.01,INDEX('Debt Tracker'!$T$5:$AE$29,20,AC330-1)&gt;0.01))*('Recurring Items'!$H$27&lt;&gt;"Skip")*(DAY(AB330)='Recurring Items'!$F$27)*IFERROR(N('Recurring Items'!$D$27),0)+(IF(AC330=1,'Debt Tracker'!$P$25&gt;0.01,INDEX('Debt Tracker'!$T$5:$AE$29,21,AC330-1)&gt;0.01))*('Recurring Items'!$H$28&lt;&gt;"Skip")*(DAY(AB330)='Recurring Items'!$F$28)*IFERROR(N('Recurring Items'!$D$28),0)+(IF(AC330=1,'Debt Tracker'!$P$26&gt;0.01,INDEX('Debt Tracker'!$T$5:$AE$29,22,AC330-1)&gt;0.01))*('Recurring Items'!$H$29&lt;&gt;"Skip")*(DAY(AB330)='Recurring Items'!$F$29)*IFERROR(N('Recurring Items'!$D$29),0)+(IF(AC330=1,'Debt Tracker'!$P$27&gt;0.01,INDEX('Debt Tracker'!$T$5:$AE$29,23,AC330-1)&gt;0.01))*('Recurring Items'!$H$30&lt;&gt;"Skip")*(DAY(AB330)='Recurring Items'!$F$30)*IFERROR(N('Recurring Items'!$D$30),0)+(IF(AC330=1,'Debt Tracker'!$P$28&gt;0.01,INDEX('Debt Tracker'!$T$5:$AE$29,24,AC330-1)&gt;0.01))*('Recurring Items'!$H$31&lt;&gt;"Skip")*(DAY(AB330)='Recurring Items'!$F$31)*IFERROR(N('Recurring Items'!$D$31),0)+(IF(AC330=1,'Debt Tracker'!$P$29&gt;0.01,INDEX('Debt Tracker'!$T$5:$AE$29,25,AC330-1)&gt;0.01))*('Recurring Items'!$H$32&lt;&gt;"Skip")*(DAY(AB330)='Recurring Items'!$F$32)*IFERROR(N('Recurring Items'!$D$32),0)</f>
        <v>0</v>
      </c>
      <c r="AG330" s="1" t="n">
        <f aca="false">AD330-AE330-AF330</f>
        <v>-53.85</v>
      </c>
      <c r="AH330" s="1" t="n">
        <f aca="false">AH329+AG330</f>
        <v>8937.12</v>
      </c>
    </row>
    <row r="331" customFormat="false" ht="15" hidden="false" customHeight="true" outlineLevel="0" collapsed="false">
      <c r="AA331" s="1" t="n">
        <v>131</v>
      </c>
      <c r="AB331" s="145" t="n">
        <f aca="false">$D$3+131</f>
        <v>46274</v>
      </c>
      <c r="AC331" s="1" t="n">
        <f aca="false">MIN(12,1+DATEDIF($D$3,AB331,"M"))</f>
        <v>5</v>
      </c>
      <c r="AD331" s="1" t="n">
        <f aca="false">SUMPRODUCT(('Recurring Items'!$C$6:$C$56="Income")*('Recurring Items'!$H$6:$H$56&lt;&gt;"Skip")*IFERROR(N('Recurring Items'!$D$6:$D$56),0)*(('Recurring Items'!$E$6:$E$56="Monthly")*(DAY(AB331)='Recurring Items'!$F$6:$F$56)+('Recurring Items'!$E$6:$E$56="Bi-weekly")*(WEEKDAY(AB331)=IFERROR(WEEKDAY('Recurring Items'!$G$6:$G$56),0))*(MOD(AB331-IFERROR('Recurring Items'!$G$6:$G$56,0),14)=0)*(AB331&gt;=IFERROR('Recurring Items'!$G$6:$G$56,9000000000))+('Recurring Items'!$E$6:$E$56="Weekly")*(WEEKDAY(AB331)=IFERROR(WEEKDAY('Recurring Items'!$G$6:$G$56),0))*(AB331&gt;=IFERROR('Recurring Items'!$G$6:$G$56,9000000000))+('Recurring Items'!$E$6:$E$56="One-time")*(AB331='Recurring Items'!$G$6:$G$56)))</f>
        <v>0</v>
      </c>
      <c r="AE331" s="1" t="n">
        <f aca="false">SUMPRODUCT(('Recurring Items'!$C$6:$C$56="Expense")*('Recurring Items'!$H$6:$H$56&lt;&gt;"Skip")*IFERROR(N('Recurring Items'!$D$6:$D$56),0)*(('Recurring Items'!$E$6:$E$56="Monthly")*(DAY(AB331)='Recurring Items'!$F$6:$F$56)+('Recurring Items'!$E$6:$E$56="Bi-weekly")*(WEEKDAY(AB331)=IFERROR(WEEKDAY('Recurring Items'!$G$6:$G$56),0))*(MOD(AB331-IFERROR('Recurring Items'!$G$6:$G$56,0),14)=0)*(AB331&gt;=IFERROR('Recurring Items'!$G$6:$G$56,9000000000))+('Recurring Items'!$E$6:$E$56="Weekly")*(WEEKDAY(AB331)=IFERROR(WEEKDAY('Recurring Items'!$G$6:$G$56),0))*(AB331&gt;=IFERROR('Recurring Items'!$G$6:$G$56,9000000000))+('Recurring Items'!$E$6:$E$56="One-time")*(AB331='Recurring Items'!$G$6:$G$56)))</f>
        <v>0</v>
      </c>
      <c r="AF331" s="1" t="n">
        <f aca="false">(IF(AC331=1,'Debt Tracker'!$P$5&gt;0.01,INDEX('Debt Tracker'!$T$5:$AE$29,1,AC331-1)&gt;0.01))*('Recurring Items'!$H$8&lt;&gt;"Skip")*(DAY(AB331)='Recurring Items'!$F$8)*IFERROR(N('Recurring Items'!$D$8),0)+(IF(AC331=1,'Debt Tracker'!$P$6&gt;0.01,INDEX('Debt Tracker'!$T$5:$AE$29,2,AC331-1)&gt;0.01))*('Recurring Items'!$H$9&lt;&gt;"Skip")*(DAY(AB331)='Recurring Items'!$F$9)*IFERROR(N('Recurring Items'!$D$9),0)+(IF(AC331=1,'Debt Tracker'!$P$7&gt;0.01,INDEX('Debt Tracker'!$T$5:$AE$29,3,AC331-1)&gt;0.01))*('Recurring Items'!$H$10&lt;&gt;"Skip")*(DAY(AB331)='Recurring Items'!$F$10)*IFERROR(N('Recurring Items'!$D$10),0)+(IF(AC331=1,'Debt Tracker'!$P$8&gt;0.01,INDEX('Debt Tracker'!$T$5:$AE$29,4,AC331-1)&gt;0.01))*('Recurring Items'!$H$11&lt;&gt;"Skip")*(DAY(AB331)='Recurring Items'!$F$11)*IFERROR(N('Recurring Items'!$D$11),0)+(IF(AC331=1,'Debt Tracker'!$P$9&gt;0.01,INDEX('Debt Tracker'!$T$5:$AE$29,5,AC331-1)&gt;0.01))*('Recurring Items'!$H$12&lt;&gt;"Skip")*(DAY(AB331)='Recurring Items'!$F$12)*IFERROR(N('Recurring Items'!$D$12),0)+(IF(AC331=1,'Debt Tracker'!$P$10&gt;0.01,INDEX('Debt Tracker'!$T$5:$AE$29,6,AC331-1)&gt;0.01))*('Recurring Items'!$H$13&lt;&gt;"Skip")*(DAY(AB331)='Recurring Items'!$F$13)*IFERROR(N('Recurring Items'!$D$13),0)+(IF(AC331=1,'Debt Tracker'!$P$11&gt;0.01,INDEX('Debt Tracker'!$T$5:$AE$29,7,AC331-1)&gt;0.01))*('Recurring Items'!$H$14&lt;&gt;"Skip")*(DAY(AB331)='Recurring Items'!$F$14)*IFERROR(N('Recurring Items'!$D$14),0)+(IF(AC331=1,'Debt Tracker'!$P$12&gt;0.01,INDEX('Debt Tracker'!$T$5:$AE$29,8,AC331-1)&gt;0.01))*('Recurring Items'!$H$15&lt;&gt;"Skip")*(DAY(AB331)='Recurring Items'!$F$15)*IFERROR(N('Recurring Items'!$D$15),0)+(IF(AC331=1,'Debt Tracker'!$P$13&gt;0.01,INDEX('Debt Tracker'!$T$5:$AE$29,9,AC331-1)&gt;0.01))*('Recurring Items'!$H$16&lt;&gt;"Skip")*(DAY(AB331)='Recurring Items'!$F$16)*IFERROR(N('Recurring Items'!$D$16),0)+(IF(AC331=1,'Debt Tracker'!$P$14&gt;0.01,INDEX('Debt Tracker'!$T$5:$AE$29,10,AC331-1)&gt;0.01))*('Recurring Items'!$H$17&lt;&gt;"Skip")*(DAY(AB331)='Recurring Items'!$F$17)*IFERROR(N('Recurring Items'!$D$17),0)+(IF(AC331=1,'Debt Tracker'!$P$15&gt;0.01,INDEX('Debt Tracker'!$T$5:$AE$29,11,AC331-1)&gt;0.01))*('Recurring Items'!$H$18&lt;&gt;"Skip")*(DAY(AB331)='Recurring Items'!$F$18)*IFERROR(N('Recurring Items'!$D$18),0)+(IF(AC331=1,'Debt Tracker'!$P$16&gt;0.01,INDEX('Debt Tracker'!$T$5:$AE$29,12,AC331-1)&gt;0.01))*('Recurring Items'!$H$19&lt;&gt;"Skip")*(DAY(AB331)='Recurring Items'!$F$19)*IFERROR(N('Recurring Items'!$D$19),0)+(IF(AC331=1,'Debt Tracker'!$P$17&gt;0.01,INDEX('Debt Tracker'!$T$5:$AE$29,13,AC331-1)&gt;0.01))*('Recurring Items'!$H$20&lt;&gt;"Skip")*(DAY(AB331)='Recurring Items'!$F$20)*IFERROR(N('Recurring Items'!$D$20),0)+(IF(AC331=1,'Debt Tracker'!$P$18&gt;0.01,INDEX('Debt Tracker'!$T$5:$AE$29,14,AC331-1)&gt;0.01))*('Recurring Items'!$H$21&lt;&gt;"Skip")*(DAY(AB331)='Recurring Items'!$F$21)*IFERROR(N('Recurring Items'!$D$21),0)+(IF(AC331=1,'Debt Tracker'!$P$19&gt;0.01,INDEX('Debt Tracker'!$T$5:$AE$29,15,AC331-1)&gt;0.01))*('Recurring Items'!$H$22&lt;&gt;"Skip")*(DAY(AB331)='Recurring Items'!$F$22)*IFERROR(N('Recurring Items'!$D$22),0)+(IF(AC331=1,'Debt Tracker'!$P$20&gt;0.01,INDEX('Debt Tracker'!$T$5:$AE$29,16,AC331-1)&gt;0.01))*('Recurring Items'!$H$23&lt;&gt;"Skip")*(DAY(AB331)='Recurring Items'!$F$23)*IFERROR(N('Recurring Items'!$D$23),0)+(IF(AC331=1,'Debt Tracker'!$P$21&gt;0.01,INDEX('Debt Tracker'!$T$5:$AE$29,17,AC331-1)&gt;0.01))*('Recurring Items'!$H$24&lt;&gt;"Skip")*(DAY(AB331)='Recurring Items'!$F$24)*IFERROR(N('Recurring Items'!$D$24),0)+(IF(AC331=1,'Debt Tracker'!$P$22&gt;0.01,INDEX('Debt Tracker'!$T$5:$AE$29,18,AC331-1)&gt;0.01))*('Recurring Items'!$H$25&lt;&gt;"Skip")*(DAY(AB331)='Recurring Items'!$F$25)*IFERROR(N('Recurring Items'!$D$25),0)+(IF(AC331=1,'Debt Tracker'!$P$23&gt;0.01,INDEX('Debt Tracker'!$T$5:$AE$29,19,AC331-1)&gt;0.01))*('Recurring Items'!$H$26&lt;&gt;"Skip")*(DAY(AB331)='Recurring Items'!$F$26)*IFERROR(N('Recurring Items'!$D$26),0)+(IF(AC331=1,'Debt Tracker'!$P$24&gt;0.01,INDEX('Debt Tracker'!$T$5:$AE$29,20,AC331-1)&gt;0.01))*('Recurring Items'!$H$27&lt;&gt;"Skip")*(DAY(AB331)='Recurring Items'!$F$27)*IFERROR(N('Recurring Items'!$D$27),0)+(IF(AC331=1,'Debt Tracker'!$P$25&gt;0.01,INDEX('Debt Tracker'!$T$5:$AE$29,21,AC331-1)&gt;0.01))*('Recurring Items'!$H$28&lt;&gt;"Skip")*(DAY(AB331)='Recurring Items'!$F$28)*IFERROR(N('Recurring Items'!$D$28),0)+(IF(AC331=1,'Debt Tracker'!$P$26&gt;0.01,INDEX('Debt Tracker'!$T$5:$AE$29,22,AC331-1)&gt;0.01))*('Recurring Items'!$H$29&lt;&gt;"Skip")*(DAY(AB331)='Recurring Items'!$F$29)*IFERROR(N('Recurring Items'!$D$29),0)+(IF(AC331=1,'Debt Tracker'!$P$27&gt;0.01,INDEX('Debt Tracker'!$T$5:$AE$29,23,AC331-1)&gt;0.01))*('Recurring Items'!$H$30&lt;&gt;"Skip")*(DAY(AB331)='Recurring Items'!$F$30)*IFERROR(N('Recurring Items'!$D$30),0)+(IF(AC331=1,'Debt Tracker'!$P$28&gt;0.01,INDEX('Debt Tracker'!$T$5:$AE$29,24,AC331-1)&gt;0.01))*('Recurring Items'!$H$31&lt;&gt;"Skip")*(DAY(AB331)='Recurring Items'!$F$31)*IFERROR(N('Recurring Items'!$D$31),0)+(IF(AC331=1,'Debt Tracker'!$P$29&gt;0.01,INDEX('Debt Tracker'!$T$5:$AE$29,25,AC331-1)&gt;0.01))*('Recurring Items'!$H$32&lt;&gt;"Skip")*(DAY(AB331)='Recurring Items'!$F$32)*IFERROR(N('Recurring Items'!$D$32),0)</f>
        <v>0</v>
      </c>
      <c r="AG331" s="1" t="n">
        <f aca="false">AD331-AE331-AF331</f>
        <v>0</v>
      </c>
      <c r="AH331" s="1" t="n">
        <f aca="false">AH330+AG331</f>
        <v>8937.12</v>
      </c>
    </row>
    <row r="332" customFormat="false" ht="15" hidden="false" customHeight="true" outlineLevel="0" collapsed="false">
      <c r="AA332" s="1" t="n">
        <v>132</v>
      </c>
      <c r="AB332" s="145" t="n">
        <f aca="false">$D$3+132</f>
        <v>46275</v>
      </c>
      <c r="AC332" s="1" t="n">
        <f aca="false">MIN(12,1+DATEDIF($D$3,AB332,"M"))</f>
        <v>5</v>
      </c>
      <c r="AD332" s="1" t="n">
        <f aca="false">SUMPRODUCT(('Recurring Items'!$C$6:$C$56="Income")*('Recurring Items'!$H$6:$H$56&lt;&gt;"Skip")*IFERROR(N('Recurring Items'!$D$6:$D$56),0)*(('Recurring Items'!$E$6:$E$56="Monthly")*(DAY(AB332)='Recurring Items'!$F$6:$F$56)+('Recurring Items'!$E$6:$E$56="Bi-weekly")*(WEEKDAY(AB332)=IFERROR(WEEKDAY('Recurring Items'!$G$6:$G$56),0))*(MOD(AB332-IFERROR('Recurring Items'!$G$6:$G$56,0),14)=0)*(AB332&gt;=IFERROR('Recurring Items'!$G$6:$G$56,9000000000))+('Recurring Items'!$E$6:$E$56="Weekly")*(WEEKDAY(AB332)=IFERROR(WEEKDAY('Recurring Items'!$G$6:$G$56),0))*(AB332&gt;=IFERROR('Recurring Items'!$G$6:$G$56,9000000000))+('Recurring Items'!$E$6:$E$56="One-time")*(AB332='Recurring Items'!$G$6:$G$56)))</f>
        <v>2274.42</v>
      </c>
      <c r="AE332" s="1" t="n">
        <f aca="false">SUMPRODUCT(('Recurring Items'!$C$6:$C$56="Expense")*('Recurring Items'!$H$6:$H$56&lt;&gt;"Skip")*IFERROR(N('Recurring Items'!$D$6:$D$56),0)*(('Recurring Items'!$E$6:$E$56="Monthly")*(DAY(AB332)='Recurring Items'!$F$6:$F$56)+('Recurring Items'!$E$6:$E$56="Bi-weekly")*(WEEKDAY(AB332)=IFERROR(WEEKDAY('Recurring Items'!$G$6:$G$56),0))*(MOD(AB332-IFERROR('Recurring Items'!$G$6:$G$56,0),14)=0)*(AB332&gt;=IFERROR('Recurring Items'!$G$6:$G$56,9000000000))+('Recurring Items'!$E$6:$E$56="Weekly")*(WEEKDAY(AB332)=IFERROR(WEEKDAY('Recurring Items'!$G$6:$G$56),0))*(AB332&gt;=IFERROR('Recurring Items'!$G$6:$G$56,9000000000))+('Recurring Items'!$E$6:$E$56="One-time")*(AB332='Recurring Items'!$G$6:$G$56)))</f>
        <v>340.22</v>
      </c>
      <c r="AF332" s="1" t="n">
        <f aca="false">(IF(AC332=1,'Debt Tracker'!$P$5&gt;0.01,INDEX('Debt Tracker'!$T$5:$AE$29,1,AC332-1)&gt;0.01))*('Recurring Items'!$H$8&lt;&gt;"Skip")*(DAY(AB332)='Recurring Items'!$F$8)*IFERROR(N('Recurring Items'!$D$8),0)+(IF(AC332=1,'Debt Tracker'!$P$6&gt;0.01,INDEX('Debt Tracker'!$T$5:$AE$29,2,AC332-1)&gt;0.01))*('Recurring Items'!$H$9&lt;&gt;"Skip")*(DAY(AB332)='Recurring Items'!$F$9)*IFERROR(N('Recurring Items'!$D$9),0)+(IF(AC332=1,'Debt Tracker'!$P$7&gt;0.01,INDEX('Debt Tracker'!$T$5:$AE$29,3,AC332-1)&gt;0.01))*('Recurring Items'!$H$10&lt;&gt;"Skip")*(DAY(AB332)='Recurring Items'!$F$10)*IFERROR(N('Recurring Items'!$D$10),0)+(IF(AC332=1,'Debt Tracker'!$P$8&gt;0.01,INDEX('Debt Tracker'!$T$5:$AE$29,4,AC332-1)&gt;0.01))*('Recurring Items'!$H$11&lt;&gt;"Skip")*(DAY(AB332)='Recurring Items'!$F$11)*IFERROR(N('Recurring Items'!$D$11),0)+(IF(AC332=1,'Debt Tracker'!$P$9&gt;0.01,INDEX('Debt Tracker'!$T$5:$AE$29,5,AC332-1)&gt;0.01))*('Recurring Items'!$H$12&lt;&gt;"Skip")*(DAY(AB332)='Recurring Items'!$F$12)*IFERROR(N('Recurring Items'!$D$12),0)+(IF(AC332=1,'Debt Tracker'!$P$10&gt;0.01,INDEX('Debt Tracker'!$T$5:$AE$29,6,AC332-1)&gt;0.01))*('Recurring Items'!$H$13&lt;&gt;"Skip")*(DAY(AB332)='Recurring Items'!$F$13)*IFERROR(N('Recurring Items'!$D$13),0)+(IF(AC332=1,'Debt Tracker'!$P$11&gt;0.01,INDEX('Debt Tracker'!$T$5:$AE$29,7,AC332-1)&gt;0.01))*('Recurring Items'!$H$14&lt;&gt;"Skip")*(DAY(AB332)='Recurring Items'!$F$14)*IFERROR(N('Recurring Items'!$D$14),0)+(IF(AC332=1,'Debt Tracker'!$P$12&gt;0.01,INDEX('Debt Tracker'!$T$5:$AE$29,8,AC332-1)&gt;0.01))*('Recurring Items'!$H$15&lt;&gt;"Skip")*(DAY(AB332)='Recurring Items'!$F$15)*IFERROR(N('Recurring Items'!$D$15),0)+(IF(AC332=1,'Debt Tracker'!$P$13&gt;0.01,INDEX('Debt Tracker'!$T$5:$AE$29,9,AC332-1)&gt;0.01))*('Recurring Items'!$H$16&lt;&gt;"Skip")*(DAY(AB332)='Recurring Items'!$F$16)*IFERROR(N('Recurring Items'!$D$16),0)+(IF(AC332=1,'Debt Tracker'!$P$14&gt;0.01,INDEX('Debt Tracker'!$T$5:$AE$29,10,AC332-1)&gt;0.01))*('Recurring Items'!$H$17&lt;&gt;"Skip")*(DAY(AB332)='Recurring Items'!$F$17)*IFERROR(N('Recurring Items'!$D$17),0)+(IF(AC332=1,'Debt Tracker'!$P$15&gt;0.01,INDEX('Debt Tracker'!$T$5:$AE$29,11,AC332-1)&gt;0.01))*('Recurring Items'!$H$18&lt;&gt;"Skip")*(DAY(AB332)='Recurring Items'!$F$18)*IFERROR(N('Recurring Items'!$D$18),0)+(IF(AC332=1,'Debt Tracker'!$P$16&gt;0.01,INDEX('Debt Tracker'!$T$5:$AE$29,12,AC332-1)&gt;0.01))*('Recurring Items'!$H$19&lt;&gt;"Skip")*(DAY(AB332)='Recurring Items'!$F$19)*IFERROR(N('Recurring Items'!$D$19),0)+(IF(AC332=1,'Debt Tracker'!$P$17&gt;0.01,INDEX('Debt Tracker'!$T$5:$AE$29,13,AC332-1)&gt;0.01))*('Recurring Items'!$H$20&lt;&gt;"Skip")*(DAY(AB332)='Recurring Items'!$F$20)*IFERROR(N('Recurring Items'!$D$20),0)+(IF(AC332=1,'Debt Tracker'!$P$18&gt;0.01,INDEX('Debt Tracker'!$T$5:$AE$29,14,AC332-1)&gt;0.01))*('Recurring Items'!$H$21&lt;&gt;"Skip")*(DAY(AB332)='Recurring Items'!$F$21)*IFERROR(N('Recurring Items'!$D$21),0)+(IF(AC332=1,'Debt Tracker'!$P$19&gt;0.01,INDEX('Debt Tracker'!$T$5:$AE$29,15,AC332-1)&gt;0.01))*('Recurring Items'!$H$22&lt;&gt;"Skip")*(DAY(AB332)='Recurring Items'!$F$22)*IFERROR(N('Recurring Items'!$D$22),0)+(IF(AC332=1,'Debt Tracker'!$P$20&gt;0.01,INDEX('Debt Tracker'!$T$5:$AE$29,16,AC332-1)&gt;0.01))*('Recurring Items'!$H$23&lt;&gt;"Skip")*(DAY(AB332)='Recurring Items'!$F$23)*IFERROR(N('Recurring Items'!$D$23),0)+(IF(AC332=1,'Debt Tracker'!$P$21&gt;0.01,INDEX('Debt Tracker'!$T$5:$AE$29,17,AC332-1)&gt;0.01))*('Recurring Items'!$H$24&lt;&gt;"Skip")*(DAY(AB332)='Recurring Items'!$F$24)*IFERROR(N('Recurring Items'!$D$24),0)+(IF(AC332=1,'Debt Tracker'!$P$22&gt;0.01,INDEX('Debt Tracker'!$T$5:$AE$29,18,AC332-1)&gt;0.01))*('Recurring Items'!$H$25&lt;&gt;"Skip")*(DAY(AB332)='Recurring Items'!$F$25)*IFERROR(N('Recurring Items'!$D$25),0)+(IF(AC332=1,'Debt Tracker'!$P$23&gt;0.01,INDEX('Debt Tracker'!$T$5:$AE$29,19,AC332-1)&gt;0.01))*('Recurring Items'!$H$26&lt;&gt;"Skip")*(DAY(AB332)='Recurring Items'!$F$26)*IFERROR(N('Recurring Items'!$D$26),0)+(IF(AC332=1,'Debt Tracker'!$P$24&gt;0.01,INDEX('Debt Tracker'!$T$5:$AE$29,20,AC332-1)&gt;0.01))*('Recurring Items'!$H$27&lt;&gt;"Skip")*(DAY(AB332)='Recurring Items'!$F$27)*IFERROR(N('Recurring Items'!$D$27),0)+(IF(AC332=1,'Debt Tracker'!$P$25&gt;0.01,INDEX('Debt Tracker'!$T$5:$AE$29,21,AC332-1)&gt;0.01))*('Recurring Items'!$H$28&lt;&gt;"Skip")*(DAY(AB332)='Recurring Items'!$F$28)*IFERROR(N('Recurring Items'!$D$28),0)+(IF(AC332=1,'Debt Tracker'!$P$26&gt;0.01,INDEX('Debt Tracker'!$T$5:$AE$29,22,AC332-1)&gt;0.01))*('Recurring Items'!$H$29&lt;&gt;"Skip")*(DAY(AB332)='Recurring Items'!$F$29)*IFERROR(N('Recurring Items'!$D$29),0)+(IF(AC332=1,'Debt Tracker'!$P$27&gt;0.01,INDEX('Debt Tracker'!$T$5:$AE$29,23,AC332-1)&gt;0.01))*('Recurring Items'!$H$30&lt;&gt;"Skip")*(DAY(AB332)='Recurring Items'!$F$30)*IFERROR(N('Recurring Items'!$D$30),0)+(IF(AC332=1,'Debt Tracker'!$P$28&gt;0.01,INDEX('Debt Tracker'!$T$5:$AE$29,24,AC332-1)&gt;0.01))*('Recurring Items'!$H$31&lt;&gt;"Skip")*(DAY(AB332)='Recurring Items'!$F$31)*IFERROR(N('Recurring Items'!$D$31),0)+(IF(AC332=1,'Debt Tracker'!$P$29&gt;0.01,INDEX('Debt Tracker'!$T$5:$AE$29,25,AC332-1)&gt;0.01))*('Recurring Items'!$H$32&lt;&gt;"Skip")*(DAY(AB332)='Recurring Items'!$F$32)*IFERROR(N('Recurring Items'!$D$32),0)</f>
        <v>72.54</v>
      </c>
      <c r="AG332" s="1" t="n">
        <f aca="false">AD332-AE332-AF332</f>
        <v>1861.66</v>
      </c>
      <c r="AH332" s="1" t="n">
        <f aca="false">AH331+AG332</f>
        <v>10798.78</v>
      </c>
    </row>
    <row r="333" customFormat="false" ht="15" hidden="false" customHeight="true" outlineLevel="0" collapsed="false">
      <c r="AA333" s="1" t="n">
        <v>133</v>
      </c>
      <c r="AB333" s="145" t="n">
        <f aca="false">$D$3+133</f>
        <v>46276</v>
      </c>
      <c r="AC333" s="1" t="n">
        <f aca="false">MIN(12,1+DATEDIF($D$3,AB333,"M"))</f>
        <v>5</v>
      </c>
      <c r="AD333" s="1" t="n">
        <f aca="false">SUMPRODUCT(('Recurring Items'!$C$6:$C$56="Income")*('Recurring Items'!$H$6:$H$56&lt;&gt;"Skip")*IFERROR(N('Recurring Items'!$D$6:$D$56),0)*(('Recurring Items'!$E$6:$E$56="Monthly")*(DAY(AB333)='Recurring Items'!$F$6:$F$56)+('Recurring Items'!$E$6:$E$56="Bi-weekly")*(WEEKDAY(AB333)=IFERROR(WEEKDAY('Recurring Items'!$G$6:$G$56),0))*(MOD(AB333-IFERROR('Recurring Items'!$G$6:$G$56,0),14)=0)*(AB333&gt;=IFERROR('Recurring Items'!$G$6:$G$56,9000000000))+('Recurring Items'!$E$6:$E$56="Weekly")*(WEEKDAY(AB333)=IFERROR(WEEKDAY('Recurring Items'!$G$6:$G$56),0))*(AB333&gt;=IFERROR('Recurring Items'!$G$6:$G$56,9000000000))+('Recurring Items'!$E$6:$E$56="One-time")*(AB333='Recurring Items'!$G$6:$G$56)))</f>
        <v>0</v>
      </c>
      <c r="AE333" s="1" t="n">
        <f aca="false">SUMPRODUCT(('Recurring Items'!$C$6:$C$56="Expense")*('Recurring Items'!$H$6:$H$56&lt;&gt;"Skip")*IFERROR(N('Recurring Items'!$D$6:$D$56),0)*(('Recurring Items'!$E$6:$E$56="Monthly")*(DAY(AB333)='Recurring Items'!$F$6:$F$56)+('Recurring Items'!$E$6:$E$56="Bi-weekly")*(WEEKDAY(AB333)=IFERROR(WEEKDAY('Recurring Items'!$G$6:$G$56),0))*(MOD(AB333-IFERROR('Recurring Items'!$G$6:$G$56,0),14)=0)*(AB333&gt;=IFERROR('Recurring Items'!$G$6:$G$56,9000000000))+('Recurring Items'!$E$6:$E$56="Weekly")*(WEEKDAY(AB333)=IFERROR(WEEKDAY('Recurring Items'!$G$6:$G$56),0))*(AB333&gt;=IFERROR('Recurring Items'!$G$6:$G$56,9000000000))+('Recurring Items'!$E$6:$E$56="One-time")*(AB333='Recurring Items'!$G$6:$G$56)))</f>
        <v>460</v>
      </c>
      <c r="AF333" s="1" t="n">
        <f aca="false">(IF(AC333=1,'Debt Tracker'!$P$5&gt;0.01,INDEX('Debt Tracker'!$T$5:$AE$29,1,AC333-1)&gt;0.01))*('Recurring Items'!$H$8&lt;&gt;"Skip")*(DAY(AB333)='Recurring Items'!$F$8)*IFERROR(N('Recurring Items'!$D$8),0)+(IF(AC333=1,'Debt Tracker'!$P$6&gt;0.01,INDEX('Debt Tracker'!$T$5:$AE$29,2,AC333-1)&gt;0.01))*('Recurring Items'!$H$9&lt;&gt;"Skip")*(DAY(AB333)='Recurring Items'!$F$9)*IFERROR(N('Recurring Items'!$D$9),0)+(IF(AC333=1,'Debt Tracker'!$P$7&gt;0.01,INDEX('Debt Tracker'!$T$5:$AE$29,3,AC333-1)&gt;0.01))*('Recurring Items'!$H$10&lt;&gt;"Skip")*(DAY(AB333)='Recurring Items'!$F$10)*IFERROR(N('Recurring Items'!$D$10),0)+(IF(AC333=1,'Debt Tracker'!$P$8&gt;0.01,INDEX('Debt Tracker'!$T$5:$AE$29,4,AC333-1)&gt;0.01))*('Recurring Items'!$H$11&lt;&gt;"Skip")*(DAY(AB333)='Recurring Items'!$F$11)*IFERROR(N('Recurring Items'!$D$11),0)+(IF(AC333=1,'Debt Tracker'!$P$9&gt;0.01,INDEX('Debt Tracker'!$T$5:$AE$29,5,AC333-1)&gt;0.01))*('Recurring Items'!$H$12&lt;&gt;"Skip")*(DAY(AB333)='Recurring Items'!$F$12)*IFERROR(N('Recurring Items'!$D$12),0)+(IF(AC333=1,'Debt Tracker'!$P$10&gt;0.01,INDEX('Debt Tracker'!$T$5:$AE$29,6,AC333-1)&gt;0.01))*('Recurring Items'!$H$13&lt;&gt;"Skip")*(DAY(AB333)='Recurring Items'!$F$13)*IFERROR(N('Recurring Items'!$D$13),0)+(IF(AC333=1,'Debt Tracker'!$P$11&gt;0.01,INDEX('Debt Tracker'!$T$5:$AE$29,7,AC333-1)&gt;0.01))*('Recurring Items'!$H$14&lt;&gt;"Skip")*(DAY(AB333)='Recurring Items'!$F$14)*IFERROR(N('Recurring Items'!$D$14),0)+(IF(AC333=1,'Debt Tracker'!$P$12&gt;0.01,INDEX('Debt Tracker'!$T$5:$AE$29,8,AC333-1)&gt;0.01))*('Recurring Items'!$H$15&lt;&gt;"Skip")*(DAY(AB333)='Recurring Items'!$F$15)*IFERROR(N('Recurring Items'!$D$15),0)+(IF(AC333=1,'Debt Tracker'!$P$13&gt;0.01,INDEX('Debt Tracker'!$T$5:$AE$29,9,AC333-1)&gt;0.01))*('Recurring Items'!$H$16&lt;&gt;"Skip")*(DAY(AB333)='Recurring Items'!$F$16)*IFERROR(N('Recurring Items'!$D$16),0)+(IF(AC333=1,'Debt Tracker'!$P$14&gt;0.01,INDEX('Debt Tracker'!$T$5:$AE$29,10,AC333-1)&gt;0.01))*('Recurring Items'!$H$17&lt;&gt;"Skip")*(DAY(AB333)='Recurring Items'!$F$17)*IFERROR(N('Recurring Items'!$D$17),0)+(IF(AC333=1,'Debt Tracker'!$P$15&gt;0.01,INDEX('Debt Tracker'!$T$5:$AE$29,11,AC333-1)&gt;0.01))*('Recurring Items'!$H$18&lt;&gt;"Skip")*(DAY(AB333)='Recurring Items'!$F$18)*IFERROR(N('Recurring Items'!$D$18),0)+(IF(AC333=1,'Debt Tracker'!$P$16&gt;0.01,INDEX('Debt Tracker'!$T$5:$AE$29,12,AC333-1)&gt;0.01))*('Recurring Items'!$H$19&lt;&gt;"Skip")*(DAY(AB333)='Recurring Items'!$F$19)*IFERROR(N('Recurring Items'!$D$19),0)+(IF(AC333=1,'Debt Tracker'!$P$17&gt;0.01,INDEX('Debt Tracker'!$T$5:$AE$29,13,AC333-1)&gt;0.01))*('Recurring Items'!$H$20&lt;&gt;"Skip")*(DAY(AB333)='Recurring Items'!$F$20)*IFERROR(N('Recurring Items'!$D$20),0)+(IF(AC333=1,'Debt Tracker'!$P$18&gt;0.01,INDEX('Debt Tracker'!$T$5:$AE$29,14,AC333-1)&gt;0.01))*('Recurring Items'!$H$21&lt;&gt;"Skip")*(DAY(AB333)='Recurring Items'!$F$21)*IFERROR(N('Recurring Items'!$D$21),0)+(IF(AC333=1,'Debt Tracker'!$P$19&gt;0.01,INDEX('Debt Tracker'!$T$5:$AE$29,15,AC333-1)&gt;0.01))*('Recurring Items'!$H$22&lt;&gt;"Skip")*(DAY(AB333)='Recurring Items'!$F$22)*IFERROR(N('Recurring Items'!$D$22),0)+(IF(AC333=1,'Debt Tracker'!$P$20&gt;0.01,INDEX('Debt Tracker'!$T$5:$AE$29,16,AC333-1)&gt;0.01))*('Recurring Items'!$H$23&lt;&gt;"Skip")*(DAY(AB333)='Recurring Items'!$F$23)*IFERROR(N('Recurring Items'!$D$23),0)+(IF(AC333=1,'Debt Tracker'!$P$21&gt;0.01,INDEX('Debt Tracker'!$T$5:$AE$29,17,AC333-1)&gt;0.01))*('Recurring Items'!$H$24&lt;&gt;"Skip")*(DAY(AB333)='Recurring Items'!$F$24)*IFERROR(N('Recurring Items'!$D$24),0)+(IF(AC333=1,'Debt Tracker'!$P$22&gt;0.01,INDEX('Debt Tracker'!$T$5:$AE$29,18,AC333-1)&gt;0.01))*('Recurring Items'!$H$25&lt;&gt;"Skip")*(DAY(AB333)='Recurring Items'!$F$25)*IFERROR(N('Recurring Items'!$D$25),0)+(IF(AC333=1,'Debt Tracker'!$P$23&gt;0.01,INDEX('Debt Tracker'!$T$5:$AE$29,19,AC333-1)&gt;0.01))*('Recurring Items'!$H$26&lt;&gt;"Skip")*(DAY(AB333)='Recurring Items'!$F$26)*IFERROR(N('Recurring Items'!$D$26),0)+(IF(AC333=1,'Debt Tracker'!$P$24&gt;0.01,INDEX('Debt Tracker'!$T$5:$AE$29,20,AC333-1)&gt;0.01))*('Recurring Items'!$H$27&lt;&gt;"Skip")*(DAY(AB333)='Recurring Items'!$F$27)*IFERROR(N('Recurring Items'!$D$27),0)+(IF(AC333=1,'Debt Tracker'!$P$25&gt;0.01,INDEX('Debt Tracker'!$T$5:$AE$29,21,AC333-1)&gt;0.01))*('Recurring Items'!$H$28&lt;&gt;"Skip")*(DAY(AB333)='Recurring Items'!$F$28)*IFERROR(N('Recurring Items'!$D$28),0)+(IF(AC333=1,'Debt Tracker'!$P$26&gt;0.01,INDEX('Debt Tracker'!$T$5:$AE$29,22,AC333-1)&gt;0.01))*('Recurring Items'!$H$29&lt;&gt;"Skip")*(DAY(AB333)='Recurring Items'!$F$29)*IFERROR(N('Recurring Items'!$D$29),0)+(IF(AC333=1,'Debt Tracker'!$P$27&gt;0.01,INDEX('Debt Tracker'!$T$5:$AE$29,23,AC333-1)&gt;0.01))*('Recurring Items'!$H$30&lt;&gt;"Skip")*(DAY(AB333)='Recurring Items'!$F$30)*IFERROR(N('Recurring Items'!$D$30),0)+(IF(AC333=1,'Debt Tracker'!$P$28&gt;0.01,INDEX('Debt Tracker'!$T$5:$AE$29,24,AC333-1)&gt;0.01))*('Recurring Items'!$H$31&lt;&gt;"Skip")*(DAY(AB333)='Recurring Items'!$F$31)*IFERROR(N('Recurring Items'!$D$31),0)+(IF(AC333=1,'Debt Tracker'!$P$29&gt;0.01,INDEX('Debt Tracker'!$T$5:$AE$29,25,AC333-1)&gt;0.01))*('Recurring Items'!$H$32&lt;&gt;"Skip")*(DAY(AB333)='Recurring Items'!$F$32)*IFERROR(N('Recurring Items'!$D$32),0)</f>
        <v>0</v>
      </c>
      <c r="AG333" s="1" t="n">
        <f aca="false">AD333-AE333-AF333</f>
        <v>-460</v>
      </c>
      <c r="AH333" s="1" t="n">
        <f aca="false">AH332+AG333</f>
        <v>10338.78</v>
      </c>
    </row>
    <row r="334" customFormat="false" ht="15" hidden="false" customHeight="true" outlineLevel="0" collapsed="false">
      <c r="AA334" s="1" t="n">
        <v>134</v>
      </c>
      <c r="AB334" s="145" t="n">
        <f aca="false">$D$3+134</f>
        <v>46277</v>
      </c>
      <c r="AC334" s="1" t="n">
        <f aca="false">MIN(12,1+DATEDIF($D$3,AB334,"M"))</f>
        <v>5</v>
      </c>
      <c r="AD334" s="1" t="n">
        <f aca="false">SUMPRODUCT(('Recurring Items'!$C$6:$C$56="Income")*('Recurring Items'!$H$6:$H$56&lt;&gt;"Skip")*IFERROR(N('Recurring Items'!$D$6:$D$56),0)*(('Recurring Items'!$E$6:$E$56="Monthly")*(DAY(AB334)='Recurring Items'!$F$6:$F$56)+('Recurring Items'!$E$6:$E$56="Bi-weekly")*(WEEKDAY(AB334)=IFERROR(WEEKDAY('Recurring Items'!$G$6:$G$56),0))*(MOD(AB334-IFERROR('Recurring Items'!$G$6:$G$56,0),14)=0)*(AB334&gt;=IFERROR('Recurring Items'!$G$6:$G$56,9000000000))+('Recurring Items'!$E$6:$E$56="Weekly")*(WEEKDAY(AB334)=IFERROR(WEEKDAY('Recurring Items'!$G$6:$G$56),0))*(AB334&gt;=IFERROR('Recurring Items'!$G$6:$G$56,9000000000))+('Recurring Items'!$E$6:$E$56="One-time")*(AB334='Recurring Items'!$G$6:$G$56)))</f>
        <v>0</v>
      </c>
      <c r="AE334" s="1" t="n">
        <f aca="false">SUMPRODUCT(('Recurring Items'!$C$6:$C$56="Expense")*('Recurring Items'!$H$6:$H$56&lt;&gt;"Skip")*IFERROR(N('Recurring Items'!$D$6:$D$56),0)*(('Recurring Items'!$E$6:$E$56="Monthly")*(DAY(AB334)='Recurring Items'!$F$6:$F$56)+('Recurring Items'!$E$6:$E$56="Bi-weekly")*(WEEKDAY(AB334)=IFERROR(WEEKDAY('Recurring Items'!$G$6:$G$56),0))*(MOD(AB334-IFERROR('Recurring Items'!$G$6:$G$56,0),14)=0)*(AB334&gt;=IFERROR('Recurring Items'!$G$6:$G$56,9000000000))+('Recurring Items'!$E$6:$E$56="Weekly")*(WEEKDAY(AB334)=IFERROR(WEEKDAY('Recurring Items'!$G$6:$G$56),0))*(AB334&gt;=IFERROR('Recurring Items'!$G$6:$G$56,9000000000))+('Recurring Items'!$E$6:$E$56="One-time")*(AB334='Recurring Items'!$G$6:$G$56)))</f>
        <v>167.68</v>
      </c>
      <c r="AF334" s="1" t="n">
        <f aca="false">(IF(AC334=1,'Debt Tracker'!$P$5&gt;0.01,INDEX('Debt Tracker'!$T$5:$AE$29,1,AC334-1)&gt;0.01))*('Recurring Items'!$H$8&lt;&gt;"Skip")*(DAY(AB334)='Recurring Items'!$F$8)*IFERROR(N('Recurring Items'!$D$8),0)+(IF(AC334=1,'Debt Tracker'!$P$6&gt;0.01,INDEX('Debt Tracker'!$T$5:$AE$29,2,AC334-1)&gt;0.01))*('Recurring Items'!$H$9&lt;&gt;"Skip")*(DAY(AB334)='Recurring Items'!$F$9)*IFERROR(N('Recurring Items'!$D$9),0)+(IF(AC334=1,'Debt Tracker'!$P$7&gt;0.01,INDEX('Debt Tracker'!$T$5:$AE$29,3,AC334-1)&gt;0.01))*('Recurring Items'!$H$10&lt;&gt;"Skip")*(DAY(AB334)='Recurring Items'!$F$10)*IFERROR(N('Recurring Items'!$D$10),0)+(IF(AC334=1,'Debt Tracker'!$P$8&gt;0.01,INDEX('Debt Tracker'!$T$5:$AE$29,4,AC334-1)&gt;0.01))*('Recurring Items'!$H$11&lt;&gt;"Skip")*(DAY(AB334)='Recurring Items'!$F$11)*IFERROR(N('Recurring Items'!$D$11),0)+(IF(AC334=1,'Debt Tracker'!$P$9&gt;0.01,INDEX('Debt Tracker'!$T$5:$AE$29,5,AC334-1)&gt;0.01))*('Recurring Items'!$H$12&lt;&gt;"Skip")*(DAY(AB334)='Recurring Items'!$F$12)*IFERROR(N('Recurring Items'!$D$12),0)+(IF(AC334=1,'Debt Tracker'!$P$10&gt;0.01,INDEX('Debt Tracker'!$T$5:$AE$29,6,AC334-1)&gt;0.01))*('Recurring Items'!$H$13&lt;&gt;"Skip")*(DAY(AB334)='Recurring Items'!$F$13)*IFERROR(N('Recurring Items'!$D$13),0)+(IF(AC334=1,'Debt Tracker'!$P$11&gt;0.01,INDEX('Debt Tracker'!$T$5:$AE$29,7,AC334-1)&gt;0.01))*('Recurring Items'!$H$14&lt;&gt;"Skip")*(DAY(AB334)='Recurring Items'!$F$14)*IFERROR(N('Recurring Items'!$D$14),0)+(IF(AC334=1,'Debt Tracker'!$P$12&gt;0.01,INDEX('Debt Tracker'!$T$5:$AE$29,8,AC334-1)&gt;0.01))*('Recurring Items'!$H$15&lt;&gt;"Skip")*(DAY(AB334)='Recurring Items'!$F$15)*IFERROR(N('Recurring Items'!$D$15),0)+(IF(AC334=1,'Debt Tracker'!$P$13&gt;0.01,INDEX('Debt Tracker'!$T$5:$AE$29,9,AC334-1)&gt;0.01))*('Recurring Items'!$H$16&lt;&gt;"Skip")*(DAY(AB334)='Recurring Items'!$F$16)*IFERROR(N('Recurring Items'!$D$16),0)+(IF(AC334=1,'Debt Tracker'!$P$14&gt;0.01,INDEX('Debt Tracker'!$T$5:$AE$29,10,AC334-1)&gt;0.01))*('Recurring Items'!$H$17&lt;&gt;"Skip")*(DAY(AB334)='Recurring Items'!$F$17)*IFERROR(N('Recurring Items'!$D$17),0)+(IF(AC334=1,'Debt Tracker'!$P$15&gt;0.01,INDEX('Debt Tracker'!$T$5:$AE$29,11,AC334-1)&gt;0.01))*('Recurring Items'!$H$18&lt;&gt;"Skip")*(DAY(AB334)='Recurring Items'!$F$18)*IFERROR(N('Recurring Items'!$D$18),0)+(IF(AC334=1,'Debt Tracker'!$P$16&gt;0.01,INDEX('Debt Tracker'!$T$5:$AE$29,12,AC334-1)&gt;0.01))*('Recurring Items'!$H$19&lt;&gt;"Skip")*(DAY(AB334)='Recurring Items'!$F$19)*IFERROR(N('Recurring Items'!$D$19),0)+(IF(AC334=1,'Debt Tracker'!$P$17&gt;0.01,INDEX('Debt Tracker'!$T$5:$AE$29,13,AC334-1)&gt;0.01))*('Recurring Items'!$H$20&lt;&gt;"Skip")*(DAY(AB334)='Recurring Items'!$F$20)*IFERROR(N('Recurring Items'!$D$20),0)+(IF(AC334=1,'Debt Tracker'!$P$18&gt;0.01,INDEX('Debt Tracker'!$T$5:$AE$29,14,AC334-1)&gt;0.01))*('Recurring Items'!$H$21&lt;&gt;"Skip")*(DAY(AB334)='Recurring Items'!$F$21)*IFERROR(N('Recurring Items'!$D$21),0)+(IF(AC334=1,'Debt Tracker'!$P$19&gt;0.01,INDEX('Debt Tracker'!$T$5:$AE$29,15,AC334-1)&gt;0.01))*('Recurring Items'!$H$22&lt;&gt;"Skip")*(DAY(AB334)='Recurring Items'!$F$22)*IFERROR(N('Recurring Items'!$D$22),0)+(IF(AC334=1,'Debt Tracker'!$P$20&gt;0.01,INDEX('Debt Tracker'!$T$5:$AE$29,16,AC334-1)&gt;0.01))*('Recurring Items'!$H$23&lt;&gt;"Skip")*(DAY(AB334)='Recurring Items'!$F$23)*IFERROR(N('Recurring Items'!$D$23),0)+(IF(AC334=1,'Debt Tracker'!$P$21&gt;0.01,INDEX('Debt Tracker'!$T$5:$AE$29,17,AC334-1)&gt;0.01))*('Recurring Items'!$H$24&lt;&gt;"Skip")*(DAY(AB334)='Recurring Items'!$F$24)*IFERROR(N('Recurring Items'!$D$24),0)+(IF(AC334=1,'Debt Tracker'!$P$22&gt;0.01,INDEX('Debt Tracker'!$T$5:$AE$29,18,AC334-1)&gt;0.01))*('Recurring Items'!$H$25&lt;&gt;"Skip")*(DAY(AB334)='Recurring Items'!$F$25)*IFERROR(N('Recurring Items'!$D$25),0)+(IF(AC334=1,'Debt Tracker'!$P$23&gt;0.01,INDEX('Debt Tracker'!$T$5:$AE$29,19,AC334-1)&gt;0.01))*('Recurring Items'!$H$26&lt;&gt;"Skip")*(DAY(AB334)='Recurring Items'!$F$26)*IFERROR(N('Recurring Items'!$D$26),0)+(IF(AC334=1,'Debt Tracker'!$P$24&gt;0.01,INDEX('Debt Tracker'!$T$5:$AE$29,20,AC334-1)&gt;0.01))*('Recurring Items'!$H$27&lt;&gt;"Skip")*(DAY(AB334)='Recurring Items'!$F$27)*IFERROR(N('Recurring Items'!$D$27),0)+(IF(AC334=1,'Debt Tracker'!$P$25&gt;0.01,INDEX('Debt Tracker'!$T$5:$AE$29,21,AC334-1)&gt;0.01))*('Recurring Items'!$H$28&lt;&gt;"Skip")*(DAY(AB334)='Recurring Items'!$F$28)*IFERROR(N('Recurring Items'!$D$28),0)+(IF(AC334=1,'Debt Tracker'!$P$26&gt;0.01,INDEX('Debt Tracker'!$T$5:$AE$29,22,AC334-1)&gt;0.01))*('Recurring Items'!$H$29&lt;&gt;"Skip")*(DAY(AB334)='Recurring Items'!$F$29)*IFERROR(N('Recurring Items'!$D$29),0)+(IF(AC334=1,'Debt Tracker'!$P$27&gt;0.01,INDEX('Debt Tracker'!$T$5:$AE$29,23,AC334-1)&gt;0.01))*('Recurring Items'!$H$30&lt;&gt;"Skip")*(DAY(AB334)='Recurring Items'!$F$30)*IFERROR(N('Recurring Items'!$D$30),0)+(IF(AC334=1,'Debt Tracker'!$P$28&gt;0.01,INDEX('Debt Tracker'!$T$5:$AE$29,24,AC334-1)&gt;0.01))*('Recurring Items'!$H$31&lt;&gt;"Skip")*(DAY(AB334)='Recurring Items'!$F$31)*IFERROR(N('Recurring Items'!$D$31),0)+(IF(AC334=1,'Debt Tracker'!$P$29&gt;0.01,INDEX('Debt Tracker'!$T$5:$AE$29,25,AC334-1)&gt;0.01))*('Recurring Items'!$H$32&lt;&gt;"Skip")*(DAY(AB334)='Recurring Items'!$F$32)*IFERROR(N('Recurring Items'!$D$32),0)</f>
        <v>0</v>
      </c>
      <c r="AG334" s="1" t="n">
        <f aca="false">AD334-AE334-AF334</f>
        <v>-167.68</v>
      </c>
      <c r="AH334" s="1" t="n">
        <f aca="false">AH333+AG334</f>
        <v>10171.1</v>
      </c>
    </row>
    <row r="335" customFormat="false" ht="15" hidden="false" customHeight="true" outlineLevel="0" collapsed="false">
      <c r="AA335" s="1" t="n">
        <v>135</v>
      </c>
      <c r="AB335" s="145" t="n">
        <f aca="false">$D$3+135</f>
        <v>46278</v>
      </c>
      <c r="AC335" s="1" t="n">
        <f aca="false">MIN(12,1+DATEDIF($D$3,AB335,"M"))</f>
        <v>5</v>
      </c>
      <c r="AD335" s="1" t="n">
        <f aca="false">SUMPRODUCT(('Recurring Items'!$C$6:$C$56="Income")*('Recurring Items'!$H$6:$H$56&lt;&gt;"Skip")*IFERROR(N('Recurring Items'!$D$6:$D$56),0)*(('Recurring Items'!$E$6:$E$56="Monthly")*(DAY(AB335)='Recurring Items'!$F$6:$F$56)+('Recurring Items'!$E$6:$E$56="Bi-weekly")*(WEEKDAY(AB335)=IFERROR(WEEKDAY('Recurring Items'!$G$6:$G$56),0))*(MOD(AB335-IFERROR('Recurring Items'!$G$6:$G$56,0),14)=0)*(AB335&gt;=IFERROR('Recurring Items'!$G$6:$G$56,9000000000))+('Recurring Items'!$E$6:$E$56="Weekly")*(WEEKDAY(AB335)=IFERROR(WEEKDAY('Recurring Items'!$G$6:$G$56),0))*(AB335&gt;=IFERROR('Recurring Items'!$G$6:$G$56,9000000000))+('Recurring Items'!$E$6:$E$56="One-time")*(AB335='Recurring Items'!$G$6:$G$56)))</f>
        <v>0</v>
      </c>
      <c r="AE335" s="1" t="n">
        <f aca="false">SUMPRODUCT(('Recurring Items'!$C$6:$C$56="Expense")*('Recurring Items'!$H$6:$H$56&lt;&gt;"Skip")*IFERROR(N('Recurring Items'!$D$6:$D$56),0)*(('Recurring Items'!$E$6:$E$56="Monthly")*(DAY(AB335)='Recurring Items'!$F$6:$F$56)+('Recurring Items'!$E$6:$E$56="Bi-weekly")*(WEEKDAY(AB335)=IFERROR(WEEKDAY('Recurring Items'!$G$6:$G$56),0))*(MOD(AB335-IFERROR('Recurring Items'!$G$6:$G$56,0),14)=0)*(AB335&gt;=IFERROR('Recurring Items'!$G$6:$G$56,9000000000))+('Recurring Items'!$E$6:$E$56="Weekly")*(WEEKDAY(AB335)=IFERROR(WEEKDAY('Recurring Items'!$G$6:$G$56),0))*(AB335&gt;=IFERROR('Recurring Items'!$G$6:$G$56,9000000000))+('Recurring Items'!$E$6:$E$56="One-time")*(AB335='Recurring Items'!$G$6:$G$56)))</f>
        <v>0</v>
      </c>
      <c r="AF335" s="1" t="n">
        <f aca="false">(IF(AC335=1,'Debt Tracker'!$P$5&gt;0.01,INDEX('Debt Tracker'!$T$5:$AE$29,1,AC335-1)&gt;0.01))*('Recurring Items'!$H$8&lt;&gt;"Skip")*(DAY(AB335)='Recurring Items'!$F$8)*IFERROR(N('Recurring Items'!$D$8),0)+(IF(AC335=1,'Debt Tracker'!$P$6&gt;0.01,INDEX('Debt Tracker'!$T$5:$AE$29,2,AC335-1)&gt;0.01))*('Recurring Items'!$H$9&lt;&gt;"Skip")*(DAY(AB335)='Recurring Items'!$F$9)*IFERROR(N('Recurring Items'!$D$9),0)+(IF(AC335=1,'Debt Tracker'!$P$7&gt;0.01,INDEX('Debt Tracker'!$T$5:$AE$29,3,AC335-1)&gt;0.01))*('Recurring Items'!$H$10&lt;&gt;"Skip")*(DAY(AB335)='Recurring Items'!$F$10)*IFERROR(N('Recurring Items'!$D$10),0)+(IF(AC335=1,'Debt Tracker'!$P$8&gt;0.01,INDEX('Debt Tracker'!$T$5:$AE$29,4,AC335-1)&gt;0.01))*('Recurring Items'!$H$11&lt;&gt;"Skip")*(DAY(AB335)='Recurring Items'!$F$11)*IFERROR(N('Recurring Items'!$D$11),0)+(IF(AC335=1,'Debt Tracker'!$P$9&gt;0.01,INDEX('Debt Tracker'!$T$5:$AE$29,5,AC335-1)&gt;0.01))*('Recurring Items'!$H$12&lt;&gt;"Skip")*(DAY(AB335)='Recurring Items'!$F$12)*IFERROR(N('Recurring Items'!$D$12),0)+(IF(AC335=1,'Debt Tracker'!$P$10&gt;0.01,INDEX('Debt Tracker'!$T$5:$AE$29,6,AC335-1)&gt;0.01))*('Recurring Items'!$H$13&lt;&gt;"Skip")*(DAY(AB335)='Recurring Items'!$F$13)*IFERROR(N('Recurring Items'!$D$13),0)+(IF(AC335=1,'Debt Tracker'!$P$11&gt;0.01,INDEX('Debt Tracker'!$T$5:$AE$29,7,AC335-1)&gt;0.01))*('Recurring Items'!$H$14&lt;&gt;"Skip")*(DAY(AB335)='Recurring Items'!$F$14)*IFERROR(N('Recurring Items'!$D$14),0)+(IF(AC335=1,'Debt Tracker'!$P$12&gt;0.01,INDEX('Debt Tracker'!$T$5:$AE$29,8,AC335-1)&gt;0.01))*('Recurring Items'!$H$15&lt;&gt;"Skip")*(DAY(AB335)='Recurring Items'!$F$15)*IFERROR(N('Recurring Items'!$D$15),0)+(IF(AC335=1,'Debt Tracker'!$P$13&gt;0.01,INDEX('Debt Tracker'!$T$5:$AE$29,9,AC335-1)&gt;0.01))*('Recurring Items'!$H$16&lt;&gt;"Skip")*(DAY(AB335)='Recurring Items'!$F$16)*IFERROR(N('Recurring Items'!$D$16),0)+(IF(AC335=1,'Debt Tracker'!$P$14&gt;0.01,INDEX('Debt Tracker'!$T$5:$AE$29,10,AC335-1)&gt;0.01))*('Recurring Items'!$H$17&lt;&gt;"Skip")*(DAY(AB335)='Recurring Items'!$F$17)*IFERROR(N('Recurring Items'!$D$17),0)+(IF(AC335=1,'Debt Tracker'!$P$15&gt;0.01,INDEX('Debt Tracker'!$T$5:$AE$29,11,AC335-1)&gt;0.01))*('Recurring Items'!$H$18&lt;&gt;"Skip")*(DAY(AB335)='Recurring Items'!$F$18)*IFERROR(N('Recurring Items'!$D$18),0)+(IF(AC335=1,'Debt Tracker'!$P$16&gt;0.01,INDEX('Debt Tracker'!$T$5:$AE$29,12,AC335-1)&gt;0.01))*('Recurring Items'!$H$19&lt;&gt;"Skip")*(DAY(AB335)='Recurring Items'!$F$19)*IFERROR(N('Recurring Items'!$D$19),0)+(IF(AC335=1,'Debt Tracker'!$P$17&gt;0.01,INDEX('Debt Tracker'!$T$5:$AE$29,13,AC335-1)&gt;0.01))*('Recurring Items'!$H$20&lt;&gt;"Skip")*(DAY(AB335)='Recurring Items'!$F$20)*IFERROR(N('Recurring Items'!$D$20),0)+(IF(AC335=1,'Debt Tracker'!$P$18&gt;0.01,INDEX('Debt Tracker'!$T$5:$AE$29,14,AC335-1)&gt;0.01))*('Recurring Items'!$H$21&lt;&gt;"Skip")*(DAY(AB335)='Recurring Items'!$F$21)*IFERROR(N('Recurring Items'!$D$21),0)+(IF(AC335=1,'Debt Tracker'!$P$19&gt;0.01,INDEX('Debt Tracker'!$T$5:$AE$29,15,AC335-1)&gt;0.01))*('Recurring Items'!$H$22&lt;&gt;"Skip")*(DAY(AB335)='Recurring Items'!$F$22)*IFERROR(N('Recurring Items'!$D$22),0)+(IF(AC335=1,'Debt Tracker'!$P$20&gt;0.01,INDEX('Debt Tracker'!$T$5:$AE$29,16,AC335-1)&gt;0.01))*('Recurring Items'!$H$23&lt;&gt;"Skip")*(DAY(AB335)='Recurring Items'!$F$23)*IFERROR(N('Recurring Items'!$D$23),0)+(IF(AC335=1,'Debt Tracker'!$P$21&gt;0.01,INDEX('Debt Tracker'!$T$5:$AE$29,17,AC335-1)&gt;0.01))*('Recurring Items'!$H$24&lt;&gt;"Skip")*(DAY(AB335)='Recurring Items'!$F$24)*IFERROR(N('Recurring Items'!$D$24),0)+(IF(AC335=1,'Debt Tracker'!$P$22&gt;0.01,INDEX('Debt Tracker'!$T$5:$AE$29,18,AC335-1)&gt;0.01))*('Recurring Items'!$H$25&lt;&gt;"Skip")*(DAY(AB335)='Recurring Items'!$F$25)*IFERROR(N('Recurring Items'!$D$25),0)+(IF(AC335=1,'Debt Tracker'!$P$23&gt;0.01,INDEX('Debt Tracker'!$T$5:$AE$29,19,AC335-1)&gt;0.01))*('Recurring Items'!$H$26&lt;&gt;"Skip")*(DAY(AB335)='Recurring Items'!$F$26)*IFERROR(N('Recurring Items'!$D$26),0)+(IF(AC335=1,'Debt Tracker'!$P$24&gt;0.01,INDEX('Debt Tracker'!$T$5:$AE$29,20,AC335-1)&gt;0.01))*('Recurring Items'!$H$27&lt;&gt;"Skip")*(DAY(AB335)='Recurring Items'!$F$27)*IFERROR(N('Recurring Items'!$D$27),0)+(IF(AC335=1,'Debt Tracker'!$P$25&gt;0.01,INDEX('Debt Tracker'!$T$5:$AE$29,21,AC335-1)&gt;0.01))*('Recurring Items'!$H$28&lt;&gt;"Skip")*(DAY(AB335)='Recurring Items'!$F$28)*IFERROR(N('Recurring Items'!$D$28),0)+(IF(AC335=1,'Debt Tracker'!$P$26&gt;0.01,INDEX('Debt Tracker'!$T$5:$AE$29,22,AC335-1)&gt;0.01))*('Recurring Items'!$H$29&lt;&gt;"Skip")*(DAY(AB335)='Recurring Items'!$F$29)*IFERROR(N('Recurring Items'!$D$29),0)+(IF(AC335=1,'Debt Tracker'!$P$27&gt;0.01,INDEX('Debt Tracker'!$T$5:$AE$29,23,AC335-1)&gt;0.01))*('Recurring Items'!$H$30&lt;&gt;"Skip")*(DAY(AB335)='Recurring Items'!$F$30)*IFERROR(N('Recurring Items'!$D$30),0)+(IF(AC335=1,'Debt Tracker'!$P$28&gt;0.01,INDEX('Debt Tracker'!$T$5:$AE$29,24,AC335-1)&gt;0.01))*('Recurring Items'!$H$31&lt;&gt;"Skip")*(DAY(AB335)='Recurring Items'!$F$31)*IFERROR(N('Recurring Items'!$D$31),0)+(IF(AC335=1,'Debt Tracker'!$P$29&gt;0.01,INDEX('Debt Tracker'!$T$5:$AE$29,25,AC335-1)&gt;0.01))*('Recurring Items'!$H$32&lt;&gt;"Skip")*(DAY(AB335)='Recurring Items'!$F$32)*IFERROR(N('Recurring Items'!$D$32),0)</f>
        <v>80</v>
      </c>
      <c r="AG335" s="1" t="n">
        <f aca="false">AD335-AE335-AF335</f>
        <v>-80</v>
      </c>
      <c r="AH335" s="1" t="n">
        <f aca="false">AH334+AG335</f>
        <v>10091.1</v>
      </c>
    </row>
    <row r="336" customFormat="false" ht="15" hidden="false" customHeight="true" outlineLevel="0" collapsed="false">
      <c r="AA336" s="1" t="n">
        <v>136</v>
      </c>
      <c r="AB336" s="145" t="n">
        <f aca="false">$D$3+136</f>
        <v>46279</v>
      </c>
      <c r="AC336" s="1" t="n">
        <f aca="false">MIN(12,1+DATEDIF($D$3,AB336,"M"))</f>
        <v>5</v>
      </c>
      <c r="AD336" s="1" t="n">
        <f aca="false">SUMPRODUCT(('Recurring Items'!$C$6:$C$56="Income")*('Recurring Items'!$H$6:$H$56&lt;&gt;"Skip")*IFERROR(N('Recurring Items'!$D$6:$D$56),0)*(('Recurring Items'!$E$6:$E$56="Monthly")*(DAY(AB336)='Recurring Items'!$F$6:$F$56)+('Recurring Items'!$E$6:$E$56="Bi-weekly")*(WEEKDAY(AB336)=IFERROR(WEEKDAY('Recurring Items'!$G$6:$G$56),0))*(MOD(AB336-IFERROR('Recurring Items'!$G$6:$G$56,0),14)=0)*(AB336&gt;=IFERROR('Recurring Items'!$G$6:$G$56,9000000000))+('Recurring Items'!$E$6:$E$56="Weekly")*(WEEKDAY(AB336)=IFERROR(WEEKDAY('Recurring Items'!$G$6:$G$56),0))*(AB336&gt;=IFERROR('Recurring Items'!$G$6:$G$56,9000000000))+('Recurring Items'!$E$6:$E$56="One-time")*(AB336='Recurring Items'!$G$6:$G$56)))</f>
        <v>0</v>
      </c>
      <c r="AE336" s="1" t="n">
        <f aca="false">SUMPRODUCT(('Recurring Items'!$C$6:$C$56="Expense")*('Recurring Items'!$H$6:$H$56&lt;&gt;"Skip")*IFERROR(N('Recurring Items'!$D$6:$D$56),0)*(('Recurring Items'!$E$6:$E$56="Monthly")*(DAY(AB336)='Recurring Items'!$F$6:$F$56)+('Recurring Items'!$E$6:$E$56="Bi-weekly")*(WEEKDAY(AB336)=IFERROR(WEEKDAY('Recurring Items'!$G$6:$G$56),0))*(MOD(AB336-IFERROR('Recurring Items'!$G$6:$G$56,0),14)=0)*(AB336&gt;=IFERROR('Recurring Items'!$G$6:$G$56,9000000000))+('Recurring Items'!$E$6:$E$56="Weekly")*(WEEKDAY(AB336)=IFERROR(WEEKDAY('Recurring Items'!$G$6:$G$56),0))*(AB336&gt;=IFERROR('Recurring Items'!$G$6:$G$56,9000000000))+('Recurring Items'!$E$6:$E$56="One-time")*(AB336='Recurring Items'!$G$6:$G$56)))</f>
        <v>0</v>
      </c>
      <c r="AF336" s="1" t="n">
        <f aca="false">(IF(AC336=1,'Debt Tracker'!$P$5&gt;0.01,INDEX('Debt Tracker'!$T$5:$AE$29,1,AC336-1)&gt;0.01))*('Recurring Items'!$H$8&lt;&gt;"Skip")*(DAY(AB336)='Recurring Items'!$F$8)*IFERROR(N('Recurring Items'!$D$8),0)+(IF(AC336=1,'Debt Tracker'!$P$6&gt;0.01,INDEX('Debt Tracker'!$T$5:$AE$29,2,AC336-1)&gt;0.01))*('Recurring Items'!$H$9&lt;&gt;"Skip")*(DAY(AB336)='Recurring Items'!$F$9)*IFERROR(N('Recurring Items'!$D$9),0)+(IF(AC336=1,'Debt Tracker'!$P$7&gt;0.01,INDEX('Debt Tracker'!$T$5:$AE$29,3,AC336-1)&gt;0.01))*('Recurring Items'!$H$10&lt;&gt;"Skip")*(DAY(AB336)='Recurring Items'!$F$10)*IFERROR(N('Recurring Items'!$D$10),0)+(IF(AC336=1,'Debt Tracker'!$P$8&gt;0.01,INDEX('Debt Tracker'!$T$5:$AE$29,4,AC336-1)&gt;0.01))*('Recurring Items'!$H$11&lt;&gt;"Skip")*(DAY(AB336)='Recurring Items'!$F$11)*IFERROR(N('Recurring Items'!$D$11),0)+(IF(AC336=1,'Debt Tracker'!$P$9&gt;0.01,INDEX('Debt Tracker'!$T$5:$AE$29,5,AC336-1)&gt;0.01))*('Recurring Items'!$H$12&lt;&gt;"Skip")*(DAY(AB336)='Recurring Items'!$F$12)*IFERROR(N('Recurring Items'!$D$12),0)+(IF(AC336=1,'Debt Tracker'!$P$10&gt;0.01,INDEX('Debt Tracker'!$T$5:$AE$29,6,AC336-1)&gt;0.01))*('Recurring Items'!$H$13&lt;&gt;"Skip")*(DAY(AB336)='Recurring Items'!$F$13)*IFERROR(N('Recurring Items'!$D$13),0)+(IF(AC336=1,'Debt Tracker'!$P$11&gt;0.01,INDEX('Debt Tracker'!$T$5:$AE$29,7,AC336-1)&gt;0.01))*('Recurring Items'!$H$14&lt;&gt;"Skip")*(DAY(AB336)='Recurring Items'!$F$14)*IFERROR(N('Recurring Items'!$D$14),0)+(IF(AC336=1,'Debt Tracker'!$P$12&gt;0.01,INDEX('Debt Tracker'!$T$5:$AE$29,8,AC336-1)&gt;0.01))*('Recurring Items'!$H$15&lt;&gt;"Skip")*(DAY(AB336)='Recurring Items'!$F$15)*IFERROR(N('Recurring Items'!$D$15),0)+(IF(AC336=1,'Debt Tracker'!$P$13&gt;0.01,INDEX('Debt Tracker'!$T$5:$AE$29,9,AC336-1)&gt;0.01))*('Recurring Items'!$H$16&lt;&gt;"Skip")*(DAY(AB336)='Recurring Items'!$F$16)*IFERROR(N('Recurring Items'!$D$16),0)+(IF(AC336=1,'Debt Tracker'!$P$14&gt;0.01,INDEX('Debt Tracker'!$T$5:$AE$29,10,AC336-1)&gt;0.01))*('Recurring Items'!$H$17&lt;&gt;"Skip")*(DAY(AB336)='Recurring Items'!$F$17)*IFERROR(N('Recurring Items'!$D$17),0)+(IF(AC336=1,'Debt Tracker'!$P$15&gt;0.01,INDEX('Debt Tracker'!$T$5:$AE$29,11,AC336-1)&gt;0.01))*('Recurring Items'!$H$18&lt;&gt;"Skip")*(DAY(AB336)='Recurring Items'!$F$18)*IFERROR(N('Recurring Items'!$D$18),0)+(IF(AC336=1,'Debt Tracker'!$P$16&gt;0.01,INDEX('Debt Tracker'!$T$5:$AE$29,12,AC336-1)&gt;0.01))*('Recurring Items'!$H$19&lt;&gt;"Skip")*(DAY(AB336)='Recurring Items'!$F$19)*IFERROR(N('Recurring Items'!$D$19),0)+(IF(AC336=1,'Debt Tracker'!$P$17&gt;0.01,INDEX('Debt Tracker'!$T$5:$AE$29,13,AC336-1)&gt;0.01))*('Recurring Items'!$H$20&lt;&gt;"Skip")*(DAY(AB336)='Recurring Items'!$F$20)*IFERROR(N('Recurring Items'!$D$20),0)+(IF(AC336=1,'Debt Tracker'!$P$18&gt;0.01,INDEX('Debt Tracker'!$T$5:$AE$29,14,AC336-1)&gt;0.01))*('Recurring Items'!$H$21&lt;&gt;"Skip")*(DAY(AB336)='Recurring Items'!$F$21)*IFERROR(N('Recurring Items'!$D$21),0)+(IF(AC336=1,'Debt Tracker'!$P$19&gt;0.01,INDEX('Debt Tracker'!$T$5:$AE$29,15,AC336-1)&gt;0.01))*('Recurring Items'!$H$22&lt;&gt;"Skip")*(DAY(AB336)='Recurring Items'!$F$22)*IFERROR(N('Recurring Items'!$D$22),0)+(IF(AC336=1,'Debt Tracker'!$P$20&gt;0.01,INDEX('Debt Tracker'!$T$5:$AE$29,16,AC336-1)&gt;0.01))*('Recurring Items'!$H$23&lt;&gt;"Skip")*(DAY(AB336)='Recurring Items'!$F$23)*IFERROR(N('Recurring Items'!$D$23),0)+(IF(AC336=1,'Debt Tracker'!$P$21&gt;0.01,INDEX('Debt Tracker'!$T$5:$AE$29,17,AC336-1)&gt;0.01))*('Recurring Items'!$H$24&lt;&gt;"Skip")*(DAY(AB336)='Recurring Items'!$F$24)*IFERROR(N('Recurring Items'!$D$24),0)+(IF(AC336=1,'Debt Tracker'!$P$22&gt;0.01,INDEX('Debt Tracker'!$T$5:$AE$29,18,AC336-1)&gt;0.01))*('Recurring Items'!$H$25&lt;&gt;"Skip")*(DAY(AB336)='Recurring Items'!$F$25)*IFERROR(N('Recurring Items'!$D$25),0)+(IF(AC336=1,'Debt Tracker'!$P$23&gt;0.01,INDEX('Debt Tracker'!$T$5:$AE$29,19,AC336-1)&gt;0.01))*('Recurring Items'!$H$26&lt;&gt;"Skip")*(DAY(AB336)='Recurring Items'!$F$26)*IFERROR(N('Recurring Items'!$D$26),0)+(IF(AC336=1,'Debt Tracker'!$P$24&gt;0.01,INDEX('Debt Tracker'!$T$5:$AE$29,20,AC336-1)&gt;0.01))*('Recurring Items'!$H$27&lt;&gt;"Skip")*(DAY(AB336)='Recurring Items'!$F$27)*IFERROR(N('Recurring Items'!$D$27),0)+(IF(AC336=1,'Debt Tracker'!$P$25&gt;0.01,INDEX('Debt Tracker'!$T$5:$AE$29,21,AC336-1)&gt;0.01))*('Recurring Items'!$H$28&lt;&gt;"Skip")*(DAY(AB336)='Recurring Items'!$F$28)*IFERROR(N('Recurring Items'!$D$28),0)+(IF(AC336=1,'Debt Tracker'!$P$26&gt;0.01,INDEX('Debt Tracker'!$T$5:$AE$29,22,AC336-1)&gt;0.01))*('Recurring Items'!$H$29&lt;&gt;"Skip")*(DAY(AB336)='Recurring Items'!$F$29)*IFERROR(N('Recurring Items'!$D$29),0)+(IF(AC336=1,'Debt Tracker'!$P$27&gt;0.01,INDEX('Debt Tracker'!$T$5:$AE$29,23,AC336-1)&gt;0.01))*('Recurring Items'!$H$30&lt;&gt;"Skip")*(DAY(AB336)='Recurring Items'!$F$30)*IFERROR(N('Recurring Items'!$D$30),0)+(IF(AC336=1,'Debt Tracker'!$P$28&gt;0.01,INDEX('Debt Tracker'!$T$5:$AE$29,24,AC336-1)&gt;0.01))*('Recurring Items'!$H$31&lt;&gt;"Skip")*(DAY(AB336)='Recurring Items'!$F$31)*IFERROR(N('Recurring Items'!$D$31),0)+(IF(AC336=1,'Debt Tracker'!$P$29&gt;0.01,INDEX('Debt Tracker'!$T$5:$AE$29,25,AC336-1)&gt;0.01))*('Recurring Items'!$H$32&lt;&gt;"Skip")*(DAY(AB336)='Recurring Items'!$F$32)*IFERROR(N('Recurring Items'!$D$32),0)</f>
        <v>95.51</v>
      </c>
      <c r="AG336" s="1" t="n">
        <f aca="false">AD336-AE336-AF336</f>
        <v>-95.51</v>
      </c>
      <c r="AH336" s="1" t="n">
        <f aca="false">AH335+AG336</f>
        <v>9995.59</v>
      </c>
    </row>
    <row r="337" customFormat="false" ht="15" hidden="false" customHeight="true" outlineLevel="0" collapsed="false">
      <c r="AA337" s="1" t="n">
        <v>137</v>
      </c>
      <c r="AB337" s="145" t="n">
        <f aca="false">$D$3+137</f>
        <v>46280</v>
      </c>
      <c r="AC337" s="1" t="n">
        <f aca="false">MIN(12,1+DATEDIF($D$3,AB337,"M"))</f>
        <v>5</v>
      </c>
      <c r="AD337" s="1" t="n">
        <f aca="false">SUMPRODUCT(('Recurring Items'!$C$6:$C$56="Income")*('Recurring Items'!$H$6:$H$56&lt;&gt;"Skip")*IFERROR(N('Recurring Items'!$D$6:$D$56),0)*(('Recurring Items'!$E$6:$E$56="Monthly")*(DAY(AB337)='Recurring Items'!$F$6:$F$56)+('Recurring Items'!$E$6:$E$56="Bi-weekly")*(WEEKDAY(AB337)=IFERROR(WEEKDAY('Recurring Items'!$G$6:$G$56),0))*(MOD(AB337-IFERROR('Recurring Items'!$G$6:$G$56,0),14)=0)*(AB337&gt;=IFERROR('Recurring Items'!$G$6:$G$56,9000000000))+('Recurring Items'!$E$6:$E$56="Weekly")*(WEEKDAY(AB337)=IFERROR(WEEKDAY('Recurring Items'!$G$6:$G$56),0))*(AB337&gt;=IFERROR('Recurring Items'!$G$6:$G$56,9000000000))+('Recurring Items'!$E$6:$E$56="One-time")*(AB337='Recurring Items'!$G$6:$G$56)))</f>
        <v>0</v>
      </c>
      <c r="AE337" s="1" t="n">
        <f aca="false">SUMPRODUCT(('Recurring Items'!$C$6:$C$56="Expense")*('Recurring Items'!$H$6:$H$56&lt;&gt;"Skip")*IFERROR(N('Recurring Items'!$D$6:$D$56),0)*(('Recurring Items'!$E$6:$E$56="Monthly")*(DAY(AB337)='Recurring Items'!$F$6:$F$56)+('Recurring Items'!$E$6:$E$56="Bi-weekly")*(WEEKDAY(AB337)=IFERROR(WEEKDAY('Recurring Items'!$G$6:$G$56),0))*(MOD(AB337-IFERROR('Recurring Items'!$G$6:$G$56,0),14)=0)*(AB337&gt;=IFERROR('Recurring Items'!$G$6:$G$56,9000000000))+('Recurring Items'!$E$6:$E$56="Weekly")*(WEEKDAY(AB337)=IFERROR(WEEKDAY('Recurring Items'!$G$6:$G$56),0))*(AB337&gt;=IFERROR('Recurring Items'!$G$6:$G$56,9000000000))+('Recurring Items'!$E$6:$E$56="One-time")*(AB337='Recurring Items'!$G$6:$G$56)))</f>
        <v>2990.57</v>
      </c>
      <c r="AF337" s="1" t="n">
        <f aca="false">(IF(AC337=1,'Debt Tracker'!$P$5&gt;0.01,INDEX('Debt Tracker'!$T$5:$AE$29,1,AC337-1)&gt;0.01))*('Recurring Items'!$H$8&lt;&gt;"Skip")*(DAY(AB337)='Recurring Items'!$F$8)*IFERROR(N('Recurring Items'!$D$8),0)+(IF(AC337=1,'Debt Tracker'!$P$6&gt;0.01,INDEX('Debt Tracker'!$T$5:$AE$29,2,AC337-1)&gt;0.01))*('Recurring Items'!$H$9&lt;&gt;"Skip")*(DAY(AB337)='Recurring Items'!$F$9)*IFERROR(N('Recurring Items'!$D$9),0)+(IF(AC337=1,'Debt Tracker'!$P$7&gt;0.01,INDEX('Debt Tracker'!$T$5:$AE$29,3,AC337-1)&gt;0.01))*('Recurring Items'!$H$10&lt;&gt;"Skip")*(DAY(AB337)='Recurring Items'!$F$10)*IFERROR(N('Recurring Items'!$D$10),0)+(IF(AC337=1,'Debt Tracker'!$P$8&gt;0.01,INDEX('Debt Tracker'!$T$5:$AE$29,4,AC337-1)&gt;0.01))*('Recurring Items'!$H$11&lt;&gt;"Skip")*(DAY(AB337)='Recurring Items'!$F$11)*IFERROR(N('Recurring Items'!$D$11),0)+(IF(AC337=1,'Debt Tracker'!$P$9&gt;0.01,INDEX('Debt Tracker'!$T$5:$AE$29,5,AC337-1)&gt;0.01))*('Recurring Items'!$H$12&lt;&gt;"Skip")*(DAY(AB337)='Recurring Items'!$F$12)*IFERROR(N('Recurring Items'!$D$12),0)+(IF(AC337=1,'Debt Tracker'!$P$10&gt;0.01,INDEX('Debt Tracker'!$T$5:$AE$29,6,AC337-1)&gt;0.01))*('Recurring Items'!$H$13&lt;&gt;"Skip")*(DAY(AB337)='Recurring Items'!$F$13)*IFERROR(N('Recurring Items'!$D$13),0)+(IF(AC337=1,'Debt Tracker'!$P$11&gt;0.01,INDEX('Debt Tracker'!$T$5:$AE$29,7,AC337-1)&gt;0.01))*('Recurring Items'!$H$14&lt;&gt;"Skip")*(DAY(AB337)='Recurring Items'!$F$14)*IFERROR(N('Recurring Items'!$D$14),0)+(IF(AC337=1,'Debt Tracker'!$P$12&gt;0.01,INDEX('Debt Tracker'!$T$5:$AE$29,8,AC337-1)&gt;0.01))*('Recurring Items'!$H$15&lt;&gt;"Skip")*(DAY(AB337)='Recurring Items'!$F$15)*IFERROR(N('Recurring Items'!$D$15),0)+(IF(AC337=1,'Debt Tracker'!$P$13&gt;0.01,INDEX('Debt Tracker'!$T$5:$AE$29,9,AC337-1)&gt;0.01))*('Recurring Items'!$H$16&lt;&gt;"Skip")*(DAY(AB337)='Recurring Items'!$F$16)*IFERROR(N('Recurring Items'!$D$16),0)+(IF(AC337=1,'Debt Tracker'!$P$14&gt;0.01,INDEX('Debt Tracker'!$T$5:$AE$29,10,AC337-1)&gt;0.01))*('Recurring Items'!$H$17&lt;&gt;"Skip")*(DAY(AB337)='Recurring Items'!$F$17)*IFERROR(N('Recurring Items'!$D$17),0)+(IF(AC337=1,'Debt Tracker'!$P$15&gt;0.01,INDEX('Debt Tracker'!$T$5:$AE$29,11,AC337-1)&gt;0.01))*('Recurring Items'!$H$18&lt;&gt;"Skip")*(DAY(AB337)='Recurring Items'!$F$18)*IFERROR(N('Recurring Items'!$D$18),0)+(IF(AC337=1,'Debt Tracker'!$P$16&gt;0.01,INDEX('Debt Tracker'!$T$5:$AE$29,12,AC337-1)&gt;0.01))*('Recurring Items'!$H$19&lt;&gt;"Skip")*(DAY(AB337)='Recurring Items'!$F$19)*IFERROR(N('Recurring Items'!$D$19),0)+(IF(AC337=1,'Debt Tracker'!$P$17&gt;0.01,INDEX('Debt Tracker'!$T$5:$AE$29,13,AC337-1)&gt;0.01))*('Recurring Items'!$H$20&lt;&gt;"Skip")*(DAY(AB337)='Recurring Items'!$F$20)*IFERROR(N('Recurring Items'!$D$20),0)+(IF(AC337=1,'Debt Tracker'!$P$18&gt;0.01,INDEX('Debt Tracker'!$T$5:$AE$29,14,AC337-1)&gt;0.01))*('Recurring Items'!$H$21&lt;&gt;"Skip")*(DAY(AB337)='Recurring Items'!$F$21)*IFERROR(N('Recurring Items'!$D$21),0)+(IF(AC337=1,'Debt Tracker'!$P$19&gt;0.01,INDEX('Debt Tracker'!$T$5:$AE$29,15,AC337-1)&gt;0.01))*('Recurring Items'!$H$22&lt;&gt;"Skip")*(DAY(AB337)='Recurring Items'!$F$22)*IFERROR(N('Recurring Items'!$D$22),0)+(IF(AC337=1,'Debt Tracker'!$P$20&gt;0.01,INDEX('Debt Tracker'!$T$5:$AE$29,16,AC337-1)&gt;0.01))*('Recurring Items'!$H$23&lt;&gt;"Skip")*(DAY(AB337)='Recurring Items'!$F$23)*IFERROR(N('Recurring Items'!$D$23),0)+(IF(AC337=1,'Debt Tracker'!$P$21&gt;0.01,INDEX('Debt Tracker'!$T$5:$AE$29,17,AC337-1)&gt;0.01))*('Recurring Items'!$H$24&lt;&gt;"Skip")*(DAY(AB337)='Recurring Items'!$F$24)*IFERROR(N('Recurring Items'!$D$24),0)+(IF(AC337=1,'Debt Tracker'!$P$22&gt;0.01,INDEX('Debt Tracker'!$T$5:$AE$29,18,AC337-1)&gt;0.01))*('Recurring Items'!$H$25&lt;&gt;"Skip")*(DAY(AB337)='Recurring Items'!$F$25)*IFERROR(N('Recurring Items'!$D$25),0)+(IF(AC337=1,'Debt Tracker'!$P$23&gt;0.01,INDEX('Debt Tracker'!$T$5:$AE$29,19,AC337-1)&gt;0.01))*('Recurring Items'!$H$26&lt;&gt;"Skip")*(DAY(AB337)='Recurring Items'!$F$26)*IFERROR(N('Recurring Items'!$D$26),0)+(IF(AC337=1,'Debt Tracker'!$P$24&gt;0.01,INDEX('Debt Tracker'!$T$5:$AE$29,20,AC337-1)&gt;0.01))*('Recurring Items'!$H$27&lt;&gt;"Skip")*(DAY(AB337)='Recurring Items'!$F$27)*IFERROR(N('Recurring Items'!$D$27),0)+(IF(AC337=1,'Debt Tracker'!$P$25&gt;0.01,INDEX('Debt Tracker'!$T$5:$AE$29,21,AC337-1)&gt;0.01))*('Recurring Items'!$H$28&lt;&gt;"Skip")*(DAY(AB337)='Recurring Items'!$F$28)*IFERROR(N('Recurring Items'!$D$28),0)+(IF(AC337=1,'Debt Tracker'!$P$26&gt;0.01,INDEX('Debt Tracker'!$T$5:$AE$29,22,AC337-1)&gt;0.01))*('Recurring Items'!$H$29&lt;&gt;"Skip")*(DAY(AB337)='Recurring Items'!$F$29)*IFERROR(N('Recurring Items'!$D$29),0)+(IF(AC337=1,'Debt Tracker'!$P$27&gt;0.01,INDEX('Debt Tracker'!$T$5:$AE$29,23,AC337-1)&gt;0.01))*('Recurring Items'!$H$30&lt;&gt;"Skip")*(DAY(AB337)='Recurring Items'!$F$30)*IFERROR(N('Recurring Items'!$D$30),0)+(IF(AC337=1,'Debt Tracker'!$P$28&gt;0.01,INDEX('Debt Tracker'!$T$5:$AE$29,24,AC337-1)&gt;0.01))*('Recurring Items'!$H$31&lt;&gt;"Skip")*(DAY(AB337)='Recurring Items'!$F$31)*IFERROR(N('Recurring Items'!$D$31),0)+(IF(AC337=1,'Debt Tracker'!$P$29&gt;0.01,INDEX('Debt Tracker'!$T$5:$AE$29,25,AC337-1)&gt;0.01))*('Recurring Items'!$H$32&lt;&gt;"Skip")*(DAY(AB337)='Recurring Items'!$F$32)*IFERROR(N('Recurring Items'!$D$32),0)</f>
        <v>107.75</v>
      </c>
      <c r="AG337" s="1" t="n">
        <f aca="false">AD337-AE337-AF337</f>
        <v>-3098.32</v>
      </c>
      <c r="AH337" s="1" t="n">
        <f aca="false">AH336+AG337</f>
        <v>6897.27</v>
      </c>
    </row>
    <row r="338" customFormat="false" ht="15" hidden="false" customHeight="true" outlineLevel="0" collapsed="false">
      <c r="AA338" s="1" t="n">
        <v>138</v>
      </c>
      <c r="AB338" s="145" t="n">
        <f aca="false">$D$3+138</f>
        <v>46281</v>
      </c>
      <c r="AC338" s="1" t="n">
        <f aca="false">MIN(12,1+DATEDIF($D$3,AB338,"M"))</f>
        <v>5</v>
      </c>
      <c r="AD338" s="1" t="n">
        <f aca="false">SUMPRODUCT(('Recurring Items'!$C$6:$C$56="Income")*('Recurring Items'!$H$6:$H$56&lt;&gt;"Skip")*IFERROR(N('Recurring Items'!$D$6:$D$56),0)*(('Recurring Items'!$E$6:$E$56="Monthly")*(DAY(AB338)='Recurring Items'!$F$6:$F$56)+('Recurring Items'!$E$6:$E$56="Bi-weekly")*(WEEKDAY(AB338)=IFERROR(WEEKDAY('Recurring Items'!$G$6:$G$56),0))*(MOD(AB338-IFERROR('Recurring Items'!$G$6:$G$56,0),14)=0)*(AB338&gt;=IFERROR('Recurring Items'!$G$6:$G$56,9000000000))+('Recurring Items'!$E$6:$E$56="Weekly")*(WEEKDAY(AB338)=IFERROR(WEEKDAY('Recurring Items'!$G$6:$G$56),0))*(AB338&gt;=IFERROR('Recurring Items'!$G$6:$G$56,9000000000))+('Recurring Items'!$E$6:$E$56="One-time")*(AB338='Recurring Items'!$G$6:$G$56)))</f>
        <v>0</v>
      </c>
      <c r="AE338" s="1" t="n">
        <f aca="false">SUMPRODUCT(('Recurring Items'!$C$6:$C$56="Expense")*('Recurring Items'!$H$6:$H$56&lt;&gt;"Skip")*IFERROR(N('Recurring Items'!$D$6:$D$56),0)*(('Recurring Items'!$E$6:$E$56="Monthly")*(DAY(AB338)='Recurring Items'!$F$6:$F$56)+('Recurring Items'!$E$6:$E$56="Bi-weekly")*(WEEKDAY(AB338)=IFERROR(WEEKDAY('Recurring Items'!$G$6:$G$56),0))*(MOD(AB338-IFERROR('Recurring Items'!$G$6:$G$56,0),14)=0)*(AB338&gt;=IFERROR('Recurring Items'!$G$6:$G$56,9000000000))+('Recurring Items'!$E$6:$E$56="Weekly")*(WEEKDAY(AB338)=IFERROR(WEEKDAY('Recurring Items'!$G$6:$G$56),0))*(AB338&gt;=IFERROR('Recurring Items'!$G$6:$G$56,9000000000))+('Recurring Items'!$E$6:$E$56="One-time")*(AB338='Recurring Items'!$G$6:$G$56)))</f>
        <v>342</v>
      </c>
      <c r="AF338" s="1" t="n">
        <f aca="false">(IF(AC338=1,'Debt Tracker'!$P$5&gt;0.01,INDEX('Debt Tracker'!$T$5:$AE$29,1,AC338-1)&gt;0.01))*('Recurring Items'!$H$8&lt;&gt;"Skip")*(DAY(AB338)='Recurring Items'!$F$8)*IFERROR(N('Recurring Items'!$D$8),0)+(IF(AC338=1,'Debt Tracker'!$P$6&gt;0.01,INDEX('Debt Tracker'!$T$5:$AE$29,2,AC338-1)&gt;0.01))*('Recurring Items'!$H$9&lt;&gt;"Skip")*(DAY(AB338)='Recurring Items'!$F$9)*IFERROR(N('Recurring Items'!$D$9),0)+(IF(AC338=1,'Debt Tracker'!$P$7&gt;0.01,INDEX('Debt Tracker'!$T$5:$AE$29,3,AC338-1)&gt;0.01))*('Recurring Items'!$H$10&lt;&gt;"Skip")*(DAY(AB338)='Recurring Items'!$F$10)*IFERROR(N('Recurring Items'!$D$10),0)+(IF(AC338=1,'Debt Tracker'!$P$8&gt;0.01,INDEX('Debt Tracker'!$T$5:$AE$29,4,AC338-1)&gt;0.01))*('Recurring Items'!$H$11&lt;&gt;"Skip")*(DAY(AB338)='Recurring Items'!$F$11)*IFERROR(N('Recurring Items'!$D$11),0)+(IF(AC338=1,'Debt Tracker'!$P$9&gt;0.01,INDEX('Debt Tracker'!$T$5:$AE$29,5,AC338-1)&gt;0.01))*('Recurring Items'!$H$12&lt;&gt;"Skip")*(DAY(AB338)='Recurring Items'!$F$12)*IFERROR(N('Recurring Items'!$D$12),0)+(IF(AC338=1,'Debt Tracker'!$P$10&gt;0.01,INDEX('Debt Tracker'!$T$5:$AE$29,6,AC338-1)&gt;0.01))*('Recurring Items'!$H$13&lt;&gt;"Skip")*(DAY(AB338)='Recurring Items'!$F$13)*IFERROR(N('Recurring Items'!$D$13),0)+(IF(AC338=1,'Debt Tracker'!$P$11&gt;0.01,INDEX('Debt Tracker'!$T$5:$AE$29,7,AC338-1)&gt;0.01))*('Recurring Items'!$H$14&lt;&gt;"Skip")*(DAY(AB338)='Recurring Items'!$F$14)*IFERROR(N('Recurring Items'!$D$14),0)+(IF(AC338=1,'Debt Tracker'!$P$12&gt;0.01,INDEX('Debt Tracker'!$T$5:$AE$29,8,AC338-1)&gt;0.01))*('Recurring Items'!$H$15&lt;&gt;"Skip")*(DAY(AB338)='Recurring Items'!$F$15)*IFERROR(N('Recurring Items'!$D$15),0)+(IF(AC338=1,'Debt Tracker'!$P$13&gt;0.01,INDEX('Debt Tracker'!$T$5:$AE$29,9,AC338-1)&gt;0.01))*('Recurring Items'!$H$16&lt;&gt;"Skip")*(DAY(AB338)='Recurring Items'!$F$16)*IFERROR(N('Recurring Items'!$D$16),0)+(IF(AC338=1,'Debt Tracker'!$P$14&gt;0.01,INDEX('Debt Tracker'!$T$5:$AE$29,10,AC338-1)&gt;0.01))*('Recurring Items'!$H$17&lt;&gt;"Skip")*(DAY(AB338)='Recurring Items'!$F$17)*IFERROR(N('Recurring Items'!$D$17),0)+(IF(AC338=1,'Debt Tracker'!$P$15&gt;0.01,INDEX('Debt Tracker'!$T$5:$AE$29,11,AC338-1)&gt;0.01))*('Recurring Items'!$H$18&lt;&gt;"Skip")*(DAY(AB338)='Recurring Items'!$F$18)*IFERROR(N('Recurring Items'!$D$18),0)+(IF(AC338=1,'Debt Tracker'!$P$16&gt;0.01,INDEX('Debt Tracker'!$T$5:$AE$29,12,AC338-1)&gt;0.01))*('Recurring Items'!$H$19&lt;&gt;"Skip")*(DAY(AB338)='Recurring Items'!$F$19)*IFERROR(N('Recurring Items'!$D$19),0)+(IF(AC338=1,'Debt Tracker'!$P$17&gt;0.01,INDEX('Debt Tracker'!$T$5:$AE$29,13,AC338-1)&gt;0.01))*('Recurring Items'!$H$20&lt;&gt;"Skip")*(DAY(AB338)='Recurring Items'!$F$20)*IFERROR(N('Recurring Items'!$D$20),0)+(IF(AC338=1,'Debt Tracker'!$P$18&gt;0.01,INDEX('Debt Tracker'!$T$5:$AE$29,14,AC338-1)&gt;0.01))*('Recurring Items'!$H$21&lt;&gt;"Skip")*(DAY(AB338)='Recurring Items'!$F$21)*IFERROR(N('Recurring Items'!$D$21),0)+(IF(AC338=1,'Debt Tracker'!$P$19&gt;0.01,INDEX('Debt Tracker'!$T$5:$AE$29,15,AC338-1)&gt;0.01))*('Recurring Items'!$H$22&lt;&gt;"Skip")*(DAY(AB338)='Recurring Items'!$F$22)*IFERROR(N('Recurring Items'!$D$22),0)+(IF(AC338=1,'Debt Tracker'!$P$20&gt;0.01,INDEX('Debt Tracker'!$T$5:$AE$29,16,AC338-1)&gt;0.01))*('Recurring Items'!$H$23&lt;&gt;"Skip")*(DAY(AB338)='Recurring Items'!$F$23)*IFERROR(N('Recurring Items'!$D$23),0)+(IF(AC338=1,'Debt Tracker'!$P$21&gt;0.01,INDEX('Debt Tracker'!$T$5:$AE$29,17,AC338-1)&gt;0.01))*('Recurring Items'!$H$24&lt;&gt;"Skip")*(DAY(AB338)='Recurring Items'!$F$24)*IFERROR(N('Recurring Items'!$D$24),0)+(IF(AC338=1,'Debt Tracker'!$P$22&gt;0.01,INDEX('Debt Tracker'!$T$5:$AE$29,18,AC338-1)&gt;0.01))*('Recurring Items'!$H$25&lt;&gt;"Skip")*(DAY(AB338)='Recurring Items'!$F$25)*IFERROR(N('Recurring Items'!$D$25),0)+(IF(AC338=1,'Debt Tracker'!$P$23&gt;0.01,INDEX('Debt Tracker'!$T$5:$AE$29,19,AC338-1)&gt;0.01))*('Recurring Items'!$H$26&lt;&gt;"Skip")*(DAY(AB338)='Recurring Items'!$F$26)*IFERROR(N('Recurring Items'!$D$26),0)+(IF(AC338=1,'Debt Tracker'!$P$24&gt;0.01,INDEX('Debt Tracker'!$T$5:$AE$29,20,AC338-1)&gt;0.01))*('Recurring Items'!$H$27&lt;&gt;"Skip")*(DAY(AB338)='Recurring Items'!$F$27)*IFERROR(N('Recurring Items'!$D$27),0)+(IF(AC338=1,'Debt Tracker'!$P$25&gt;0.01,INDEX('Debt Tracker'!$T$5:$AE$29,21,AC338-1)&gt;0.01))*('Recurring Items'!$H$28&lt;&gt;"Skip")*(DAY(AB338)='Recurring Items'!$F$28)*IFERROR(N('Recurring Items'!$D$28),0)+(IF(AC338=1,'Debt Tracker'!$P$26&gt;0.01,INDEX('Debt Tracker'!$T$5:$AE$29,22,AC338-1)&gt;0.01))*('Recurring Items'!$H$29&lt;&gt;"Skip")*(DAY(AB338)='Recurring Items'!$F$29)*IFERROR(N('Recurring Items'!$D$29),0)+(IF(AC338=1,'Debt Tracker'!$P$27&gt;0.01,INDEX('Debt Tracker'!$T$5:$AE$29,23,AC338-1)&gt;0.01))*('Recurring Items'!$H$30&lt;&gt;"Skip")*(DAY(AB338)='Recurring Items'!$F$30)*IFERROR(N('Recurring Items'!$D$30),0)+(IF(AC338=1,'Debt Tracker'!$P$28&gt;0.01,INDEX('Debt Tracker'!$T$5:$AE$29,24,AC338-1)&gt;0.01))*('Recurring Items'!$H$31&lt;&gt;"Skip")*(DAY(AB338)='Recurring Items'!$F$31)*IFERROR(N('Recurring Items'!$D$31),0)+(IF(AC338=1,'Debt Tracker'!$P$29&gt;0.01,INDEX('Debt Tracker'!$T$5:$AE$29,25,AC338-1)&gt;0.01))*('Recurring Items'!$H$32&lt;&gt;"Skip")*(DAY(AB338)='Recurring Items'!$F$32)*IFERROR(N('Recurring Items'!$D$32),0)</f>
        <v>143</v>
      </c>
      <c r="AG338" s="1" t="n">
        <f aca="false">AD338-AE338-AF338</f>
        <v>-485</v>
      </c>
      <c r="AH338" s="1" t="n">
        <f aca="false">AH337+AG338</f>
        <v>6412.27</v>
      </c>
    </row>
    <row r="339" customFormat="false" ht="15" hidden="false" customHeight="true" outlineLevel="0" collapsed="false">
      <c r="AA339" s="1" t="n">
        <v>139</v>
      </c>
      <c r="AB339" s="145" t="n">
        <f aca="false">$D$3+139</f>
        <v>46282</v>
      </c>
      <c r="AC339" s="1" t="n">
        <f aca="false">MIN(12,1+DATEDIF($D$3,AB339,"M"))</f>
        <v>5</v>
      </c>
      <c r="AD339" s="1" t="n">
        <f aca="false">SUMPRODUCT(('Recurring Items'!$C$6:$C$56="Income")*('Recurring Items'!$H$6:$H$56&lt;&gt;"Skip")*IFERROR(N('Recurring Items'!$D$6:$D$56),0)*(('Recurring Items'!$E$6:$E$56="Monthly")*(DAY(AB339)='Recurring Items'!$F$6:$F$56)+('Recurring Items'!$E$6:$E$56="Bi-weekly")*(WEEKDAY(AB339)=IFERROR(WEEKDAY('Recurring Items'!$G$6:$G$56),0))*(MOD(AB339-IFERROR('Recurring Items'!$G$6:$G$56,0),14)=0)*(AB339&gt;=IFERROR('Recurring Items'!$G$6:$G$56,9000000000))+('Recurring Items'!$E$6:$E$56="Weekly")*(WEEKDAY(AB339)=IFERROR(WEEKDAY('Recurring Items'!$G$6:$G$56),0))*(AB339&gt;=IFERROR('Recurring Items'!$G$6:$G$56,9000000000))+('Recurring Items'!$E$6:$E$56="One-time")*(AB339='Recurring Items'!$G$6:$G$56)))</f>
        <v>0</v>
      </c>
      <c r="AE339" s="1" t="n">
        <f aca="false">SUMPRODUCT(('Recurring Items'!$C$6:$C$56="Expense")*('Recurring Items'!$H$6:$H$56&lt;&gt;"Skip")*IFERROR(N('Recurring Items'!$D$6:$D$56),0)*(('Recurring Items'!$E$6:$E$56="Monthly")*(DAY(AB339)='Recurring Items'!$F$6:$F$56)+('Recurring Items'!$E$6:$E$56="Bi-weekly")*(WEEKDAY(AB339)=IFERROR(WEEKDAY('Recurring Items'!$G$6:$G$56),0))*(MOD(AB339-IFERROR('Recurring Items'!$G$6:$G$56,0),14)=0)*(AB339&gt;=IFERROR('Recurring Items'!$G$6:$G$56,9000000000))+('Recurring Items'!$E$6:$E$56="Weekly")*(WEEKDAY(AB339)=IFERROR(WEEKDAY('Recurring Items'!$G$6:$G$56),0))*(AB339&gt;=IFERROR('Recurring Items'!$G$6:$G$56,9000000000))+('Recurring Items'!$E$6:$E$56="One-time")*(AB339='Recurring Items'!$G$6:$G$56)))</f>
        <v>0</v>
      </c>
      <c r="AF339" s="1" t="n">
        <f aca="false">(IF(AC339=1,'Debt Tracker'!$P$5&gt;0.01,INDEX('Debt Tracker'!$T$5:$AE$29,1,AC339-1)&gt;0.01))*('Recurring Items'!$H$8&lt;&gt;"Skip")*(DAY(AB339)='Recurring Items'!$F$8)*IFERROR(N('Recurring Items'!$D$8),0)+(IF(AC339=1,'Debt Tracker'!$P$6&gt;0.01,INDEX('Debt Tracker'!$T$5:$AE$29,2,AC339-1)&gt;0.01))*('Recurring Items'!$H$9&lt;&gt;"Skip")*(DAY(AB339)='Recurring Items'!$F$9)*IFERROR(N('Recurring Items'!$D$9),0)+(IF(AC339=1,'Debt Tracker'!$P$7&gt;0.01,INDEX('Debt Tracker'!$T$5:$AE$29,3,AC339-1)&gt;0.01))*('Recurring Items'!$H$10&lt;&gt;"Skip")*(DAY(AB339)='Recurring Items'!$F$10)*IFERROR(N('Recurring Items'!$D$10),0)+(IF(AC339=1,'Debt Tracker'!$P$8&gt;0.01,INDEX('Debt Tracker'!$T$5:$AE$29,4,AC339-1)&gt;0.01))*('Recurring Items'!$H$11&lt;&gt;"Skip")*(DAY(AB339)='Recurring Items'!$F$11)*IFERROR(N('Recurring Items'!$D$11),0)+(IF(AC339=1,'Debt Tracker'!$P$9&gt;0.01,INDEX('Debt Tracker'!$T$5:$AE$29,5,AC339-1)&gt;0.01))*('Recurring Items'!$H$12&lt;&gt;"Skip")*(DAY(AB339)='Recurring Items'!$F$12)*IFERROR(N('Recurring Items'!$D$12),0)+(IF(AC339=1,'Debt Tracker'!$P$10&gt;0.01,INDEX('Debt Tracker'!$T$5:$AE$29,6,AC339-1)&gt;0.01))*('Recurring Items'!$H$13&lt;&gt;"Skip")*(DAY(AB339)='Recurring Items'!$F$13)*IFERROR(N('Recurring Items'!$D$13),0)+(IF(AC339=1,'Debt Tracker'!$P$11&gt;0.01,INDEX('Debt Tracker'!$T$5:$AE$29,7,AC339-1)&gt;0.01))*('Recurring Items'!$H$14&lt;&gt;"Skip")*(DAY(AB339)='Recurring Items'!$F$14)*IFERROR(N('Recurring Items'!$D$14),0)+(IF(AC339=1,'Debt Tracker'!$P$12&gt;0.01,INDEX('Debt Tracker'!$T$5:$AE$29,8,AC339-1)&gt;0.01))*('Recurring Items'!$H$15&lt;&gt;"Skip")*(DAY(AB339)='Recurring Items'!$F$15)*IFERROR(N('Recurring Items'!$D$15),0)+(IF(AC339=1,'Debt Tracker'!$P$13&gt;0.01,INDEX('Debt Tracker'!$T$5:$AE$29,9,AC339-1)&gt;0.01))*('Recurring Items'!$H$16&lt;&gt;"Skip")*(DAY(AB339)='Recurring Items'!$F$16)*IFERROR(N('Recurring Items'!$D$16),0)+(IF(AC339=1,'Debt Tracker'!$P$14&gt;0.01,INDEX('Debt Tracker'!$T$5:$AE$29,10,AC339-1)&gt;0.01))*('Recurring Items'!$H$17&lt;&gt;"Skip")*(DAY(AB339)='Recurring Items'!$F$17)*IFERROR(N('Recurring Items'!$D$17),0)+(IF(AC339=1,'Debt Tracker'!$P$15&gt;0.01,INDEX('Debt Tracker'!$T$5:$AE$29,11,AC339-1)&gt;0.01))*('Recurring Items'!$H$18&lt;&gt;"Skip")*(DAY(AB339)='Recurring Items'!$F$18)*IFERROR(N('Recurring Items'!$D$18),0)+(IF(AC339=1,'Debt Tracker'!$P$16&gt;0.01,INDEX('Debt Tracker'!$T$5:$AE$29,12,AC339-1)&gt;0.01))*('Recurring Items'!$H$19&lt;&gt;"Skip")*(DAY(AB339)='Recurring Items'!$F$19)*IFERROR(N('Recurring Items'!$D$19),0)+(IF(AC339=1,'Debt Tracker'!$P$17&gt;0.01,INDEX('Debt Tracker'!$T$5:$AE$29,13,AC339-1)&gt;0.01))*('Recurring Items'!$H$20&lt;&gt;"Skip")*(DAY(AB339)='Recurring Items'!$F$20)*IFERROR(N('Recurring Items'!$D$20),0)+(IF(AC339=1,'Debt Tracker'!$P$18&gt;0.01,INDEX('Debt Tracker'!$T$5:$AE$29,14,AC339-1)&gt;0.01))*('Recurring Items'!$H$21&lt;&gt;"Skip")*(DAY(AB339)='Recurring Items'!$F$21)*IFERROR(N('Recurring Items'!$D$21),0)+(IF(AC339=1,'Debt Tracker'!$P$19&gt;0.01,INDEX('Debt Tracker'!$T$5:$AE$29,15,AC339-1)&gt;0.01))*('Recurring Items'!$H$22&lt;&gt;"Skip")*(DAY(AB339)='Recurring Items'!$F$22)*IFERROR(N('Recurring Items'!$D$22),0)+(IF(AC339=1,'Debt Tracker'!$P$20&gt;0.01,INDEX('Debt Tracker'!$T$5:$AE$29,16,AC339-1)&gt;0.01))*('Recurring Items'!$H$23&lt;&gt;"Skip")*(DAY(AB339)='Recurring Items'!$F$23)*IFERROR(N('Recurring Items'!$D$23),0)+(IF(AC339=1,'Debt Tracker'!$P$21&gt;0.01,INDEX('Debt Tracker'!$T$5:$AE$29,17,AC339-1)&gt;0.01))*('Recurring Items'!$H$24&lt;&gt;"Skip")*(DAY(AB339)='Recurring Items'!$F$24)*IFERROR(N('Recurring Items'!$D$24),0)+(IF(AC339=1,'Debt Tracker'!$P$22&gt;0.01,INDEX('Debt Tracker'!$T$5:$AE$29,18,AC339-1)&gt;0.01))*('Recurring Items'!$H$25&lt;&gt;"Skip")*(DAY(AB339)='Recurring Items'!$F$25)*IFERROR(N('Recurring Items'!$D$25),0)+(IF(AC339=1,'Debt Tracker'!$P$23&gt;0.01,INDEX('Debt Tracker'!$T$5:$AE$29,19,AC339-1)&gt;0.01))*('Recurring Items'!$H$26&lt;&gt;"Skip")*(DAY(AB339)='Recurring Items'!$F$26)*IFERROR(N('Recurring Items'!$D$26),0)+(IF(AC339=1,'Debt Tracker'!$P$24&gt;0.01,INDEX('Debt Tracker'!$T$5:$AE$29,20,AC339-1)&gt;0.01))*('Recurring Items'!$H$27&lt;&gt;"Skip")*(DAY(AB339)='Recurring Items'!$F$27)*IFERROR(N('Recurring Items'!$D$27),0)+(IF(AC339=1,'Debt Tracker'!$P$25&gt;0.01,INDEX('Debt Tracker'!$T$5:$AE$29,21,AC339-1)&gt;0.01))*('Recurring Items'!$H$28&lt;&gt;"Skip")*(DAY(AB339)='Recurring Items'!$F$28)*IFERROR(N('Recurring Items'!$D$28),0)+(IF(AC339=1,'Debt Tracker'!$P$26&gt;0.01,INDEX('Debt Tracker'!$T$5:$AE$29,22,AC339-1)&gt;0.01))*('Recurring Items'!$H$29&lt;&gt;"Skip")*(DAY(AB339)='Recurring Items'!$F$29)*IFERROR(N('Recurring Items'!$D$29),0)+(IF(AC339=1,'Debt Tracker'!$P$27&gt;0.01,INDEX('Debt Tracker'!$T$5:$AE$29,23,AC339-1)&gt;0.01))*('Recurring Items'!$H$30&lt;&gt;"Skip")*(DAY(AB339)='Recurring Items'!$F$30)*IFERROR(N('Recurring Items'!$D$30),0)+(IF(AC339=1,'Debt Tracker'!$P$28&gt;0.01,INDEX('Debt Tracker'!$T$5:$AE$29,24,AC339-1)&gt;0.01))*('Recurring Items'!$H$31&lt;&gt;"Skip")*(DAY(AB339)='Recurring Items'!$F$31)*IFERROR(N('Recurring Items'!$D$31),0)+(IF(AC339=1,'Debt Tracker'!$P$29&gt;0.01,INDEX('Debt Tracker'!$T$5:$AE$29,25,AC339-1)&gt;0.01))*('Recurring Items'!$H$32&lt;&gt;"Skip")*(DAY(AB339)='Recurring Items'!$F$32)*IFERROR(N('Recurring Items'!$D$32),0)</f>
        <v>0</v>
      </c>
      <c r="AG339" s="1" t="n">
        <f aca="false">AD339-AE339-AF339</f>
        <v>0</v>
      </c>
      <c r="AH339" s="1" t="n">
        <f aca="false">AH338+AG339</f>
        <v>6412.27</v>
      </c>
    </row>
    <row r="340" customFormat="false" ht="15" hidden="false" customHeight="true" outlineLevel="0" collapsed="false">
      <c r="AA340" s="1" t="n">
        <v>140</v>
      </c>
      <c r="AB340" s="145" t="n">
        <f aca="false">$D$3+140</f>
        <v>46283</v>
      </c>
      <c r="AC340" s="1" t="n">
        <f aca="false">MIN(12,1+DATEDIF($D$3,AB340,"M"))</f>
        <v>5</v>
      </c>
      <c r="AD340" s="1" t="n">
        <f aca="false">SUMPRODUCT(('Recurring Items'!$C$6:$C$56="Income")*('Recurring Items'!$H$6:$H$56&lt;&gt;"Skip")*IFERROR(N('Recurring Items'!$D$6:$D$56),0)*(('Recurring Items'!$E$6:$E$56="Monthly")*(DAY(AB340)='Recurring Items'!$F$6:$F$56)+('Recurring Items'!$E$6:$E$56="Bi-weekly")*(WEEKDAY(AB340)=IFERROR(WEEKDAY('Recurring Items'!$G$6:$G$56),0))*(MOD(AB340-IFERROR('Recurring Items'!$G$6:$G$56,0),14)=0)*(AB340&gt;=IFERROR('Recurring Items'!$G$6:$G$56,9000000000))+('Recurring Items'!$E$6:$E$56="Weekly")*(WEEKDAY(AB340)=IFERROR(WEEKDAY('Recurring Items'!$G$6:$G$56),0))*(AB340&gt;=IFERROR('Recurring Items'!$G$6:$G$56,9000000000))+('Recurring Items'!$E$6:$E$56="One-time")*(AB340='Recurring Items'!$G$6:$G$56)))</f>
        <v>3819.79</v>
      </c>
      <c r="AE340" s="1" t="n">
        <f aca="false">SUMPRODUCT(('Recurring Items'!$C$6:$C$56="Expense")*('Recurring Items'!$H$6:$H$56&lt;&gt;"Skip")*IFERROR(N('Recurring Items'!$D$6:$D$56),0)*(('Recurring Items'!$E$6:$E$56="Monthly")*(DAY(AB340)='Recurring Items'!$F$6:$F$56)+('Recurring Items'!$E$6:$E$56="Bi-weekly")*(WEEKDAY(AB340)=IFERROR(WEEKDAY('Recurring Items'!$G$6:$G$56),0))*(MOD(AB340-IFERROR('Recurring Items'!$G$6:$G$56,0),14)=0)*(AB340&gt;=IFERROR('Recurring Items'!$G$6:$G$56,9000000000))+('Recurring Items'!$E$6:$E$56="Weekly")*(WEEKDAY(AB340)=IFERROR(WEEKDAY('Recurring Items'!$G$6:$G$56),0))*(AB340&gt;=IFERROR('Recurring Items'!$G$6:$G$56,9000000000))+('Recurring Items'!$E$6:$E$56="One-time")*(AB340='Recurring Items'!$G$6:$G$56)))</f>
        <v>460</v>
      </c>
      <c r="AF340" s="1" t="n">
        <f aca="false">(IF(AC340=1,'Debt Tracker'!$P$5&gt;0.01,INDEX('Debt Tracker'!$T$5:$AE$29,1,AC340-1)&gt;0.01))*('Recurring Items'!$H$8&lt;&gt;"Skip")*(DAY(AB340)='Recurring Items'!$F$8)*IFERROR(N('Recurring Items'!$D$8),0)+(IF(AC340=1,'Debt Tracker'!$P$6&gt;0.01,INDEX('Debt Tracker'!$T$5:$AE$29,2,AC340-1)&gt;0.01))*('Recurring Items'!$H$9&lt;&gt;"Skip")*(DAY(AB340)='Recurring Items'!$F$9)*IFERROR(N('Recurring Items'!$D$9),0)+(IF(AC340=1,'Debt Tracker'!$P$7&gt;0.01,INDEX('Debt Tracker'!$T$5:$AE$29,3,AC340-1)&gt;0.01))*('Recurring Items'!$H$10&lt;&gt;"Skip")*(DAY(AB340)='Recurring Items'!$F$10)*IFERROR(N('Recurring Items'!$D$10),0)+(IF(AC340=1,'Debt Tracker'!$P$8&gt;0.01,INDEX('Debt Tracker'!$T$5:$AE$29,4,AC340-1)&gt;0.01))*('Recurring Items'!$H$11&lt;&gt;"Skip")*(DAY(AB340)='Recurring Items'!$F$11)*IFERROR(N('Recurring Items'!$D$11),0)+(IF(AC340=1,'Debt Tracker'!$P$9&gt;0.01,INDEX('Debt Tracker'!$T$5:$AE$29,5,AC340-1)&gt;0.01))*('Recurring Items'!$H$12&lt;&gt;"Skip")*(DAY(AB340)='Recurring Items'!$F$12)*IFERROR(N('Recurring Items'!$D$12),0)+(IF(AC340=1,'Debt Tracker'!$P$10&gt;0.01,INDEX('Debt Tracker'!$T$5:$AE$29,6,AC340-1)&gt;0.01))*('Recurring Items'!$H$13&lt;&gt;"Skip")*(DAY(AB340)='Recurring Items'!$F$13)*IFERROR(N('Recurring Items'!$D$13),0)+(IF(AC340=1,'Debt Tracker'!$P$11&gt;0.01,INDEX('Debt Tracker'!$T$5:$AE$29,7,AC340-1)&gt;0.01))*('Recurring Items'!$H$14&lt;&gt;"Skip")*(DAY(AB340)='Recurring Items'!$F$14)*IFERROR(N('Recurring Items'!$D$14),0)+(IF(AC340=1,'Debt Tracker'!$P$12&gt;0.01,INDEX('Debt Tracker'!$T$5:$AE$29,8,AC340-1)&gt;0.01))*('Recurring Items'!$H$15&lt;&gt;"Skip")*(DAY(AB340)='Recurring Items'!$F$15)*IFERROR(N('Recurring Items'!$D$15),0)+(IF(AC340=1,'Debt Tracker'!$P$13&gt;0.01,INDEX('Debt Tracker'!$T$5:$AE$29,9,AC340-1)&gt;0.01))*('Recurring Items'!$H$16&lt;&gt;"Skip")*(DAY(AB340)='Recurring Items'!$F$16)*IFERROR(N('Recurring Items'!$D$16),0)+(IF(AC340=1,'Debt Tracker'!$P$14&gt;0.01,INDEX('Debt Tracker'!$T$5:$AE$29,10,AC340-1)&gt;0.01))*('Recurring Items'!$H$17&lt;&gt;"Skip")*(DAY(AB340)='Recurring Items'!$F$17)*IFERROR(N('Recurring Items'!$D$17),0)+(IF(AC340=1,'Debt Tracker'!$P$15&gt;0.01,INDEX('Debt Tracker'!$T$5:$AE$29,11,AC340-1)&gt;0.01))*('Recurring Items'!$H$18&lt;&gt;"Skip")*(DAY(AB340)='Recurring Items'!$F$18)*IFERROR(N('Recurring Items'!$D$18),0)+(IF(AC340=1,'Debt Tracker'!$P$16&gt;0.01,INDEX('Debt Tracker'!$T$5:$AE$29,12,AC340-1)&gt;0.01))*('Recurring Items'!$H$19&lt;&gt;"Skip")*(DAY(AB340)='Recurring Items'!$F$19)*IFERROR(N('Recurring Items'!$D$19),0)+(IF(AC340=1,'Debt Tracker'!$P$17&gt;0.01,INDEX('Debt Tracker'!$T$5:$AE$29,13,AC340-1)&gt;0.01))*('Recurring Items'!$H$20&lt;&gt;"Skip")*(DAY(AB340)='Recurring Items'!$F$20)*IFERROR(N('Recurring Items'!$D$20),0)+(IF(AC340=1,'Debt Tracker'!$P$18&gt;0.01,INDEX('Debt Tracker'!$T$5:$AE$29,14,AC340-1)&gt;0.01))*('Recurring Items'!$H$21&lt;&gt;"Skip")*(DAY(AB340)='Recurring Items'!$F$21)*IFERROR(N('Recurring Items'!$D$21),0)+(IF(AC340=1,'Debt Tracker'!$P$19&gt;0.01,INDEX('Debt Tracker'!$T$5:$AE$29,15,AC340-1)&gt;0.01))*('Recurring Items'!$H$22&lt;&gt;"Skip")*(DAY(AB340)='Recurring Items'!$F$22)*IFERROR(N('Recurring Items'!$D$22),0)+(IF(AC340=1,'Debt Tracker'!$P$20&gt;0.01,INDEX('Debt Tracker'!$T$5:$AE$29,16,AC340-1)&gt;0.01))*('Recurring Items'!$H$23&lt;&gt;"Skip")*(DAY(AB340)='Recurring Items'!$F$23)*IFERROR(N('Recurring Items'!$D$23),0)+(IF(AC340=1,'Debt Tracker'!$P$21&gt;0.01,INDEX('Debt Tracker'!$T$5:$AE$29,17,AC340-1)&gt;0.01))*('Recurring Items'!$H$24&lt;&gt;"Skip")*(DAY(AB340)='Recurring Items'!$F$24)*IFERROR(N('Recurring Items'!$D$24),0)+(IF(AC340=1,'Debt Tracker'!$P$22&gt;0.01,INDEX('Debt Tracker'!$T$5:$AE$29,18,AC340-1)&gt;0.01))*('Recurring Items'!$H$25&lt;&gt;"Skip")*(DAY(AB340)='Recurring Items'!$F$25)*IFERROR(N('Recurring Items'!$D$25),0)+(IF(AC340=1,'Debt Tracker'!$P$23&gt;0.01,INDEX('Debt Tracker'!$T$5:$AE$29,19,AC340-1)&gt;0.01))*('Recurring Items'!$H$26&lt;&gt;"Skip")*(DAY(AB340)='Recurring Items'!$F$26)*IFERROR(N('Recurring Items'!$D$26),0)+(IF(AC340=1,'Debt Tracker'!$P$24&gt;0.01,INDEX('Debt Tracker'!$T$5:$AE$29,20,AC340-1)&gt;0.01))*('Recurring Items'!$H$27&lt;&gt;"Skip")*(DAY(AB340)='Recurring Items'!$F$27)*IFERROR(N('Recurring Items'!$D$27),0)+(IF(AC340=1,'Debt Tracker'!$P$25&gt;0.01,INDEX('Debt Tracker'!$T$5:$AE$29,21,AC340-1)&gt;0.01))*('Recurring Items'!$H$28&lt;&gt;"Skip")*(DAY(AB340)='Recurring Items'!$F$28)*IFERROR(N('Recurring Items'!$D$28),0)+(IF(AC340=1,'Debt Tracker'!$P$26&gt;0.01,INDEX('Debt Tracker'!$T$5:$AE$29,22,AC340-1)&gt;0.01))*('Recurring Items'!$H$29&lt;&gt;"Skip")*(DAY(AB340)='Recurring Items'!$F$29)*IFERROR(N('Recurring Items'!$D$29),0)+(IF(AC340=1,'Debt Tracker'!$P$27&gt;0.01,INDEX('Debt Tracker'!$T$5:$AE$29,23,AC340-1)&gt;0.01))*('Recurring Items'!$H$30&lt;&gt;"Skip")*(DAY(AB340)='Recurring Items'!$F$30)*IFERROR(N('Recurring Items'!$D$30),0)+(IF(AC340=1,'Debt Tracker'!$P$28&gt;0.01,INDEX('Debt Tracker'!$T$5:$AE$29,24,AC340-1)&gt;0.01))*('Recurring Items'!$H$31&lt;&gt;"Skip")*(DAY(AB340)='Recurring Items'!$F$31)*IFERROR(N('Recurring Items'!$D$31),0)+(IF(AC340=1,'Debt Tracker'!$P$29&gt;0.01,INDEX('Debt Tracker'!$T$5:$AE$29,25,AC340-1)&gt;0.01))*('Recurring Items'!$H$32&lt;&gt;"Skip")*(DAY(AB340)='Recurring Items'!$F$32)*IFERROR(N('Recurring Items'!$D$32),0)</f>
        <v>0</v>
      </c>
      <c r="AG340" s="1" t="n">
        <f aca="false">AD340-AE340-AF340</f>
        <v>3359.79</v>
      </c>
      <c r="AH340" s="1" t="n">
        <f aca="false">AH339+AG340</f>
        <v>9772.06</v>
      </c>
    </row>
    <row r="341" customFormat="false" ht="15" hidden="false" customHeight="true" outlineLevel="0" collapsed="false">
      <c r="AA341" s="1" t="n">
        <v>141</v>
      </c>
      <c r="AB341" s="145" t="n">
        <f aca="false">$D$3+141</f>
        <v>46284</v>
      </c>
      <c r="AC341" s="1" t="n">
        <f aca="false">MIN(12,1+DATEDIF($D$3,AB341,"M"))</f>
        <v>5</v>
      </c>
      <c r="AD341" s="1" t="n">
        <f aca="false">SUMPRODUCT(('Recurring Items'!$C$6:$C$56="Income")*('Recurring Items'!$H$6:$H$56&lt;&gt;"Skip")*IFERROR(N('Recurring Items'!$D$6:$D$56),0)*(('Recurring Items'!$E$6:$E$56="Monthly")*(DAY(AB341)='Recurring Items'!$F$6:$F$56)+('Recurring Items'!$E$6:$E$56="Bi-weekly")*(WEEKDAY(AB341)=IFERROR(WEEKDAY('Recurring Items'!$G$6:$G$56),0))*(MOD(AB341-IFERROR('Recurring Items'!$G$6:$G$56,0),14)=0)*(AB341&gt;=IFERROR('Recurring Items'!$G$6:$G$56,9000000000))+('Recurring Items'!$E$6:$E$56="Weekly")*(WEEKDAY(AB341)=IFERROR(WEEKDAY('Recurring Items'!$G$6:$G$56),0))*(AB341&gt;=IFERROR('Recurring Items'!$G$6:$G$56,9000000000))+('Recurring Items'!$E$6:$E$56="One-time")*(AB341='Recurring Items'!$G$6:$G$56)))</f>
        <v>0</v>
      </c>
      <c r="AE341" s="1" t="n">
        <f aca="false">SUMPRODUCT(('Recurring Items'!$C$6:$C$56="Expense")*('Recurring Items'!$H$6:$H$56&lt;&gt;"Skip")*IFERROR(N('Recurring Items'!$D$6:$D$56),0)*(('Recurring Items'!$E$6:$E$56="Monthly")*(DAY(AB341)='Recurring Items'!$F$6:$F$56)+('Recurring Items'!$E$6:$E$56="Bi-weekly")*(WEEKDAY(AB341)=IFERROR(WEEKDAY('Recurring Items'!$G$6:$G$56),0))*(MOD(AB341-IFERROR('Recurring Items'!$G$6:$G$56,0),14)=0)*(AB341&gt;=IFERROR('Recurring Items'!$G$6:$G$56,9000000000))+('Recurring Items'!$E$6:$E$56="Weekly")*(WEEKDAY(AB341)=IFERROR(WEEKDAY('Recurring Items'!$G$6:$G$56),0))*(AB341&gt;=IFERROR('Recurring Items'!$G$6:$G$56,9000000000))+('Recurring Items'!$E$6:$E$56="One-time")*(AB341='Recurring Items'!$G$6:$G$56)))</f>
        <v>0</v>
      </c>
      <c r="AF341" s="1" t="n">
        <f aca="false">(IF(AC341=1,'Debt Tracker'!$P$5&gt;0.01,INDEX('Debt Tracker'!$T$5:$AE$29,1,AC341-1)&gt;0.01))*('Recurring Items'!$H$8&lt;&gt;"Skip")*(DAY(AB341)='Recurring Items'!$F$8)*IFERROR(N('Recurring Items'!$D$8),0)+(IF(AC341=1,'Debt Tracker'!$P$6&gt;0.01,INDEX('Debt Tracker'!$T$5:$AE$29,2,AC341-1)&gt;0.01))*('Recurring Items'!$H$9&lt;&gt;"Skip")*(DAY(AB341)='Recurring Items'!$F$9)*IFERROR(N('Recurring Items'!$D$9),0)+(IF(AC341=1,'Debt Tracker'!$P$7&gt;0.01,INDEX('Debt Tracker'!$T$5:$AE$29,3,AC341-1)&gt;0.01))*('Recurring Items'!$H$10&lt;&gt;"Skip")*(DAY(AB341)='Recurring Items'!$F$10)*IFERROR(N('Recurring Items'!$D$10),0)+(IF(AC341=1,'Debt Tracker'!$P$8&gt;0.01,INDEX('Debt Tracker'!$T$5:$AE$29,4,AC341-1)&gt;0.01))*('Recurring Items'!$H$11&lt;&gt;"Skip")*(DAY(AB341)='Recurring Items'!$F$11)*IFERROR(N('Recurring Items'!$D$11),0)+(IF(AC341=1,'Debt Tracker'!$P$9&gt;0.01,INDEX('Debt Tracker'!$T$5:$AE$29,5,AC341-1)&gt;0.01))*('Recurring Items'!$H$12&lt;&gt;"Skip")*(DAY(AB341)='Recurring Items'!$F$12)*IFERROR(N('Recurring Items'!$D$12),0)+(IF(AC341=1,'Debt Tracker'!$P$10&gt;0.01,INDEX('Debt Tracker'!$T$5:$AE$29,6,AC341-1)&gt;0.01))*('Recurring Items'!$H$13&lt;&gt;"Skip")*(DAY(AB341)='Recurring Items'!$F$13)*IFERROR(N('Recurring Items'!$D$13),0)+(IF(AC341=1,'Debt Tracker'!$P$11&gt;0.01,INDEX('Debt Tracker'!$T$5:$AE$29,7,AC341-1)&gt;0.01))*('Recurring Items'!$H$14&lt;&gt;"Skip")*(DAY(AB341)='Recurring Items'!$F$14)*IFERROR(N('Recurring Items'!$D$14),0)+(IF(AC341=1,'Debt Tracker'!$P$12&gt;0.01,INDEX('Debt Tracker'!$T$5:$AE$29,8,AC341-1)&gt;0.01))*('Recurring Items'!$H$15&lt;&gt;"Skip")*(DAY(AB341)='Recurring Items'!$F$15)*IFERROR(N('Recurring Items'!$D$15),0)+(IF(AC341=1,'Debt Tracker'!$P$13&gt;0.01,INDEX('Debt Tracker'!$T$5:$AE$29,9,AC341-1)&gt;0.01))*('Recurring Items'!$H$16&lt;&gt;"Skip")*(DAY(AB341)='Recurring Items'!$F$16)*IFERROR(N('Recurring Items'!$D$16),0)+(IF(AC341=1,'Debt Tracker'!$P$14&gt;0.01,INDEX('Debt Tracker'!$T$5:$AE$29,10,AC341-1)&gt;0.01))*('Recurring Items'!$H$17&lt;&gt;"Skip")*(DAY(AB341)='Recurring Items'!$F$17)*IFERROR(N('Recurring Items'!$D$17),0)+(IF(AC341=1,'Debt Tracker'!$P$15&gt;0.01,INDEX('Debt Tracker'!$T$5:$AE$29,11,AC341-1)&gt;0.01))*('Recurring Items'!$H$18&lt;&gt;"Skip")*(DAY(AB341)='Recurring Items'!$F$18)*IFERROR(N('Recurring Items'!$D$18),0)+(IF(AC341=1,'Debt Tracker'!$P$16&gt;0.01,INDEX('Debt Tracker'!$T$5:$AE$29,12,AC341-1)&gt;0.01))*('Recurring Items'!$H$19&lt;&gt;"Skip")*(DAY(AB341)='Recurring Items'!$F$19)*IFERROR(N('Recurring Items'!$D$19),0)+(IF(AC341=1,'Debt Tracker'!$P$17&gt;0.01,INDEX('Debt Tracker'!$T$5:$AE$29,13,AC341-1)&gt;0.01))*('Recurring Items'!$H$20&lt;&gt;"Skip")*(DAY(AB341)='Recurring Items'!$F$20)*IFERROR(N('Recurring Items'!$D$20),0)+(IF(AC341=1,'Debt Tracker'!$P$18&gt;0.01,INDEX('Debt Tracker'!$T$5:$AE$29,14,AC341-1)&gt;0.01))*('Recurring Items'!$H$21&lt;&gt;"Skip")*(DAY(AB341)='Recurring Items'!$F$21)*IFERROR(N('Recurring Items'!$D$21),0)+(IF(AC341=1,'Debt Tracker'!$P$19&gt;0.01,INDEX('Debt Tracker'!$T$5:$AE$29,15,AC341-1)&gt;0.01))*('Recurring Items'!$H$22&lt;&gt;"Skip")*(DAY(AB341)='Recurring Items'!$F$22)*IFERROR(N('Recurring Items'!$D$22),0)+(IF(AC341=1,'Debt Tracker'!$P$20&gt;0.01,INDEX('Debt Tracker'!$T$5:$AE$29,16,AC341-1)&gt;0.01))*('Recurring Items'!$H$23&lt;&gt;"Skip")*(DAY(AB341)='Recurring Items'!$F$23)*IFERROR(N('Recurring Items'!$D$23),0)+(IF(AC341=1,'Debt Tracker'!$P$21&gt;0.01,INDEX('Debt Tracker'!$T$5:$AE$29,17,AC341-1)&gt;0.01))*('Recurring Items'!$H$24&lt;&gt;"Skip")*(DAY(AB341)='Recurring Items'!$F$24)*IFERROR(N('Recurring Items'!$D$24),0)+(IF(AC341=1,'Debt Tracker'!$P$22&gt;0.01,INDEX('Debt Tracker'!$T$5:$AE$29,18,AC341-1)&gt;0.01))*('Recurring Items'!$H$25&lt;&gt;"Skip")*(DAY(AB341)='Recurring Items'!$F$25)*IFERROR(N('Recurring Items'!$D$25),0)+(IF(AC341=1,'Debt Tracker'!$P$23&gt;0.01,INDEX('Debt Tracker'!$T$5:$AE$29,19,AC341-1)&gt;0.01))*('Recurring Items'!$H$26&lt;&gt;"Skip")*(DAY(AB341)='Recurring Items'!$F$26)*IFERROR(N('Recurring Items'!$D$26),0)+(IF(AC341=1,'Debt Tracker'!$P$24&gt;0.01,INDEX('Debt Tracker'!$T$5:$AE$29,20,AC341-1)&gt;0.01))*('Recurring Items'!$H$27&lt;&gt;"Skip")*(DAY(AB341)='Recurring Items'!$F$27)*IFERROR(N('Recurring Items'!$D$27),0)+(IF(AC341=1,'Debt Tracker'!$P$25&gt;0.01,INDEX('Debt Tracker'!$T$5:$AE$29,21,AC341-1)&gt;0.01))*('Recurring Items'!$H$28&lt;&gt;"Skip")*(DAY(AB341)='Recurring Items'!$F$28)*IFERROR(N('Recurring Items'!$D$28),0)+(IF(AC341=1,'Debt Tracker'!$P$26&gt;0.01,INDEX('Debt Tracker'!$T$5:$AE$29,22,AC341-1)&gt;0.01))*('Recurring Items'!$H$29&lt;&gt;"Skip")*(DAY(AB341)='Recurring Items'!$F$29)*IFERROR(N('Recurring Items'!$D$29),0)+(IF(AC341=1,'Debt Tracker'!$P$27&gt;0.01,INDEX('Debt Tracker'!$T$5:$AE$29,23,AC341-1)&gt;0.01))*('Recurring Items'!$H$30&lt;&gt;"Skip")*(DAY(AB341)='Recurring Items'!$F$30)*IFERROR(N('Recurring Items'!$D$30),0)+(IF(AC341=1,'Debt Tracker'!$P$28&gt;0.01,INDEX('Debt Tracker'!$T$5:$AE$29,24,AC341-1)&gt;0.01))*('Recurring Items'!$H$31&lt;&gt;"Skip")*(DAY(AB341)='Recurring Items'!$F$31)*IFERROR(N('Recurring Items'!$D$31),0)+(IF(AC341=1,'Debt Tracker'!$P$29&gt;0.01,INDEX('Debt Tracker'!$T$5:$AE$29,25,AC341-1)&gt;0.01))*('Recurring Items'!$H$32&lt;&gt;"Skip")*(DAY(AB341)='Recurring Items'!$F$32)*IFERROR(N('Recurring Items'!$D$32),0)</f>
        <v>0</v>
      </c>
      <c r="AG341" s="1" t="n">
        <f aca="false">AD341-AE341-AF341</f>
        <v>0</v>
      </c>
      <c r="AH341" s="1" t="n">
        <f aca="false">AH340+AG341</f>
        <v>9772.06</v>
      </c>
    </row>
    <row r="342" customFormat="false" ht="15" hidden="false" customHeight="true" outlineLevel="0" collapsed="false">
      <c r="AA342" s="1" t="n">
        <v>142</v>
      </c>
      <c r="AB342" s="145" t="n">
        <f aca="false">$D$3+142</f>
        <v>46285</v>
      </c>
      <c r="AC342" s="1" t="n">
        <f aca="false">MIN(12,1+DATEDIF($D$3,AB342,"M"))</f>
        <v>5</v>
      </c>
      <c r="AD342" s="1" t="n">
        <f aca="false">SUMPRODUCT(('Recurring Items'!$C$6:$C$56="Income")*('Recurring Items'!$H$6:$H$56&lt;&gt;"Skip")*IFERROR(N('Recurring Items'!$D$6:$D$56),0)*(('Recurring Items'!$E$6:$E$56="Monthly")*(DAY(AB342)='Recurring Items'!$F$6:$F$56)+('Recurring Items'!$E$6:$E$56="Bi-weekly")*(WEEKDAY(AB342)=IFERROR(WEEKDAY('Recurring Items'!$G$6:$G$56),0))*(MOD(AB342-IFERROR('Recurring Items'!$G$6:$G$56,0),14)=0)*(AB342&gt;=IFERROR('Recurring Items'!$G$6:$G$56,9000000000))+('Recurring Items'!$E$6:$E$56="Weekly")*(WEEKDAY(AB342)=IFERROR(WEEKDAY('Recurring Items'!$G$6:$G$56),0))*(AB342&gt;=IFERROR('Recurring Items'!$G$6:$G$56,9000000000))+('Recurring Items'!$E$6:$E$56="One-time")*(AB342='Recurring Items'!$G$6:$G$56)))</f>
        <v>0</v>
      </c>
      <c r="AE342" s="1" t="n">
        <f aca="false">SUMPRODUCT(('Recurring Items'!$C$6:$C$56="Expense")*('Recurring Items'!$H$6:$H$56&lt;&gt;"Skip")*IFERROR(N('Recurring Items'!$D$6:$D$56),0)*(('Recurring Items'!$E$6:$E$56="Monthly")*(DAY(AB342)='Recurring Items'!$F$6:$F$56)+('Recurring Items'!$E$6:$E$56="Bi-weekly")*(WEEKDAY(AB342)=IFERROR(WEEKDAY('Recurring Items'!$G$6:$G$56),0))*(MOD(AB342-IFERROR('Recurring Items'!$G$6:$G$56,0),14)=0)*(AB342&gt;=IFERROR('Recurring Items'!$G$6:$G$56,9000000000))+('Recurring Items'!$E$6:$E$56="Weekly")*(WEEKDAY(AB342)=IFERROR(WEEKDAY('Recurring Items'!$G$6:$G$56),0))*(AB342&gt;=IFERROR('Recurring Items'!$G$6:$G$56,9000000000))+('Recurring Items'!$E$6:$E$56="One-time")*(AB342='Recurring Items'!$G$6:$G$56)))</f>
        <v>0</v>
      </c>
      <c r="AF342" s="1" t="n">
        <f aca="false">(IF(AC342=1,'Debt Tracker'!$P$5&gt;0.01,INDEX('Debt Tracker'!$T$5:$AE$29,1,AC342-1)&gt;0.01))*('Recurring Items'!$H$8&lt;&gt;"Skip")*(DAY(AB342)='Recurring Items'!$F$8)*IFERROR(N('Recurring Items'!$D$8),0)+(IF(AC342=1,'Debt Tracker'!$P$6&gt;0.01,INDEX('Debt Tracker'!$T$5:$AE$29,2,AC342-1)&gt;0.01))*('Recurring Items'!$H$9&lt;&gt;"Skip")*(DAY(AB342)='Recurring Items'!$F$9)*IFERROR(N('Recurring Items'!$D$9),0)+(IF(AC342=1,'Debt Tracker'!$P$7&gt;0.01,INDEX('Debt Tracker'!$T$5:$AE$29,3,AC342-1)&gt;0.01))*('Recurring Items'!$H$10&lt;&gt;"Skip")*(DAY(AB342)='Recurring Items'!$F$10)*IFERROR(N('Recurring Items'!$D$10),0)+(IF(AC342=1,'Debt Tracker'!$P$8&gt;0.01,INDEX('Debt Tracker'!$T$5:$AE$29,4,AC342-1)&gt;0.01))*('Recurring Items'!$H$11&lt;&gt;"Skip")*(DAY(AB342)='Recurring Items'!$F$11)*IFERROR(N('Recurring Items'!$D$11),0)+(IF(AC342=1,'Debt Tracker'!$P$9&gt;0.01,INDEX('Debt Tracker'!$T$5:$AE$29,5,AC342-1)&gt;0.01))*('Recurring Items'!$H$12&lt;&gt;"Skip")*(DAY(AB342)='Recurring Items'!$F$12)*IFERROR(N('Recurring Items'!$D$12),0)+(IF(AC342=1,'Debt Tracker'!$P$10&gt;0.01,INDEX('Debt Tracker'!$T$5:$AE$29,6,AC342-1)&gt;0.01))*('Recurring Items'!$H$13&lt;&gt;"Skip")*(DAY(AB342)='Recurring Items'!$F$13)*IFERROR(N('Recurring Items'!$D$13),0)+(IF(AC342=1,'Debt Tracker'!$P$11&gt;0.01,INDEX('Debt Tracker'!$T$5:$AE$29,7,AC342-1)&gt;0.01))*('Recurring Items'!$H$14&lt;&gt;"Skip")*(DAY(AB342)='Recurring Items'!$F$14)*IFERROR(N('Recurring Items'!$D$14),0)+(IF(AC342=1,'Debt Tracker'!$P$12&gt;0.01,INDEX('Debt Tracker'!$T$5:$AE$29,8,AC342-1)&gt;0.01))*('Recurring Items'!$H$15&lt;&gt;"Skip")*(DAY(AB342)='Recurring Items'!$F$15)*IFERROR(N('Recurring Items'!$D$15),0)+(IF(AC342=1,'Debt Tracker'!$P$13&gt;0.01,INDEX('Debt Tracker'!$T$5:$AE$29,9,AC342-1)&gt;0.01))*('Recurring Items'!$H$16&lt;&gt;"Skip")*(DAY(AB342)='Recurring Items'!$F$16)*IFERROR(N('Recurring Items'!$D$16),0)+(IF(AC342=1,'Debt Tracker'!$P$14&gt;0.01,INDEX('Debt Tracker'!$T$5:$AE$29,10,AC342-1)&gt;0.01))*('Recurring Items'!$H$17&lt;&gt;"Skip")*(DAY(AB342)='Recurring Items'!$F$17)*IFERROR(N('Recurring Items'!$D$17),0)+(IF(AC342=1,'Debt Tracker'!$P$15&gt;0.01,INDEX('Debt Tracker'!$T$5:$AE$29,11,AC342-1)&gt;0.01))*('Recurring Items'!$H$18&lt;&gt;"Skip")*(DAY(AB342)='Recurring Items'!$F$18)*IFERROR(N('Recurring Items'!$D$18),0)+(IF(AC342=1,'Debt Tracker'!$P$16&gt;0.01,INDEX('Debt Tracker'!$T$5:$AE$29,12,AC342-1)&gt;0.01))*('Recurring Items'!$H$19&lt;&gt;"Skip")*(DAY(AB342)='Recurring Items'!$F$19)*IFERROR(N('Recurring Items'!$D$19),0)+(IF(AC342=1,'Debt Tracker'!$P$17&gt;0.01,INDEX('Debt Tracker'!$T$5:$AE$29,13,AC342-1)&gt;0.01))*('Recurring Items'!$H$20&lt;&gt;"Skip")*(DAY(AB342)='Recurring Items'!$F$20)*IFERROR(N('Recurring Items'!$D$20),0)+(IF(AC342=1,'Debt Tracker'!$P$18&gt;0.01,INDEX('Debt Tracker'!$T$5:$AE$29,14,AC342-1)&gt;0.01))*('Recurring Items'!$H$21&lt;&gt;"Skip")*(DAY(AB342)='Recurring Items'!$F$21)*IFERROR(N('Recurring Items'!$D$21),0)+(IF(AC342=1,'Debt Tracker'!$P$19&gt;0.01,INDEX('Debt Tracker'!$T$5:$AE$29,15,AC342-1)&gt;0.01))*('Recurring Items'!$H$22&lt;&gt;"Skip")*(DAY(AB342)='Recurring Items'!$F$22)*IFERROR(N('Recurring Items'!$D$22),0)+(IF(AC342=1,'Debt Tracker'!$P$20&gt;0.01,INDEX('Debt Tracker'!$T$5:$AE$29,16,AC342-1)&gt;0.01))*('Recurring Items'!$H$23&lt;&gt;"Skip")*(DAY(AB342)='Recurring Items'!$F$23)*IFERROR(N('Recurring Items'!$D$23),0)+(IF(AC342=1,'Debt Tracker'!$P$21&gt;0.01,INDEX('Debt Tracker'!$T$5:$AE$29,17,AC342-1)&gt;0.01))*('Recurring Items'!$H$24&lt;&gt;"Skip")*(DAY(AB342)='Recurring Items'!$F$24)*IFERROR(N('Recurring Items'!$D$24),0)+(IF(AC342=1,'Debt Tracker'!$P$22&gt;0.01,INDEX('Debt Tracker'!$T$5:$AE$29,18,AC342-1)&gt;0.01))*('Recurring Items'!$H$25&lt;&gt;"Skip")*(DAY(AB342)='Recurring Items'!$F$25)*IFERROR(N('Recurring Items'!$D$25),0)+(IF(AC342=1,'Debt Tracker'!$P$23&gt;0.01,INDEX('Debt Tracker'!$T$5:$AE$29,19,AC342-1)&gt;0.01))*('Recurring Items'!$H$26&lt;&gt;"Skip")*(DAY(AB342)='Recurring Items'!$F$26)*IFERROR(N('Recurring Items'!$D$26),0)+(IF(AC342=1,'Debt Tracker'!$P$24&gt;0.01,INDEX('Debt Tracker'!$T$5:$AE$29,20,AC342-1)&gt;0.01))*('Recurring Items'!$H$27&lt;&gt;"Skip")*(DAY(AB342)='Recurring Items'!$F$27)*IFERROR(N('Recurring Items'!$D$27),0)+(IF(AC342=1,'Debt Tracker'!$P$25&gt;0.01,INDEX('Debt Tracker'!$T$5:$AE$29,21,AC342-1)&gt;0.01))*('Recurring Items'!$H$28&lt;&gt;"Skip")*(DAY(AB342)='Recurring Items'!$F$28)*IFERROR(N('Recurring Items'!$D$28),0)+(IF(AC342=1,'Debt Tracker'!$P$26&gt;0.01,INDEX('Debt Tracker'!$T$5:$AE$29,22,AC342-1)&gt;0.01))*('Recurring Items'!$H$29&lt;&gt;"Skip")*(DAY(AB342)='Recurring Items'!$F$29)*IFERROR(N('Recurring Items'!$D$29),0)+(IF(AC342=1,'Debt Tracker'!$P$27&gt;0.01,INDEX('Debt Tracker'!$T$5:$AE$29,23,AC342-1)&gt;0.01))*('Recurring Items'!$H$30&lt;&gt;"Skip")*(DAY(AB342)='Recurring Items'!$F$30)*IFERROR(N('Recurring Items'!$D$30),0)+(IF(AC342=1,'Debt Tracker'!$P$28&gt;0.01,INDEX('Debt Tracker'!$T$5:$AE$29,24,AC342-1)&gt;0.01))*('Recurring Items'!$H$31&lt;&gt;"Skip")*(DAY(AB342)='Recurring Items'!$F$31)*IFERROR(N('Recurring Items'!$D$31),0)+(IF(AC342=1,'Debt Tracker'!$P$29&gt;0.01,INDEX('Debt Tracker'!$T$5:$AE$29,25,AC342-1)&gt;0.01))*('Recurring Items'!$H$32&lt;&gt;"Skip")*(DAY(AB342)='Recurring Items'!$F$32)*IFERROR(N('Recurring Items'!$D$32),0)</f>
        <v>207.23</v>
      </c>
      <c r="AG342" s="1" t="n">
        <f aca="false">AD342-AE342-AF342</f>
        <v>-207.23</v>
      </c>
      <c r="AH342" s="1" t="n">
        <f aca="false">AH341+AG342</f>
        <v>9564.83</v>
      </c>
    </row>
    <row r="343" customFormat="false" ht="15" hidden="false" customHeight="true" outlineLevel="0" collapsed="false">
      <c r="AA343" s="1" t="n">
        <v>143</v>
      </c>
      <c r="AB343" s="145" t="n">
        <f aca="false">$D$3+143</f>
        <v>46286</v>
      </c>
      <c r="AC343" s="1" t="n">
        <f aca="false">MIN(12,1+DATEDIF($D$3,AB343,"M"))</f>
        <v>5</v>
      </c>
      <c r="AD343" s="1" t="n">
        <f aca="false">SUMPRODUCT(('Recurring Items'!$C$6:$C$56="Income")*('Recurring Items'!$H$6:$H$56&lt;&gt;"Skip")*IFERROR(N('Recurring Items'!$D$6:$D$56),0)*(('Recurring Items'!$E$6:$E$56="Monthly")*(DAY(AB343)='Recurring Items'!$F$6:$F$56)+('Recurring Items'!$E$6:$E$56="Bi-weekly")*(WEEKDAY(AB343)=IFERROR(WEEKDAY('Recurring Items'!$G$6:$G$56),0))*(MOD(AB343-IFERROR('Recurring Items'!$G$6:$G$56,0),14)=0)*(AB343&gt;=IFERROR('Recurring Items'!$G$6:$G$56,9000000000))+('Recurring Items'!$E$6:$E$56="Weekly")*(WEEKDAY(AB343)=IFERROR(WEEKDAY('Recurring Items'!$G$6:$G$56),0))*(AB343&gt;=IFERROR('Recurring Items'!$G$6:$G$56,9000000000))+('Recurring Items'!$E$6:$E$56="One-time")*(AB343='Recurring Items'!$G$6:$G$56)))</f>
        <v>0</v>
      </c>
      <c r="AE343" s="1" t="n">
        <f aca="false">SUMPRODUCT(('Recurring Items'!$C$6:$C$56="Expense")*('Recurring Items'!$H$6:$H$56&lt;&gt;"Skip")*IFERROR(N('Recurring Items'!$D$6:$D$56),0)*(('Recurring Items'!$E$6:$E$56="Monthly")*(DAY(AB343)='Recurring Items'!$F$6:$F$56)+('Recurring Items'!$E$6:$E$56="Bi-weekly")*(WEEKDAY(AB343)=IFERROR(WEEKDAY('Recurring Items'!$G$6:$G$56),0))*(MOD(AB343-IFERROR('Recurring Items'!$G$6:$G$56,0),14)=0)*(AB343&gt;=IFERROR('Recurring Items'!$G$6:$G$56,9000000000))+('Recurring Items'!$E$6:$E$56="Weekly")*(WEEKDAY(AB343)=IFERROR(WEEKDAY('Recurring Items'!$G$6:$G$56),0))*(AB343&gt;=IFERROR('Recurring Items'!$G$6:$G$56,9000000000))+('Recurring Items'!$E$6:$E$56="One-time")*(AB343='Recurring Items'!$G$6:$G$56)))</f>
        <v>241</v>
      </c>
      <c r="AF343" s="1" t="n">
        <f aca="false">(IF(AC343=1,'Debt Tracker'!$P$5&gt;0.01,INDEX('Debt Tracker'!$T$5:$AE$29,1,AC343-1)&gt;0.01))*('Recurring Items'!$H$8&lt;&gt;"Skip")*(DAY(AB343)='Recurring Items'!$F$8)*IFERROR(N('Recurring Items'!$D$8),0)+(IF(AC343=1,'Debt Tracker'!$P$6&gt;0.01,INDEX('Debt Tracker'!$T$5:$AE$29,2,AC343-1)&gt;0.01))*('Recurring Items'!$H$9&lt;&gt;"Skip")*(DAY(AB343)='Recurring Items'!$F$9)*IFERROR(N('Recurring Items'!$D$9),0)+(IF(AC343=1,'Debt Tracker'!$P$7&gt;0.01,INDEX('Debt Tracker'!$T$5:$AE$29,3,AC343-1)&gt;0.01))*('Recurring Items'!$H$10&lt;&gt;"Skip")*(DAY(AB343)='Recurring Items'!$F$10)*IFERROR(N('Recurring Items'!$D$10),0)+(IF(AC343=1,'Debt Tracker'!$P$8&gt;0.01,INDEX('Debt Tracker'!$T$5:$AE$29,4,AC343-1)&gt;0.01))*('Recurring Items'!$H$11&lt;&gt;"Skip")*(DAY(AB343)='Recurring Items'!$F$11)*IFERROR(N('Recurring Items'!$D$11),0)+(IF(AC343=1,'Debt Tracker'!$P$9&gt;0.01,INDEX('Debt Tracker'!$T$5:$AE$29,5,AC343-1)&gt;0.01))*('Recurring Items'!$H$12&lt;&gt;"Skip")*(DAY(AB343)='Recurring Items'!$F$12)*IFERROR(N('Recurring Items'!$D$12),0)+(IF(AC343=1,'Debt Tracker'!$P$10&gt;0.01,INDEX('Debt Tracker'!$T$5:$AE$29,6,AC343-1)&gt;0.01))*('Recurring Items'!$H$13&lt;&gt;"Skip")*(DAY(AB343)='Recurring Items'!$F$13)*IFERROR(N('Recurring Items'!$D$13),0)+(IF(AC343=1,'Debt Tracker'!$P$11&gt;0.01,INDEX('Debt Tracker'!$T$5:$AE$29,7,AC343-1)&gt;0.01))*('Recurring Items'!$H$14&lt;&gt;"Skip")*(DAY(AB343)='Recurring Items'!$F$14)*IFERROR(N('Recurring Items'!$D$14),0)+(IF(AC343=1,'Debt Tracker'!$P$12&gt;0.01,INDEX('Debt Tracker'!$T$5:$AE$29,8,AC343-1)&gt;0.01))*('Recurring Items'!$H$15&lt;&gt;"Skip")*(DAY(AB343)='Recurring Items'!$F$15)*IFERROR(N('Recurring Items'!$D$15),0)+(IF(AC343=1,'Debt Tracker'!$P$13&gt;0.01,INDEX('Debt Tracker'!$T$5:$AE$29,9,AC343-1)&gt;0.01))*('Recurring Items'!$H$16&lt;&gt;"Skip")*(DAY(AB343)='Recurring Items'!$F$16)*IFERROR(N('Recurring Items'!$D$16),0)+(IF(AC343=1,'Debt Tracker'!$P$14&gt;0.01,INDEX('Debt Tracker'!$T$5:$AE$29,10,AC343-1)&gt;0.01))*('Recurring Items'!$H$17&lt;&gt;"Skip")*(DAY(AB343)='Recurring Items'!$F$17)*IFERROR(N('Recurring Items'!$D$17),0)+(IF(AC343=1,'Debt Tracker'!$P$15&gt;0.01,INDEX('Debt Tracker'!$T$5:$AE$29,11,AC343-1)&gt;0.01))*('Recurring Items'!$H$18&lt;&gt;"Skip")*(DAY(AB343)='Recurring Items'!$F$18)*IFERROR(N('Recurring Items'!$D$18),0)+(IF(AC343=1,'Debt Tracker'!$P$16&gt;0.01,INDEX('Debt Tracker'!$T$5:$AE$29,12,AC343-1)&gt;0.01))*('Recurring Items'!$H$19&lt;&gt;"Skip")*(DAY(AB343)='Recurring Items'!$F$19)*IFERROR(N('Recurring Items'!$D$19),0)+(IF(AC343=1,'Debt Tracker'!$P$17&gt;0.01,INDEX('Debt Tracker'!$T$5:$AE$29,13,AC343-1)&gt;0.01))*('Recurring Items'!$H$20&lt;&gt;"Skip")*(DAY(AB343)='Recurring Items'!$F$20)*IFERROR(N('Recurring Items'!$D$20),0)+(IF(AC343=1,'Debt Tracker'!$P$18&gt;0.01,INDEX('Debt Tracker'!$T$5:$AE$29,14,AC343-1)&gt;0.01))*('Recurring Items'!$H$21&lt;&gt;"Skip")*(DAY(AB343)='Recurring Items'!$F$21)*IFERROR(N('Recurring Items'!$D$21),0)+(IF(AC343=1,'Debt Tracker'!$P$19&gt;0.01,INDEX('Debt Tracker'!$T$5:$AE$29,15,AC343-1)&gt;0.01))*('Recurring Items'!$H$22&lt;&gt;"Skip")*(DAY(AB343)='Recurring Items'!$F$22)*IFERROR(N('Recurring Items'!$D$22),0)+(IF(AC343=1,'Debt Tracker'!$P$20&gt;0.01,INDEX('Debt Tracker'!$T$5:$AE$29,16,AC343-1)&gt;0.01))*('Recurring Items'!$H$23&lt;&gt;"Skip")*(DAY(AB343)='Recurring Items'!$F$23)*IFERROR(N('Recurring Items'!$D$23),0)+(IF(AC343=1,'Debt Tracker'!$P$21&gt;0.01,INDEX('Debt Tracker'!$T$5:$AE$29,17,AC343-1)&gt;0.01))*('Recurring Items'!$H$24&lt;&gt;"Skip")*(DAY(AB343)='Recurring Items'!$F$24)*IFERROR(N('Recurring Items'!$D$24),0)+(IF(AC343=1,'Debt Tracker'!$P$22&gt;0.01,INDEX('Debt Tracker'!$T$5:$AE$29,18,AC343-1)&gt;0.01))*('Recurring Items'!$H$25&lt;&gt;"Skip")*(DAY(AB343)='Recurring Items'!$F$25)*IFERROR(N('Recurring Items'!$D$25),0)+(IF(AC343=1,'Debt Tracker'!$P$23&gt;0.01,INDEX('Debt Tracker'!$T$5:$AE$29,19,AC343-1)&gt;0.01))*('Recurring Items'!$H$26&lt;&gt;"Skip")*(DAY(AB343)='Recurring Items'!$F$26)*IFERROR(N('Recurring Items'!$D$26),0)+(IF(AC343=1,'Debt Tracker'!$P$24&gt;0.01,INDEX('Debt Tracker'!$T$5:$AE$29,20,AC343-1)&gt;0.01))*('Recurring Items'!$H$27&lt;&gt;"Skip")*(DAY(AB343)='Recurring Items'!$F$27)*IFERROR(N('Recurring Items'!$D$27),0)+(IF(AC343=1,'Debt Tracker'!$P$25&gt;0.01,INDEX('Debt Tracker'!$T$5:$AE$29,21,AC343-1)&gt;0.01))*('Recurring Items'!$H$28&lt;&gt;"Skip")*(DAY(AB343)='Recurring Items'!$F$28)*IFERROR(N('Recurring Items'!$D$28),0)+(IF(AC343=1,'Debt Tracker'!$P$26&gt;0.01,INDEX('Debt Tracker'!$T$5:$AE$29,22,AC343-1)&gt;0.01))*('Recurring Items'!$H$29&lt;&gt;"Skip")*(DAY(AB343)='Recurring Items'!$F$29)*IFERROR(N('Recurring Items'!$D$29),0)+(IF(AC343=1,'Debt Tracker'!$P$27&gt;0.01,INDEX('Debt Tracker'!$T$5:$AE$29,23,AC343-1)&gt;0.01))*('Recurring Items'!$H$30&lt;&gt;"Skip")*(DAY(AB343)='Recurring Items'!$F$30)*IFERROR(N('Recurring Items'!$D$30),0)+(IF(AC343=1,'Debt Tracker'!$P$28&gt;0.01,INDEX('Debt Tracker'!$T$5:$AE$29,24,AC343-1)&gt;0.01))*('Recurring Items'!$H$31&lt;&gt;"Skip")*(DAY(AB343)='Recurring Items'!$F$31)*IFERROR(N('Recurring Items'!$D$31),0)+(IF(AC343=1,'Debt Tracker'!$P$29&gt;0.01,INDEX('Debt Tracker'!$T$5:$AE$29,25,AC343-1)&gt;0.01))*('Recurring Items'!$H$32&lt;&gt;"Skip")*(DAY(AB343)='Recurring Items'!$F$32)*IFERROR(N('Recurring Items'!$D$32),0)</f>
        <v>80</v>
      </c>
      <c r="AG343" s="1" t="n">
        <f aca="false">AD343-AE343-AF343</f>
        <v>-321</v>
      </c>
      <c r="AH343" s="1" t="n">
        <f aca="false">AH342+AG343</f>
        <v>9243.83</v>
      </c>
    </row>
    <row r="344" customFormat="false" ht="15" hidden="false" customHeight="true" outlineLevel="0" collapsed="false">
      <c r="AA344" s="1" t="n">
        <v>144</v>
      </c>
      <c r="AB344" s="145" t="n">
        <f aca="false">$D$3+144</f>
        <v>46287</v>
      </c>
      <c r="AC344" s="1" t="n">
        <f aca="false">MIN(12,1+DATEDIF($D$3,AB344,"M"))</f>
        <v>5</v>
      </c>
      <c r="AD344" s="1" t="n">
        <f aca="false">SUMPRODUCT(('Recurring Items'!$C$6:$C$56="Income")*('Recurring Items'!$H$6:$H$56&lt;&gt;"Skip")*IFERROR(N('Recurring Items'!$D$6:$D$56),0)*(('Recurring Items'!$E$6:$E$56="Monthly")*(DAY(AB344)='Recurring Items'!$F$6:$F$56)+('Recurring Items'!$E$6:$E$56="Bi-weekly")*(WEEKDAY(AB344)=IFERROR(WEEKDAY('Recurring Items'!$G$6:$G$56),0))*(MOD(AB344-IFERROR('Recurring Items'!$G$6:$G$56,0),14)=0)*(AB344&gt;=IFERROR('Recurring Items'!$G$6:$G$56,9000000000))+('Recurring Items'!$E$6:$E$56="Weekly")*(WEEKDAY(AB344)=IFERROR(WEEKDAY('Recurring Items'!$G$6:$G$56),0))*(AB344&gt;=IFERROR('Recurring Items'!$G$6:$G$56,9000000000))+('Recurring Items'!$E$6:$E$56="One-time")*(AB344='Recurring Items'!$G$6:$G$56)))</f>
        <v>0</v>
      </c>
      <c r="AE344" s="1" t="n">
        <f aca="false">SUMPRODUCT(('Recurring Items'!$C$6:$C$56="Expense")*('Recurring Items'!$H$6:$H$56&lt;&gt;"Skip")*IFERROR(N('Recurring Items'!$D$6:$D$56),0)*(('Recurring Items'!$E$6:$E$56="Monthly")*(DAY(AB344)='Recurring Items'!$F$6:$F$56)+('Recurring Items'!$E$6:$E$56="Bi-weekly")*(WEEKDAY(AB344)=IFERROR(WEEKDAY('Recurring Items'!$G$6:$G$56),0))*(MOD(AB344-IFERROR('Recurring Items'!$G$6:$G$56,0),14)=0)*(AB344&gt;=IFERROR('Recurring Items'!$G$6:$G$56,9000000000))+('Recurring Items'!$E$6:$E$56="Weekly")*(WEEKDAY(AB344)=IFERROR(WEEKDAY('Recurring Items'!$G$6:$G$56),0))*(AB344&gt;=IFERROR('Recurring Items'!$G$6:$G$56,9000000000))+('Recurring Items'!$E$6:$E$56="One-time")*(AB344='Recurring Items'!$G$6:$G$56)))</f>
        <v>0</v>
      </c>
      <c r="AF344" s="1" t="n">
        <f aca="false">(IF(AC344=1,'Debt Tracker'!$P$5&gt;0.01,INDEX('Debt Tracker'!$T$5:$AE$29,1,AC344-1)&gt;0.01))*('Recurring Items'!$H$8&lt;&gt;"Skip")*(DAY(AB344)='Recurring Items'!$F$8)*IFERROR(N('Recurring Items'!$D$8),0)+(IF(AC344=1,'Debt Tracker'!$P$6&gt;0.01,INDEX('Debt Tracker'!$T$5:$AE$29,2,AC344-1)&gt;0.01))*('Recurring Items'!$H$9&lt;&gt;"Skip")*(DAY(AB344)='Recurring Items'!$F$9)*IFERROR(N('Recurring Items'!$D$9),0)+(IF(AC344=1,'Debt Tracker'!$P$7&gt;0.01,INDEX('Debt Tracker'!$T$5:$AE$29,3,AC344-1)&gt;0.01))*('Recurring Items'!$H$10&lt;&gt;"Skip")*(DAY(AB344)='Recurring Items'!$F$10)*IFERROR(N('Recurring Items'!$D$10),0)+(IF(AC344=1,'Debt Tracker'!$P$8&gt;0.01,INDEX('Debt Tracker'!$T$5:$AE$29,4,AC344-1)&gt;0.01))*('Recurring Items'!$H$11&lt;&gt;"Skip")*(DAY(AB344)='Recurring Items'!$F$11)*IFERROR(N('Recurring Items'!$D$11),0)+(IF(AC344=1,'Debt Tracker'!$P$9&gt;0.01,INDEX('Debt Tracker'!$T$5:$AE$29,5,AC344-1)&gt;0.01))*('Recurring Items'!$H$12&lt;&gt;"Skip")*(DAY(AB344)='Recurring Items'!$F$12)*IFERROR(N('Recurring Items'!$D$12),0)+(IF(AC344=1,'Debt Tracker'!$P$10&gt;0.01,INDEX('Debt Tracker'!$T$5:$AE$29,6,AC344-1)&gt;0.01))*('Recurring Items'!$H$13&lt;&gt;"Skip")*(DAY(AB344)='Recurring Items'!$F$13)*IFERROR(N('Recurring Items'!$D$13),0)+(IF(AC344=1,'Debt Tracker'!$P$11&gt;0.01,INDEX('Debt Tracker'!$T$5:$AE$29,7,AC344-1)&gt;0.01))*('Recurring Items'!$H$14&lt;&gt;"Skip")*(DAY(AB344)='Recurring Items'!$F$14)*IFERROR(N('Recurring Items'!$D$14),0)+(IF(AC344=1,'Debt Tracker'!$P$12&gt;0.01,INDEX('Debt Tracker'!$T$5:$AE$29,8,AC344-1)&gt;0.01))*('Recurring Items'!$H$15&lt;&gt;"Skip")*(DAY(AB344)='Recurring Items'!$F$15)*IFERROR(N('Recurring Items'!$D$15),0)+(IF(AC344=1,'Debt Tracker'!$P$13&gt;0.01,INDEX('Debt Tracker'!$T$5:$AE$29,9,AC344-1)&gt;0.01))*('Recurring Items'!$H$16&lt;&gt;"Skip")*(DAY(AB344)='Recurring Items'!$F$16)*IFERROR(N('Recurring Items'!$D$16),0)+(IF(AC344=1,'Debt Tracker'!$P$14&gt;0.01,INDEX('Debt Tracker'!$T$5:$AE$29,10,AC344-1)&gt;0.01))*('Recurring Items'!$H$17&lt;&gt;"Skip")*(DAY(AB344)='Recurring Items'!$F$17)*IFERROR(N('Recurring Items'!$D$17),0)+(IF(AC344=1,'Debt Tracker'!$P$15&gt;0.01,INDEX('Debt Tracker'!$T$5:$AE$29,11,AC344-1)&gt;0.01))*('Recurring Items'!$H$18&lt;&gt;"Skip")*(DAY(AB344)='Recurring Items'!$F$18)*IFERROR(N('Recurring Items'!$D$18),0)+(IF(AC344=1,'Debt Tracker'!$P$16&gt;0.01,INDEX('Debt Tracker'!$T$5:$AE$29,12,AC344-1)&gt;0.01))*('Recurring Items'!$H$19&lt;&gt;"Skip")*(DAY(AB344)='Recurring Items'!$F$19)*IFERROR(N('Recurring Items'!$D$19),0)+(IF(AC344=1,'Debt Tracker'!$P$17&gt;0.01,INDEX('Debt Tracker'!$T$5:$AE$29,13,AC344-1)&gt;0.01))*('Recurring Items'!$H$20&lt;&gt;"Skip")*(DAY(AB344)='Recurring Items'!$F$20)*IFERROR(N('Recurring Items'!$D$20),0)+(IF(AC344=1,'Debt Tracker'!$P$18&gt;0.01,INDEX('Debt Tracker'!$T$5:$AE$29,14,AC344-1)&gt;0.01))*('Recurring Items'!$H$21&lt;&gt;"Skip")*(DAY(AB344)='Recurring Items'!$F$21)*IFERROR(N('Recurring Items'!$D$21),0)+(IF(AC344=1,'Debt Tracker'!$P$19&gt;0.01,INDEX('Debt Tracker'!$T$5:$AE$29,15,AC344-1)&gt;0.01))*('Recurring Items'!$H$22&lt;&gt;"Skip")*(DAY(AB344)='Recurring Items'!$F$22)*IFERROR(N('Recurring Items'!$D$22),0)+(IF(AC344=1,'Debt Tracker'!$P$20&gt;0.01,INDEX('Debt Tracker'!$T$5:$AE$29,16,AC344-1)&gt;0.01))*('Recurring Items'!$H$23&lt;&gt;"Skip")*(DAY(AB344)='Recurring Items'!$F$23)*IFERROR(N('Recurring Items'!$D$23),0)+(IF(AC344=1,'Debt Tracker'!$P$21&gt;0.01,INDEX('Debt Tracker'!$T$5:$AE$29,17,AC344-1)&gt;0.01))*('Recurring Items'!$H$24&lt;&gt;"Skip")*(DAY(AB344)='Recurring Items'!$F$24)*IFERROR(N('Recurring Items'!$D$24),0)+(IF(AC344=1,'Debt Tracker'!$P$22&gt;0.01,INDEX('Debt Tracker'!$T$5:$AE$29,18,AC344-1)&gt;0.01))*('Recurring Items'!$H$25&lt;&gt;"Skip")*(DAY(AB344)='Recurring Items'!$F$25)*IFERROR(N('Recurring Items'!$D$25),0)+(IF(AC344=1,'Debt Tracker'!$P$23&gt;0.01,INDEX('Debt Tracker'!$T$5:$AE$29,19,AC344-1)&gt;0.01))*('Recurring Items'!$H$26&lt;&gt;"Skip")*(DAY(AB344)='Recurring Items'!$F$26)*IFERROR(N('Recurring Items'!$D$26),0)+(IF(AC344=1,'Debt Tracker'!$P$24&gt;0.01,INDEX('Debt Tracker'!$T$5:$AE$29,20,AC344-1)&gt;0.01))*('Recurring Items'!$H$27&lt;&gt;"Skip")*(DAY(AB344)='Recurring Items'!$F$27)*IFERROR(N('Recurring Items'!$D$27),0)+(IF(AC344=1,'Debt Tracker'!$P$25&gt;0.01,INDEX('Debt Tracker'!$T$5:$AE$29,21,AC344-1)&gt;0.01))*('Recurring Items'!$H$28&lt;&gt;"Skip")*(DAY(AB344)='Recurring Items'!$F$28)*IFERROR(N('Recurring Items'!$D$28),0)+(IF(AC344=1,'Debt Tracker'!$P$26&gt;0.01,INDEX('Debt Tracker'!$T$5:$AE$29,22,AC344-1)&gt;0.01))*('Recurring Items'!$H$29&lt;&gt;"Skip")*(DAY(AB344)='Recurring Items'!$F$29)*IFERROR(N('Recurring Items'!$D$29),0)+(IF(AC344=1,'Debt Tracker'!$P$27&gt;0.01,INDEX('Debt Tracker'!$T$5:$AE$29,23,AC344-1)&gt;0.01))*('Recurring Items'!$H$30&lt;&gt;"Skip")*(DAY(AB344)='Recurring Items'!$F$30)*IFERROR(N('Recurring Items'!$D$30),0)+(IF(AC344=1,'Debt Tracker'!$P$28&gt;0.01,INDEX('Debt Tracker'!$T$5:$AE$29,24,AC344-1)&gt;0.01))*('Recurring Items'!$H$31&lt;&gt;"Skip")*(DAY(AB344)='Recurring Items'!$F$31)*IFERROR(N('Recurring Items'!$D$31),0)+(IF(AC344=1,'Debt Tracker'!$P$29&gt;0.01,INDEX('Debt Tracker'!$T$5:$AE$29,25,AC344-1)&gt;0.01))*('Recurring Items'!$H$32&lt;&gt;"Skip")*(DAY(AB344)='Recurring Items'!$F$32)*IFERROR(N('Recurring Items'!$D$32),0)</f>
        <v>0</v>
      </c>
      <c r="AG344" s="1" t="n">
        <f aca="false">AD344-AE344-AF344</f>
        <v>0</v>
      </c>
      <c r="AH344" s="1" t="n">
        <f aca="false">AH343+AG344</f>
        <v>9243.83</v>
      </c>
    </row>
    <row r="345" customFormat="false" ht="15" hidden="false" customHeight="true" outlineLevel="0" collapsed="false">
      <c r="AA345" s="1" t="n">
        <v>145</v>
      </c>
      <c r="AB345" s="145" t="n">
        <f aca="false">$D$3+145</f>
        <v>46288</v>
      </c>
      <c r="AC345" s="1" t="n">
        <f aca="false">MIN(12,1+DATEDIF($D$3,AB345,"M"))</f>
        <v>5</v>
      </c>
      <c r="AD345" s="1" t="n">
        <f aca="false">SUMPRODUCT(('Recurring Items'!$C$6:$C$56="Income")*('Recurring Items'!$H$6:$H$56&lt;&gt;"Skip")*IFERROR(N('Recurring Items'!$D$6:$D$56),0)*(('Recurring Items'!$E$6:$E$56="Monthly")*(DAY(AB345)='Recurring Items'!$F$6:$F$56)+('Recurring Items'!$E$6:$E$56="Bi-weekly")*(WEEKDAY(AB345)=IFERROR(WEEKDAY('Recurring Items'!$G$6:$G$56),0))*(MOD(AB345-IFERROR('Recurring Items'!$G$6:$G$56,0),14)=0)*(AB345&gt;=IFERROR('Recurring Items'!$G$6:$G$56,9000000000))+('Recurring Items'!$E$6:$E$56="Weekly")*(WEEKDAY(AB345)=IFERROR(WEEKDAY('Recurring Items'!$G$6:$G$56),0))*(AB345&gt;=IFERROR('Recurring Items'!$G$6:$G$56,9000000000))+('Recurring Items'!$E$6:$E$56="One-time")*(AB345='Recurring Items'!$G$6:$G$56)))</f>
        <v>0</v>
      </c>
      <c r="AE345" s="1" t="n">
        <f aca="false">SUMPRODUCT(('Recurring Items'!$C$6:$C$56="Expense")*('Recurring Items'!$H$6:$H$56&lt;&gt;"Skip")*IFERROR(N('Recurring Items'!$D$6:$D$56),0)*(('Recurring Items'!$E$6:$E$56="Monthly")*(DAY(AB345)='Recurring Items'!$F$6:$F$56)+('Recurring Items'!$E$6:$E$56="Bi-weekly")*(WEEKDAY(AB345)=IFERROR(WEEKDAY('Recurring Items'!$G$6:$G$56),0))*(MOD(AB345-IFERROR('Recurring Items'!$G$6:$G$56,0),14)=0)*(AB345&gt;=IFERROR('Recurring Items'!$G$6:$G$56,9000000000))+('Recurring Items'!$E$6:$E$56="Weekly")*(WEEKDAY(AB345)=IFERROR(WEEKDAY('Recurring Items'!$G$6:$G$56),0))*(AB345&gt;=IFERROR('Recurring Items'!$G$6:$G$56,9000000000))+('Recurring Items'!$E$6:$E$56="One-time")*(AB345='Recurring Items'!$G$6:$G$56)))</f>
        <v>0</v>
      </c>
      <c r="AF345" s="1" t="n">
        <f aca="false">(IF(AC345=1,'Debt Tracker'!$P$5&gt;0.01,INDEX('Debt Tracker'!$T$5:$AE$29,1,AC345-1)&gt;0.01))*('Recurring Items'!$H$8&lt;&gt;"Skip")*(DAY(AB345)='Recurring Items'!$F$8)*IFERROR(N('Recurring Items'!$D$8),0)+(IF(AC345=1,'Debt Tracker'!$P$6&gt;0.01,INDEX('Debt Tracker'!$T$5:$AE$29,2,AC345-1)&gt;0.01))*('Recurring Items'!$H$9&lt;&gt;"Skip")*(DAY(AB345)='Recurring Items'!$F$9)*IFERROR(N('Recurring Items'!$D$9),0)+(IF(AC345=1,'Debt Tracker'!$P$7&gt;0.01,INDEX('Debt Tracker'!$T$5:$AE$29,3,AC345-1)&gt;0.01))*('Recurring Items'!$H$10&lt;&gt;"Skip")*(DAY(AB345)='Recurring Items'!$F$10)*IFERROR(N('Recurring Items'!$D$10),0)+(IF(AC345=1,'Debt Tracker'!$P$8&gt;0.01,INDEX('Debt Tracker'!$T$5:$AE$29,4,AC345-1)&gt;0.01))*('Recurring Items'!$H$11&lt;&gt;"Skip")*(DAY(AB345)='Recurring Items'!$F$11)*IFERROR(N('Recurring Items'!$D$11),0)+(IF(AC345=1,'Debt Tracker'!$P$9&gt;0.01,INDEX('Debt Tracker'!$T$5:$AE$29,5,AC345-1)&gt;0.01))*('Recurring Items'!$H$12&lt;&gt;"Skip")*(DAY(AB345)='Recurring Items'!$F$12)*IFERROR(N('Recurring Items'!$D$12),0)+(IF(AC345=1,'Debt Tracker'!$P$10&gt;0.01,INDEX('Debt Tracker'!$T$5:$AE$29,6,AC345-1)&gt;0.01))*('Recurring Items'!$H$13&lt;&gt;"Skip")*(DAY(AB345)='Recurring Items'!$F$13)*IFERROR(N('Recurring Items'!$D$13),0)+(IF(AC345=1,'Debt Tracker'!$P$11&gt;0.01,INDEX('Debt Tracker'!$T$5:$AE$29,7,AC345-1)&gt;0.01))*('Recurring Items'!$H$14&lt;&gt;"Skip")*(DAY(AB345)='Recurring Items'!$F$14)*IFERROR(N('Recurring Items'!$D$14),0)+(IF(AC345=1,'Debt Tracker'!$P$12&gt;0.01,INDEX('Debt Tracker'!$T$5:$AE$29,8,AC345-1)&gt;0.01))*('Recurring Items'!$H$15&lt;&gt;"Skip")*(DAY(AB345)='Recurring Items'!$F$15)*IFERROR(N('Recurring Items'!$D$15),0)+(IF(AC345=1,'Debt Tracker'!$P$13&gt;0.01,INDEX('Debt Tracker'!$T$5:$AE$29,9,AC345-1)&gt;0.01))*('Recurring Items'!$H$16&lt;&gt;"Skip")*(DAY(AB345)='Recurring Items'!$F$16)*IFERROR(N('Recurring Items'!$D$16),0)+(IF(AC345=1,'Debt Tracker'!$P$14&gt;0.01,INDEX('Debt Tracker'!$T$5:$AE$29,10,AC345-1)&gt;0.01))*('Recurring Items'!$H$17&lt;&gt;"Skip")*(DAY(AB345)='Recurring Items'!$F$17)*IFERROR(N('Recurring Items'!$D$17),0)+(IF(AC345=1,'Debt Tracker'!$P$15&gt;0.01,INDEX('Debt Tracker'!$T$5:$AE$29,11,AC345-1)&gt;0.01))*('Recurring Items'!$H$18&lt;&gt;"Skip")*(DAY(AB345)='Recurring Items'!$F$18)*IFERROR(N('Recurring Items'!$D$18),0)+(IF(AC345=1,'Debt Tracker'!$P$16&gt;0.01,INDEX('Debt Tracker'!$T$5:$AE$29,12,AC345-1)&gt;0.01))*('Recurring Items'!$H$19&lt;&gt;"Skip")*(DAY(AB345)='Recurring Items'!$F$19)*IFERROR(N('Recurring Items'!$D$19),0)+(IF(AC345=1,'Debt Tracker'!$P$17&gt;0.01,INDEX('Debt Tracker'!$T$5:$AE$29,13,AC345-1)&gt;0.01))*('Recurring Items'!$H$20&lt;&gt;"Skip")*(DAY(AB345)='Recurring Items'!$F$20)*IFERROR(N('Recurring Items'!$D$20),0)+(IF(AC345=1,'Debt Tracker'!$P$18&gt;0.01,INDEX('Debt Tracker'!$T$5:$AE$29,14,AC345-1)&gt;0.01))*('Recurring Items'!$H$21&lt;&gt;"Skip")*(DAY(AB345)='Recurring Items'!$F$21)*IFERROR(N('Recurring Items'!$D$21),0)+(IF(AC345=1,'Debt Tracker'!$P$19&gt;0.01,INDEX('Debt Tracker'!$T$5:$AE$29,15,AC345-1)&gt;0.01))*('Recurring Items'!$H$22&lt;&gt;"Skip")*(DAY(AB345)='Recurring Items'!$F$22)*IFERROR(N('Recurring Items'!$D$22),0)+(IF(AC345=1,'Debt Tracker'!$P$20&gt;0.01,INDEX('Debt Tracker'!$T$5:$AE$29,16,AC345-1)&gt;0.01))*('Recurring Items'!$H$23&lt;&gt;"Skip")*(DAY(AB345)='Recurring Items'!$F$23)*IFERROR(N('Recurring Items'!$D$23),0)+(IF(AC345=1,'Debt Tracker'!$P$21&gt;0.01,INDEX('Debt Tracker'!$T$5:$AE$29,17,AC345-1)&gt;0.01))*('Recurring Items'!$H$24&lt;&gt;"Skip")*(DAY(AB345)='Recurring Items'!$F$24)*IFERROR(N('Recurring Items'!$D$24),0)+(IF(AC345=1,'Debt Tracker'!$P$22&gt;0.01,INDEX('Debt Tracker'!$T$5:$AE$29,18,AC345-1)&gt;0.01))*('Recurring Items'!$H$25&lt;&gt;"Skip")*(DAY(AB345)='Recurring Items'!$F$25)*IFERROR(N('Recurring Items'!$D$25),0)+(IF(AC345=1,'Debt Tracker'!$P$23&gt;0.01,INDEX('Debt Tracker'!$T$5:$AE$29,19,AC345-1)&gt;0.01))*('Recurring Items'!$H$26&lt;&gt;"Skip")*(DAY(AB345)='Recurring Items'!$F$26)*IFERROR(N('Recurring Items'!$D$26),0)+(IF(AC345=1,'Debt Tracker'!$P$24&gt;0.01,INDEX('Debt Tracker'!$T$5:$AE$29,20,AC345-1)&gt;0.01))*('Recurring Items'!$H$27&lt;&gt;"Skip")*(DAY(AB345)='Recurring Items'!$F$27)*IFERROR(N('Recurring Items'!$D$27),0)+(IF(AC345=1,'Debt Tracker'!$P$25&gt;0.01,INDEX('Debt Tracker'!$T$5:$AE$29,21,AC345-1)&gt;0.01))*('Recurring Items'!$H$28&lt;&gt;"Skip")*(DAY(AB345)='Recurring Items'!$F$28)*IFERROR(N('Recurring Items'!$D$28),0)+(IF(AC345=1,'Debt Tracker'!$P$26&gt;0.01,INDEX('Debt Tracker'!$T$5:$AE$29,22,AC345-1)&gt;0.01))*('Recurring Items'!$H$29&lt;&gt;"Skip")*(DAY(AB345)='Recurring Items'!$F$29)*IFERROR(N('Recurring Items'!$D$29),0)+(IF(AC345=1,'Debt Tracker'!$P$27&gt;0.01,INDEX('Debt Tracker'!$T$5:$AE$29,23,AC345-1)&gt;0.01))*('Recurring Items'!$H$30&lt;&gt;"Skip")*(DAY(AB345)='Recurring Items'!$F$30)*IFERROR(N('Recurring Items'!$D$30),0)+(IF(AC345=1,'Debt Tracker'!$P$28&gt;0.01,INDEX('Debt Tracker'!$T$5:$AE$29,24,AC345-1)&gt;0.01))*('Recurring Items'!$H$31&lt;&gt;"Skip")*(DAY(AB345)='Recurring Items'!$F$31)*IFERROR(N('Recurring Items'!$D$31),0)+(IF(AC345=1,'Debt Tracker'!$P$29&gt;0.01,INDEX('Debt Tracker'!$T$5:$AE$29,25,AC345-1)&gt;0.01))*('Recurring Items'!$H$32&lt;&gt;"Skip")*(DAY(AB345)='Recurring Items'!$F$32)*IFERROR(N('Recurring Items'!$D$32),0)</f>
        <v>0</v>
      </c>
      <c r="AG345" s="1" t="n">
        <f aca="false">AD345-AE345-AF345</f>
        <v>0</v>
      </c>
      <c r="AH345" s="1" t="n">
        <f aca="false">AH344+AG345</f>
        <v>9243.83</v>
      </c>
    </row>
    <row r="346" customFormat="false" ht="15" hidden="false" customHeight="true" outlineLevel="0" collapsed="false">
      <c r="AA346" s="1" t="n">
        <v>146</v>
      </c>
      <c r="AB346" s="145" t="n">
        <f aca="false">$D$3+146</f>
        <v>46289</v>
      </c>
      <c r="AC346" s="1" t="n">
        <f aca="false">MIN(12,1+DATEDIF($D$3,AB346,"M"))</f>
        <v>5</v>
      </c>
      <c r="AD346" s="1" t="n">
        <f aca="false">SUMPRODUCT(('Recurring Items'!$C$6:$C$56="Income")*('Recurring Items'!$H$6:$H$56&lt;&gt;"Skip")*IFERROR(N('Recurring Items'!$D$6:$D$56),0)*(('Recurring Items'!$E$6:$E$56="Monthly")*(DAY(AB346)='Recurring Items'!$F$6:$F$56)+('Recurring Items'!$E$6:$E$56="Bi-weekly")*(WEEKDAY(AB346)=IFERROR(WEEKDAY('Recurring Items'!$G$6:$G$56),0))*(MOD(AB346-IFERROR('Recurring Items'!$G$6:$G$56,0),14)=0)*(AB346&gt;=IFERROR('Recurring Items'!$G$6:$G$56,9000000000))+('Recurring Items'!$E$6:$E$56="Weekly")*(WEEKDAY(AB346)=IFERROR(WEEKDAY('Recurring Items'!$G$6:$G$56),0))*(AB346&gt;=IFERROR('Recurring Items'!$G$6:$G$56,9000000000))+('Recurring Items'!$E$6:$E$56="One-time")*(AB346='Recurring Items'!$G$6:$G$56)))</f>
        <v>2274.42</v>
      </c>
      <c r="AE346" s="1" t="n">
        <f aca="false">SUMPRODUCT(('Recurring Items'!$C$6:$C$56="Expense")*('Recurring Items'!$H$6:$H$56&lt;&gt;"Skip")*IFERROR(N('Recurring Items'!$D$6:$D$56),0)*(('Recurring Items'!$E$6:$E$56="Monthly")*(DAY(AB346)='Recurring Items'!$F$6:$F$56)+('Recurring Items'!$E$6:$E$56="Bi-weekly")*(WEEKDAY(AB346)=IFERROR(WEEKDAY('Recurring Items'!$G$6:$G$56),0))*(MOD(AB346-IFERROR('Recurring Items'!$G$6:$G$56,0),14)=0)*(AB346&gt;=IFERROR('Recurring Items'!$G$6:$G$56,9000000000))+('Recurring Items'!$E$6:$E$56="Weekly")*(WEEKDAY(AB346)=IFERROR(WEEKDAY('Recurring Items'!$G$6:$G$56),0))*(AB346&gt;=IFERROR('Recurring Items'!$G$6:$G$56,9000000000))+('Recurring Items'!$E$6:$E$56="One-time")*(AB346='Recurring Items'!$G$6:$G$56)))</f>
        <v>101.02</v>
      </c>
      <c r="AF346" s="1" t="n">
        <f aca="false">(IF(AC346=1,'Debt Tracker'!$P$5&gt;0.01,INDEX('Debt Tracker'!$T$5:$AE$29,1,AC346-1)&gt;0.01))*('Recurring Items'!$H$8&lt;&gt;"Skip")*(DAY(AB346)='Recurring Items'!$F$8)*IFERROR(N('Recurring Items'!$D$8),0)+(IF(AC346=1,'Debt Tracker'!$P$6&gt;0.01,INDEX('Debt Tracker'!$T$5:$AE$29,2,AC346-1)&gt;0.01))*('Recurring Items'!$H$9&lt;&gt;"Skip")*(DAY(AB346)='Recurring Items'!$F$9)*IFERROR(N('Recurring Items'!$D$9),0)+(IF(AC346=1,'Debt Tracker'!$P$7&gt;0.01,INDEX('Debt Tracker'!$T$5:$AE$29,3,AC346-1)&gt;0.01))*('Recurring Items'!$H$10&lt;&gt;"Skip")*(DAY(AB346)='Recurring Items'!$F$10)*IFERROR(N('Recurring Items'!$D$10),0)+(IF(AC346=1,'Debt Tracker'!$P$8&gt;0.01,INDEX('Debt Tracker'!$T$5:$AE$29,4,AC346-1)&gt;0.01))*('Recurring Items'!$H$11&lt;&gt;"Skip")*(DAY(AB346)='Recurring Items'!$F$11)*IFERROR(N('Recurring Items'!$D$11),0)+(IF(AC346=1,'Debt Tracker'!$P$9&gt;0.01,INDEX('Debt Tracker'!$T$5:$AE$29,5,AC346-1)&gt;0.01))*('Recurring Items'!$H$12&lt;&gt;"Skip")*(DAY(AB346)='Recurring Items'!$F$12)*IFERROR(N('Recurring Items'!$D$12),0)+(IF(AC346=1,'Debt Tracker'!$P$10&gt;0.01,INDEX('Debt Tracker'!$T$5:$AE$29,6,AC346-1)&gt;0.01))*('Recurring Items'!$H$13&lt;&gt;"Skip")*(DAY(AB346)='Recurring Items'!$F$13)*IFERROR(N('Recurring Items'!$D$13),0)+(IF(AC346=1,'Debt Tracker'!$P$11&gt;0.01,INDEX('Debt Tracker'!$T$5:$AE$29,7,AC346-1)&gt;0.01))*('Recurring Items'!$H$14&lt;&gt;"Skip")*(DAY(AB346)='Recurring Items'!$F$14)*IFERROR(N('Recurring Items'!$D$14),0)+(IF(AC346=1,'Debt Tracker'!$P$12&gt;0.01,INDEX('Debt Tracker'!$T$5:$AE$29,8,AC346-1)&gt;0.01))*('Recurring Items'!$H$15&lt;&gt;"Skip")*(DAY(AB346)='Recurring Items'!$F$15)*IFERROR(N('Recurring Items'!$D$15),0)+(IF(AC346=1,'Debt Tracker'!$P$13&gt;0.01,INDEX('Debt Tracker'!$T$5:$AE$29,9,AC346-1)&gt;0.01))*('Recurring Items'!$H$16&lt;&gt;"Skip")*(DAY(AB346)='Recurring Items'!$F$16)*IFERROR(N('Recurring Items'!$D$16),0)+(IF(AC346=1,'Debt Tracker'!$P$14&gt;0.01,INDEX('Debt Tracker'!$T$5:$AE$29,10,AC346-1)&gt;0.01))*('Recurring Items'!$H$17&lt;&gt;"Skip")*(DAY(AB346)='Recurring Items'!$F$17)*IFERROR(N('Recurring Items'!$D$17),0)+(IF(AC346=1,'Debt Tracker'!$P$15&gt;0.01,INDEX('Debt Tracker'!$T$5:$AE$29,11,AC346-1)&gt;0.01))*('Recurring Items'!$H$18&lt;&gt;"Skip")*(DAY(AB346)='Recurring Items'!$F$18)*IFERROR(N('Recurring Items'!$D$18),0)+(IF(AC346=1,'Debt Tracker'!$P$16&gt;0.01,INDEX('Debt Tracker'!$T$5:$AE$29,12,AC346-1)&gt;0.01))*('Recurring Items'!$H$19&lt;&gt;"Skip")*(DAY(AB346)='Recurring Items'!$F$19)*IFERROR(N('Recurring Items'!$D$19),0)+(IF(AC346=1,'Debt Tracker'!$P$17&gt;0.01,INDEX('Debt Tracker'!$T$5:$AE$29,13,AC346-1)&gt;0.01))*('Recurring Items'!$H$20&lt;&gt;"Skip")*(DAY(AB346)='Recurring Items'!$F$20)*IFERROR(N('Recurring Items'!$D$20),0)+(IF(AC346=1,'Debt Tracker'!$P$18&gt;0.01,INDEX('Debt Tracker'!$T$5:$AE$29,14,AC346-1)&gt;0.01))*('Recurring Items'!$H$21&lt;&gt;"Skip")*(DAY(AB346)='Recurring Items'!$F$21)*IFERROR(N('Recurring Items'!$D$21),0)+(IF(AC346=1,'Debt Tracker'!$P$19&gt;0.01,INDEX('Debt Tracker'!$T$5:$AE$29,15,AC346-1)&gt;0.01))*('Recurring Items'!$H$22&lt;&gt;"Skip")*(DAY(AB346)='Recurring Items'!$F$22)*IFERROR(N('Recurring Items'!$D$22),0)+(IF(AC346=1,'Debt Tracker'!$P$20&gt;0.01,INDEX('Debt Tracker'!$T$5:$AE$29,16,AC346-1)&gt;0.01))*('Recurring Items'!$H$23&lt;&gt;"Skip")*(DAY(AB346)='Recurring Items'!$F$23)*IFERROR(N('Recurring Items'!$D$23),0)+(IF(AC346=1,'Debt Tracker'!$P$21&gt;0.01,INDEX('Debt Tracker'!$T$5:$AE$29,17,AC346-1)&gt;0.01))*('Recurring Items'!$H$24&lt;&gt;"Skip")*(DAY(AB346)='Recurring Items'!$F$24)*IFERROR(N('Recurring Items'!$D$24),0)+(IF(AC346=1,'Debt Tracker'!$P$22&gt;0.01,INDEX('Debt Tracker'!$T$5:$AE$29,18,AC346-1)&gt;0.01))*('Recurring Items'!$H$25&lt;&gt;"Skip")*(DAY(AB346)='Recurring Items'!$F$25)*IFERROR(N('Recurring Items'!$D$25),0)+(IF(AC346=1,'Debt Tracker'!$P$23&gt;0.01,INDEX('Debt Tracker'!$T$5:$AE$29,19,AC346-1)&gt;0.01))*('Recurring Items'!$H$26&lt;&gt;"Skip")*(DAY(AB346)='Recurring Items'!$F$26)*IFERROR(N('Recurring Items'!$D$26),0)+(IF(AC346=1,'Debt Tracker'!$P$24&gt;0.01,INDEX('Debt Tracker'!$T$5:$AE$29,20,AC346-1)&gt;0.01))*('Recurring Items'!$H$27&lt;&gt;"Skip")*(DAY(AB346)='Recurring Items'!$F$27)*IFERROR(N('Recurring Items'!$D$27),0)+(IF(AC346=1,'Debt Tracker'!$P$25&gt;0.01,INDEX('Debt Tracker'!$T$5:$AE$29,21,AC346-1)&gt;0.01))*('Recurring Items'!$H$28&lt;&gt;"Skip")*(DAY(AB346)='Recurring Items'!$F$28)*IFERROR(N('Recurring Items'!$D$28),0)+(IF(AC346=1,'Debt Tracker'!$P$26&gt;0.01,INDEX('Debt Tracker'!$T$5:$AE$29,22,AC346-1)&gt;0.01))*('Recurring Items'!$H$29&lt;&gt;"Skip")*(DAY(AB346)='Recurring Items'!$F$29)*IFERROR(N('Recurring Items'!$D$29),0)+(IF(AC346=1,'Debt Tracker'!$P$27&gt;0.01,INDEX('Debt Tracker'!$T$5:$AE$29,23,AC346-1)&gt;0.01))*('Recurring Items'!$H$30&lt;&gt;"Skip")*(DAY(AB346)='Recurring Items'!$F$30)*IFERROR(N('Recurring Items'!$D$30),0)+(IF(AC346=1,'Debt Tracker'!$P$28&gt;0.01,INDEX('Debt Tracker'!$T$5:$AE$29,24,AC346-1)&gt;0.01))*('Recurring Items'!$H$31&lt;&gt;"Skip")*(DAY(AB346)='Recurring Items'!$F$31)*IFERROR(N('Recurring Items'!$D$31),0)+(IF(AC346=1,'Debt Tracker'!$P$29&gt;0.01,INDEX('Debt Tracker'!$T$5:$AE$29,25,AC346-1)&gt;0.01))*('Recurring Items'!$H$32&lt;&gt;"Skip")*(DAY(AB346)='Recurring Items'!$F$32)*IFERROR(N('Recurring Items'!$D$32),0)</f>
        <v>0</v>
      </c>
      <c r="AG346" s="1" t="n">
        <f aca="false">AD346-AE346-AF346</f>
        <v>2173.4</v>
      </c>
      <c r="AH346" s="1" t="n">
        <f aca="false">AH345+AG346</f>
        <v>11417.23</v>
      </c>
    </row>
    <row r="347" customFormat="false" ht="15" hidden="false" customHeight="true" outlineLevel="0" collapsed="false">
      <c r="AA347" s="1" t="n">
        <v>147</v>
      </c>
      <c r="AB347" s="145" t="n">
        <f aca="false">$D$3+147</f>
        <v>46290</v>
      </c>
      <c r="AC347" s="1" t="n">
        <f aca="false">MIN(12,1+DATEDIF($D$3,AB347,"M"))</f>
        <v>5</v>
      </c>
      <c r="AD347" s="1" t="n">
        <f aca="false">SUMPRODUCT(('Recurring Items'!$C$6:$C$56="Income")*('Recurring Items'!$H$6:$H$56&lt;&gt;"Skip")*IFERROR(N('Recurring Items'!$D$6:$D$56),0)*(('Recurring Items'!$E$6:$E$56="Monthly")*(DAY(AB347)='Recurring Items'!$F$6:$F$56)+('Recurring Items'!$E$6:$E$56="Bi-weekly")*(WEEKDAY(AB347)=IFERROR(WEEKDAY('Recurring Items'!$G$6:$G$56),0))*(MOD(AB347-IFERROR('Recurring Items'!$G$6:$G$56,0),14)=0)*(AB347&gt;=IFERROR('Recurring Items'!$G$6:$G$56,9000000000))+('Recurring Items'!$E$6:$E$56="Weekly")*(WEEKDAY(AB347)=IFERROR(WEEKDAY('Recurring Items'!$G$6:$G$56),0))*(AB347&gt;=IFERROR('Recurring Items'!$G$6:$G$56,9000000000))+('Recurring Items'!$E$6:$E$56="One-time")*(AB347='Recurring Items'!$G$6:$G$56)))</f>
        <v>0</v>
      </c>
      <c r="AE347" s="1" t="n">
        <f aca="false">SUMPRODUCT(('Recurring Items'!$C$6:$C$56="Expense")*('Recurring Items'!$H$6:$H$56&lt;&gt;"Skip")*IFERROR(N('Recurring Items'!$D$6:$D$56),0)*(('Recurring Items'!$E$6:$E$56="Monthly")*(DAY(AB347)='Recurring Items'!$F$6:$F$56)+('Recurring Items'!$E$6:$E$56="Bi-weekly")*(WEEKDAY(AB347)=IFERROR(WEEKDAY('Recurring Items'!$G$6:$G$56),0))*(MOD(AB347-IFERROR('Recurring Items'!$G$6:$G$56,0),14)=0)*(AB347&gt;=IFERROR('Recurring Items'!$G$6:$G$56,9000000000))+('Recurring Items'!$E$6:$E$56="Weekly")*(WEEKDAY(AB347)=IFERROR(WEEKDAY('Recurring Items'!$G$6:$G$56),0))*(AB347&gt;=IFERROR('Recurring Items'!$G$6:$G$56,9000000000))+('Recurring Items'!$E$6:$E$56="One-time")*(AB347='Recurring Items'!$G$6:$G$56)))</f>
        <v>460</v>
      </c>
      <c r="AF347" s="1" t="n">
        <f aca="false">(IF(AC347=1,'Debt Tracker'!$P$5&gt;0.01,INDEX('Debt Tracker'!$T$5:$AE$29,1,AC347-1)&gt;0.01))*('Recurring Items'!$H$8&lt;&gt;"Skip")*(DAY(AB347)='Recurring Items'!$F$8)*IFERROR(N('Recurring Items'!$D$8),0)+(IF(AC347=1,'Debt Tracker'!$P$6&gt;0.01,INDEX('Debt Tracker'!$T$5:$AE$29,2,AC347-1)&gt;0.01))*('Recurring Items'!$H$9&lt;&gt;"Skip")*(DAY(AB347)='Recurring Items'!$F$9)*IFERROR(N('Recurring Items'!$D$9),0)+(IF(AC347=1,'Debt Tracker'!$P$7&gt;0.01,INDEX('Debt Tracker'!$T$5:$AE$29,3,AC347-1)&gt;0.01))*('Recurring Items'!$H$10&lt;&gt;"Skip")*(DAY(AB347)='Recurring Items'!$F$10)*IFERROR(N('Recurring Items'!$D$10),0)+(IF(AC347=1,'Debt Tracker'!$P$8&gt;0.01,INDEX('Debt Tracker'!$T$5:$AE$29,4,AC347-1)&gt;0.01))*('Recurring Items'!$H$11&lt;&gt;"Skip")*(DAY(AB347)='Recurring Items'!$F$11)*IFERROR(N('Recurring Items'!$D$11),0)+(IF(AC347=1,'Debt Tracker'!$P$9&gt;0.01,INDEX('Debt Tracker'!$T$5:$AE$29,5,AC347-1)&gt;0.01))*('Recurring Items'!$H$12&lt;&gt;"Skip")*(DAY(AB347)='Recurring Items'!$F$12)*IFERROR(N('Recurring Items'!$D$12),0)+(IF(AC347=1,'Debt Tracker'!$P$10&gt;0.01,INDEX('Debt Tracker'!$T$5:$AE$29,6,AC347-1)&gt;0.01))*('Recurring Items'!$H$13&lt;&gt;"Skip")*(DAY(AB347)='Recurring Items'!$F$13)*IFERROR(N('Recurring Items'!$D$13),0)+(IF(AC347=1,'Debt Tracker'!$P$11&gt;0.01,INDEX('Debt Tracker'!$T$5:$AE$29,7,AC347-1)&gt;0.01))*('Recurring Items'!$H$14&lt;&gt;"Skip")*(DAY(AB347)='Recurring Items'!$F$14)*IFERROR(N('Recurring Items'!$D$14),0)+(IF(AC347=1,'Debt Tracker'!$P$12&gt;0.01,INDEX('Debt Tracker'!$T$5:$AE$29,8,AC347-1)&gt;0.01))*('Recurring Items'!$H$15&lt;&gt;"Skip")*(DAY(AB347)='Recurring Items'!$F$15)*IFERROR(N('Recurring Items'!$D$15),0)+(IF(AC347=1,'Debt Tracker'!$P$13&gt;0.01,INDEX('Debt Tracker'!$T$5:$AE$29,9,AC347-1)&gt;0.01))*('Recurring Items'!$H$16&lt;&gt;"Skip")*(DAY(AB347)='Recurring Items'!$F$16)*IFERROR(N('Recurring Items'!$D$16),0)+(IF(AC347=1,'Debt Tracker'!$P$14&gt;0.01,INDEX('Debt Tracker'!$T$5:$AE$29,10,AC347-1)&gt;0.01))*('Recurring Items'!$H$17&lt;&gt;"Skip")*(DAY(AB347)='Recurring Items'!$F$17)*IFERROR(N('Recurring Items'!$D$17),0)+(IF(AC347=1,'Debt Tracker'!$P$15&gt;0.01,INDEX('Debt Tracker'!$T$5:$AE$29,11,AC347-1)&gt;0.01))*('Recurring Items'!$H$18&lt;&gt;"Skip")*(DAY(AB347)='Recurring Items'!$F$18)*IFERROR(N('Recurring Items'!$D$18),0)+(IF(AC347=1,'Debt Tracker'!$P$16&gt;0.01,INDEX('Debt Tracker'!$T$5:$AE$29,12,AC347-1)&gt;0.01))*('Recurring Items'!$H$19&lt;&gt;"Skip")*(DAY(AB347)='Recurring Items'!$F$19)*IFERROR(N('Recurring Items'!$D$19),0)+(IF(AC347=1,'Debt Tracker'!$P$17&gt;0.01,INDEX('Debt Tracker'!$T$5:$AE$29,13,AC347-1)&gt;0.01))*('Recurring Items'!$H$20&lt;&gt;"Skip")*(DAY(AB347)='Recurring Items'!$F$20)*IFERROR(N('Recurring Items'!$D$20),0)+(IF(AC347=1,'Debt Tracker'!$P$18&gt;0.01,INDEX('Debt Tracker'!$T$5:$AE$29,14,AC347-1)&gt;0.01))*('Recurring Items'!$H$21&lt;&gt;"Skip")*(DAY(AB347)='Recurring Items'!$F$21)*IFERROR(N('Recurring Items'!$D$21),0)+(IF(AC347=1,'Debt Tracker'!$P$19&gt;0.01,INDEX('Debt Tracker'!$T$5:$AE$29,15,AC347-1)&gt;0.01))*('Recurring Items'!$H$22&lt;&gt;"Skip")*(DAY(AB347)='Recurring Items'!$F$22)*IFERROR(N('Recurring Items'!$D$22),0)+(IF(AC347=1,'Debt Tracker'!$P$20&gt;0.01,INDEX('Debt Tracker'!$T$5:$AE$29,16,AC347-1)&gt;0.01))*('Recurring Items'!$H$23&lt;&gt;"Skip")*(DAY(AB347)='Recurring Items'!$F$23)*IFERROR(N('Recurring Items'!$D$23),0)+(IF(AC347=1,'Debt Tracker'!$P$21&gt;0.01,INDEX('Debt Tracker'!$T$5:$AE$29,17,AC347-1)&gt;0.01))*('Recurring Items'!$H$24&lt;&gt;"Skip")*(DAY(AB347)='Recurring Items'!$F$24)*IFERROR(N('Recurring Items'!$D$24),0)+(IF(AC347=1,'Debt Tracker'!$P$22&gt;0.01,INDEX('Debt Tracker'!$T$5:$AE$29,18,AC347-1)&gt;0.01))*('Recurring Items'!$H$25&lt;&gt;"Skip")*(DAY(AB347)='Recurring Items'!$F$25)*IFERROR(N('Recurring Items'!$D$25),0)+(IF(AC347=1,'Debt Tracker'!$P$23&gt;0.01,INDEX('Debt Tracker'!$T$5:$AE$29,19,AC347-1)&gt;0.01))*('Recurring Items'!$H$26&lt;&gt;"Skip")*(DAY(AB347)='Recurring Items'!$F$26)*IFERROR(N('Recurring Items'!$D$26),0)+(IF(AC347=1,'Debt Tracker'!$P$24&gt;0.01,INDEX('Debt Tracker'!$T$5:$AE$29,20,AC347-1)&gt;0.01))*('Recurring Items'!$H$27&lt;&gt;"Skip")*(DAY(AB347)='Recurring Items'!$F$27)*IFERROR(N('Recurring Items'!$D$27),0)+(IF(AC347=1,'Debt Tracker'!$P$25&gt;0.01,INDEX('Debt Tracker'!$T$5:$AE$29,21,AC347-1)&gt;0.01))*('Recurring Items'!$H$28&lt;&gt;"Skip")*(DAY(AB347)='Recurring Items'!$F$28)*IFERROR(N('Recurring Items'!$D$28),0)+(IF(AC347=1,'Debt Tracker'!$P$26&gt;0.01,INDEX('Debt Tracker'!$T$5:$AE$29,22,AC347-1)&gt;0.01))*('Recurring Items'!$H$29&lt;&gt;"Skip")*(DAY(AB347)='Recurring Items'!$F$29)*IFERROR(N('Recurring Items'!$D$29),0)+(IF(AC347=1,'Debt Tracker'!$P$27&gt;0.01,INDEX('Debt Tracker'!$T$5:$AE$29,23,AC347-1)&gt;0.01))*('Recurring Items'!$H$30&lt;&gt;"Skip")*(DAY(AB347)='Recurring Items'!$F$30)*IFERROR(N('Recurring Items'!$D$30),0)+(IF(AC347=1,'Debt Tracker'!$P$28&gt;0.01,INDEX('Debt Tracker'!$T$5:$AE$29,24,AC347-1)&gt;0.01))*('Recurring Items'!$H$31&lt;&gt;"Skip")*(DAY(AB347)='Recurring Items'!$F$31)*IFERROR(N('Recurring Items'!$D$31),0)+(IF(AC347=1,'Debt Tracker'!$P$29&gt;0.01,INDEX('Debt Tracker'!$T$5:$AE$29,25,AC347-1)&gt;0.01))*('Recurring Items'!$H$32&lt;&gt;"Skip")*(DAY(AB347)='Recurring Items'!$F$32)*IFERROR(N('Recurring Items'!$D$32),0)</f>
        <v>0</v>
      </c>
      <c r="AG347" s="1" t="n">
        <f aca="false">AD347-AE347-AF347</f>
        <v>-460</v>
      </c>
      <c r="AH347" s="1" t="n">
        <f aca="false">AH346+AG347</f>
        <v>10957.23</v>
      </c>
    </row>
    <row r="348" customFormat="false" ht="15" hidden="false" customHeight="true" outlineLevel="0" collapsed="false">
      <c r="AA348" s="1" t="n">
        <v>148</v>
      </c>
      <c r="AB348" s="145" t="n">
        <f aca="false">$D$3+148</f>
        <v>46291</v>
      </c>
      <c r="AC348" s="1" t="n">
        <f aca="false">MIN(12,1+DATEDIF($D$3,AB348,"M"))</f>
        <v>5</v>
      </c>
      <c r="AD348" s="1" t="n">
        <f aca="false">SUMPRODUCT(('Recurring Items'!$C$6:$C$56="Income")*('Recurring Items'!$H$6:$H$56&lt;&gt;"Skip")*IFERROR(N('Recurring Items'!$D$6:$D$56),0)*(('Recurring Items'!$E$6:$E$56="Monthly")*(DAY(AB348)='Recurring Items'!$F$6:$F$56)+('Recurring Items'!$E$6:$E$56="Bi-weekly")*(WEEKDAY(AB348)=IFERROR(WEEKDAY('Recurring Items'!$G$6:$G$56),0))*(MOD(AB348-IFERROR('Recurring Items'!$G$6:$G$56,0),14)=0)*(AB348&gt;=IFERROR('Recurring Items'!$G$6:$G$56,9000000000))+('Recurring Items'!$E$6:$E$56="Weekly")*(WEEKDAY(AB348)=IFERROR(WEEKDAY('Recurring Items'!$G$6:$G$56),0))*(AB348&gt;=IFERROR('Recurring Items'!$G$6:$G$56,9000000000))+('Recurring Items'!$E$6:$E$56="One-time")*(AB348='Recurring Items'!$G$6:$G$56)))</f>
        <v>0</v>
      </c>
      <c r="AE348" s="1" t="n">
        <f aca="false">SUMPRODUCT(('Recurring Items'!$C$6:$C$56="Expense")*('Recurring Items'!$H$6:$H$56&lt;&gt;"Skip")*IFERROR(N('Recurring Items'!$D$6:$D$56),0)*(('Recurring Items'!$E$6:$E$56="Monthly")*(DAY(AB348)='Recurring Items'!$F$6:$F$56)+('Recurring Items'!$E$6:$E$56="Bi-weekly")*(WEEKDAY(AB348)=IFERROR(WEEKDAY('Recurring Items'!$G$6:$G$56),0))*(MOD(AB348-IFERROR('Recurring Items'!$G$6:$G$56,0),14)=0)*(AB348&gt;=IFERROR('Recurring Items'!$G$6:$G$56,9000000000))+('Recurring Items'!$E$6:$E$56="Weekly")*(WEEKDAY(AB348)=IFERROR(WEEKDAY('Recurring Items'!$G$6:$G$56),0))*(AB348&gt;=IFERROR('Recurring Items'!$G$6:$G$56,9000000000))+('Recurring Items'!$E$6:$E$56="One-time")*(AB348='Recurring Items'!$G$6:$G$56)))</f>
        <v>0</v>
      </c>
      <c r="AF348" s="1" t="n">
        <f aca="false">(IF(AC348=1,'Debt Tracker'!$P$5&gt;0.01,INDEX('Debt Tracker'!$T$5:$AE$29,1,AC348-1)&gt;0.01))*('Recurring Items'!$H$8&lt;&gt;"Skip")*(DAY(AB348)='Recurring Items'!$F$8)*IFERROR(N('Recurring Items'!$D$8),0)+(IF(AC348=1,'Debt Tracker'!$P$6&gt;0.01,INDEX('Debt Tracker'!$T$5:$AE$29,2,AC348-1)&gt;0.01))*('Recurring Items'!$H$9&lt;&gt;"Skip")*(DAY(AB348)='Recurring Items'!$F$9)*IFERROR(N('Recurring Items'!$D$9),0)+(IF(AC348=1,'Debt Tracker'!$P$7&gt;0.01,INDEX('Debt Tracker'!$T$5:$AE$29,3,AC348-1)&gt;0.01))*('Recurring Items'!$H$10&lt;&gt;"Skip")*(DAY(AB348)='Recurring Items'!$F$10)*IFERROR(N('Recurring Items'!$D$10),0)+(IF(AC348=1,'Debt Tracker'!$P$8&gt;0.01,INDEX('Debt Tracker'!$T$5:$AE$29,4,AC348-1)&gt;0.01))*('Recurring Items'!$H$11&lt;&gt;"Skip")*(DAY(AB348)='Recurring Items'!$F$11)*IFERROR(N('Recurring Items'!$D$11),0)+(IF(AC348=1,'Debt Tracker'!$P$9&gt;0.01,INDEX('Debt Tracker'!$T$5:$AE$29,5,AC348-1)&gt;0.01))*('Recurring Items'!$H$12&lt;&gt;"Skip")*(DAY(AB348)='Recurring Items'!$F$12)*IFERROR(N('Recurring Items'!$D$12),0)+(IF(AC348=1,'Debt Tracker'!$P$10&gt;0.01,INDEX('Debt Tracker'!$T$5:$AE$29,6,AC348-1)&gt;0.01))*('Recurring Items'!$H$13&lt;&gt;"Skip")*(DAY(AB348)='Recurring Items'!$F$13)*IFERROR(N('Recurring Items'!$D$13),0)+(IF(AC348=1,'Debt Tracker'!$P$11&gt;0.01,INDEX('Debt Tracker'!$T$5:$AE$29,7,AC348-1)&gt;0.01))*('Recurring Items'!$H$14&lt;&gt;"Skip")*(DAY(AB348)='Recurring Items'!$F$14)*IFERROR(N('Recurring Items'!$D$14),0)+(IF(AC348=1,'Debt Tracker'!$P$12&gt;0.01,INDEX('Debt Tracker'!$T$5:$AE$29,8,AC348-1)&gt;0.01))*('Recurring Items'!$H$15&lt;&gt;"Skip")*(DAY(AB348)='Recurring Items'!$F$15)*IFERROR(N('Recurring Items'!$D$15),0)+(IF(AC348=1,'Debt Tracker'!$P$13&gt;0.01,INDEX('Debt Tracker'!$T$5:$AE$29,9,AC348-1)&gt;0.01))*('Recurring Items'!$H$16&lt;&gt;"Skip")*(DAY(AB348)='Recurring Items'!$F$16)*IFERROR(N('Recurring Items'!$D$16),0)+(IF(AC348=1,'Debt Tracker'!$P$14&gt;0.01,INDEX('Debt Tracker'!$T$5:$AE$29,10,AC348-1)&gt;0.01))*('Recurring Items'!$H$17&lt;&gt;"Skip")*(DAY(AB348)='Recurring Items'!$F$17)*IFERROR(N('Recurring Items'!$D$17),0)+(IF(AC348=1,'Debt Tracker'!$P$15&gt;0.01,INDEX('Debt Tracker'!$T$5:$AE$29,11,AC348-1)&gt;0.01))*('Recurring Items'!$H$18&lt;&gt;"Skip")*(DAY(AB348)='Recurring Items'!$F$18)*IFERROR(N('Recurring Items'!$D$18),0)+(IF(AC348=1,'Debt Tracker'!$P$16&gt;0.01,INDEX('Debt Tracker'!$T$5:$AE$29,12,AC348-1)&gt;0.01))*('Recurring Items'!$H$19&lt;&gt;"Skip")*(DAY(AB348)='Recurring Items'!$F$19)*IFERROR(N('Recurring Items'!$D$19),0)+(IF(AC348=1,'Debt Tracker'!$P$17&gt;0.01,INDEX('Debt Tracker'!$T$5:$AE$29,13,AC348-1)&gt;0.01))*('Recurring Items'!$H$20&lt;&gt;"Skip")*(DAY(AB348)='Recurring Items'!$F$20)*IFERROR(N('Recurring Items'!$D$20),0)+(IF(AC348=1,'Debt Tracker'!$P$18&gt;0.01,INDEX('Debt Tracker'!$T$5:$AE$29,14,AC348-1)&gt;0.01))*('Recurring Items'!$H$21&lt;&gt;"Skip")*(DAY(AB348)='Recurring Items'!$F$21)*IFERROR(N('Recurring Items'!$D$21),0)+(IF(AC348=1,'Debt Tracker'!$P$19&gt;0.01,INDEX('Debt Tracker'!$T$5:$AE$29,15,AC348-1)&gt;0.01))*('Recurring Items'!$H$22&lt;&gt;"Skip")*(DAY(AB348)='Recurring Items'!$F$22)*IFERROR(N('Recurring Items'!$D$22),0)+(IF(AC348=1,'Debt Tracker'!$P$20&gt;0.01,INDEX('Debt Tracker'!$T$5:$AE$29,16,AC348-1)&gt;0.01))*('Recurring Items'!$H$23&lt;&gt;"Skip")*(DAY(AB348)='Recurring Items'!$F$23)*IFERROR(N('Recurring Items'!$D$23),0)+(IF(AC348=1,'Debt Tracker'!$P$21&gt;0.01,INDEX('Debt Tracker'!$T$5:$AE$29,17,AC348-1)&gt;0.01))*('Recurring Items'!$H$24&lt;&gt;"Skip")*(DAY(AB348)='Recurring Items'!$F$24)*IFERROR(N('Recurring Items'!$D$24),0)+(IF(AC348=1,'Debt Tracker'!$P$22&gt;0.01,INDEX('Debt Tracker'!$T$5:$AE$29,18,AC348-1)&gt;0.01))*('Recurring Items'!$H$25&lt;&gt;"Skip")*(DAY(AB348)='Recurring Items'!$F$25)*IFERROR(N('Recurring Items'!$D$25),0)+(IF(AC348=1,'Debt Tracker'!$P$23&gt;0.01,INDEX('Debt Tracker'!$T$5:$AE$29,19,AC348-1)&gt;0.01))*('Recurring Items'!$H$26&lt;&gt;"Skip")*(DAY(AB348)='Recurring Items'!$F$26)*IFERROR(N('Recurring Items'!$D$26),0)+(IF(AC348=1,'Debt Tracker'!$P$24&gt;0.01,INDEX('Debt Tracker'!$T$5:$AE$29,20,AC348-1)&gt;0.01))*('Recurring Items'!$H$27&lt;&gt;"Skip")*(DAY(AB348)='Recurring Items'!$F$27)*IFERROR(N('Recurring Items'!$D$27),0)+(IF(AC348=1,'Debt Tracker'!$P$25&gt;0.01,INDEX('Debt Tracker'!$T$5:$AE$29,21,AC348-1)&gt;0.01))*('Recurring Items'!$H$28&lt;&gt;"Skip")*(DAY(AB348)='Recurring Items'!$F$28)*IFERROR(N('Recurring Items'!$D$28),0)+(IF(AC348=1,'Debt Tracker'!$P$26&gt;0.01,INDEX('Debt Tracker'!$T$5:$AE$29,22,AC348-1)&gt;0.01))*('Recurring Items'!$H$29&lt;&gt;"Skip")*(DAY(AB348)='Recurring Items'!$F$29)*IFERROR(N('Recurring Items'!$D$29),0)+(IF(AC348=1,'Debt Tracker'!$P$27&gt;0.01,INDEX('Debt Tracker'!$T$5:$AE$29,23,AC348-1)&gt;0.01))*('Recurring Items'!$H$30&lt;&gt;"Skip")*(DAY(AB348)='Recurring Items'!$F$30)*IFERROR(N('Recurring Items'!$D$30),0)+(IF(AC348=1,'Debt Tracker'!$P$28&gt;0.01,INDEX('Debt Tracker'!$T$5:$AE$29,24,AC348-1)&gt;0.01))*('Recurring Items'!$H$31&lt;&gt;"Skip")*(DAY(AB348)='Recurring Items'!$F$31)*IFERROR(N('Recurring Items'!$D$31),0)+(IF(AC348=1,'Debt Tracker'!$P$29&gt;0.01,INDEX('Debt Tracker'!$T$5:$AE$29,25,AC348-1)&gt;0.01))*('Recurring Items'!$H$32&lt;&gt;"Skip")*(DAY(AB348)='Recurring Items'!$F$32)*IFERROR(N('Recurring Items'!$D$32),0)</f>
        <v>0</v>
      </c>
      <c r="AG348" s="1" t="n">
        <f aca="false">AD348-AE348-AF348</f>
        <v>0</v>
      </c>
      <c r="AH348" s="1" t="n">
        <f aca="false">AH347+AG348</f>
        <v>10957.23</v>
      </c>
    </row>
    <row r="349" customFormat="false" ht="15" hidden="false" customHeight="true" outlineLevel="0" collapsed="false">
      <c r="AA349" s="1" t="n">
        <v>149</v>
      </c>
      <c r="AB349" s="145" t="n">
        <f aca="false">$D$3+149</f>
        <v>46292</v>
      </c>
      <c r="AC349" s="1" t="n">
        <f aca="false">MIN(12,1+DATEDIF($D$3,AB349,"M"))</f>
        <v>5</v>
      </c>
      <c r="AD349" s="1" t="n">
        <f aca="false">SUMPRODUCT(('Recurring Items'!$C$6:$C$56="Income")*('Recurring Items'!$H$6:$H$56&lt;&gt;"Skip")*IFERROR(N('Recurring Items'!$D$6:$D$56),0)*(('Recurring Items'!$E$6:$E$56="Monthly")*(DAY(AB349)='Recurring Items'!$F$6:$F$56)+('Recurring Items'!$E$6:$E$56="Bi-weekly")*(WEEKDAY(AB349)=IFERROR(WEEKDAY('Recurring Items'!$G$6:$G$56),0))*(MOD(AB349-IFERROR('Recurring Items'!$G$6:$G$56,0),14)=0)*(AB349&gt;=IFERROR('Recurring Items'!$G$6:$G$56,9000000000))+('Recurring Items'!$E$6:$E$56="Weekly")*(WEEKDAY(AB349)=IFERROR(WEEKDAY('Recurring Items'!$G$6:$G$56),0))*(AB349&gt;=IFERROR('Recurring Items'!$G$6:$G$56,9000000000))+('Recurring Items'!$E$6:$E$56="One-time")*(AB349='Recurring Items'!$G$6:$G$56)))</f>
        <v>0</v>
      </c>
      <c r="AE349" s="1" t="n">
        <f aca="false">SUMPRODUCT(('Recurring Items'!$C$6:$C$56="Expense")*('Recurring Items'!$H$6:$H$56&lt;&gt;"Skip")*IFERROR(N('Recurring Items'!$D$6:$D$56),0)*(('Recurring Items'!$E$6:$E$56="Monthly")*(DAY(AB349)='Recurring Items'!$F$6:$F$56)+('Recurring Items'!$E$6:$E$56="Bi-weekly")*(WEEKDAY(AB349)=IFERROR(WEEKDAY('Recurring Items'!$G$6:$G$56),0))*(MOD(AB349-IFERROR('Recurring Items'!$G$6:$G$56,0),14)=0)*(AB349&gt;=IFERROR('Recurring Items'!$G$6:$G$56,9000000000))+('Recurring Items'!$E$6:$E$56="Weekly")*(WEEKDAY(AB349)=IFERROR(WEEKDAY('Recurring Items'!$G$6:$G$56),0))*(AB349&gt;=IFERROR('Recurring Items'!$G$6:$G$56,9000000000))+('Recurring Items'!$E$6:$E$56="One-time")*(AB349='Recurring Items'!$G$6:$G$56)))</f>
        <v>0</v>
      </c>
      <c r="AF349" s="1" t="n">
        <f aca="false">(IF(AC349=1,'Debt Tracker'!$P$5&gt;0.01,INDEX('Debt Tracker'!$T$5:$AE$29,1,AC349-1)&gt;0.01))*('Recurring Items'!$H$8&lt;&gt;"Skip")*(DAY(AB349)='Recurring Items'!$F$8)*IFERROR(N('Recurring Items'!$D$8),0)+(IF(AC349=1,'Debt Tracker'!$P$6&gt;0.01,INDEX('Debt Tracker'!$T$5:$AE$29,2,AC349-1)&gt;0.01))*('Recurring Items'!$H$9&lt;&gt;"Skip")*(DAY(AB349)='Recurring Items'!$F$9)*IFERROR(N('Recurring Items'!$D$9),0)+(IF(AC349=1,'Debt Tracker'!$P$7&gt;0.01,INDEX('Debt Tracker'!$T$5:$AE$29,3,AC349-1)&gt;0.01))*('Recurring Items'!$H$10&lt;&gt;"Skip")*(DAY(AB349)='Recurring Items'!$F$10)*IFERROR(N('Recurring Items'!$D$10),0)+(IF(AC349=1,'Debt Tracker'!$P$8&gt;0.01,INDEX('Debt Tracker'!$T$5:$AE$29,4,AC349-1)&gt;0.01))*('Recurring Items'!$H$11&lt;&gt;"Skip")*(DAY(AB349)='Recurring Items'!$F$11)*IFERROR(N('Recurring Items'!$D$11),0)+(IF(AC349=1,'Debt Tracker'!$P$9&gt;0.01,INDEX('Debt Tracker'!$T$5:$AE$29,5,AC349-1)&gt;0.01))*('Recurring Items'!$H$12&lt;&gt;"Skip")*(DAY(AB349)='Recurring Items'!$F$12)*IFERROR(N('Recurring Items'!$D$12),0)+(IF(AC349=1,'Debt Tracker'!$P$10&gt;0.01,INDEX('Debt Tracker'!$T$5:$AE$29,6,AC349-1)&gt;0.01))*('Recurring Items'!$H$13&lt;&gt;"Skip")*(DAY(AB349)='Recurring Items'!$F$13)*IFERROR(N('Recurring Items'!$D$13),0)+(IF(AC349=1,'Debt Tracker'!$P$11&gt;0.01,INDEX('Debt Tracker'!$T$5:$AE$29,7,AC349-1)&gt;0.01))*('Recurring Items'!$H$14&lt;&gt;"Skip")*(DAY(AB349)='Recurring Items'!$F$14)*IFERROR(N('Recurring Items'!$D$14),0)+(IF(AC349=1,'Debt Tracker'!$P$12&gt;0.01,INDEX('Debt Tracker'!$T$5:$AE$29,8,AC349-1)&gt;0.01))*('Recurring Items'!$H$15&lt;&gt;"Skip")*(DAY(AB349)='Recurring Items'!$F$15)*IFERROR(N('Recurring Items'!$D$15),0)+(IF(AC349=1,'Debt Tracker'!$P$13&gt;0.01,INDEX('Debt Tracker'!$T$5:$AE$29,9,AC349-1)&gt;0.01))*('Recurring Items'!$H$16&lt;&gt;"Skip")*(DAY(AB349)='Recurring Items'!$F$16)*IFERROR(N('Recurring Items'!$D$16),0)+(IF(AC349=1,'Debt Tracker'!$P$14&gt;0.01,INDEX('Debt Tracker'!$T$5:$AE$29,10,AC349-1)&gt;0.01))*('Recurring Items'!$H$17&lt;&gt;"Skip")*(DAY(AB349)='Recurring Items'!$F$17)*IFERROR(N('Recurring Items'!$D$17),0)+(IF(AC349=1,'Debt Tracker'!$P$15&gt;0.01,INDEX('Debt Tracker'!$T$5:$AE$29,11,AC349-1)&gt;0.01))*('Recurring Items'!$H$18&lt;&gt;"Skip")*(DAY(AB349)='Recurring Items'!$F$18)*IFERROR(N('Recurring Items'!$D$18),0)+(IF(AC349=1,'Debt Tracker'!$P$16&gt;0.01,INDEX('Debt Tracker'!$T$5:$AE$29,12,AC349-1)&gt;0.01))*('Recurring Items'!$H$19&lt;&gt;"Skip")*(DAY(AB349)='Recurring Items'!$F$19)*IFERROR(N('Recurring Items'!$D$19),0)+(IF(AC349=1,'Debt Tracker'!$P$17&gt;0.01,INDEX('Debt Tracker'!$T$5:$AE$29,13,AC349-1)&gt;0.01))*('Recurring Items'!$H$20&lt;&gt;"Skip")*(DAY(AB349)='Recurring Items'!$F$20)*IFERROR(N('Recurring Items'!$D$20),0)+(IF(AC349=1,'Debt Tracker'!$P$18&gt;0.01,INDEX('Debt Tracker'!$T$5:$AE$29,14,AC349-1)&gt;0.01))*('Recurring Items'!$H$21&lt;&gt;"Skip")*(DAY(AB349)='Recurring Items'!$F$21)*IFERROR(N('Recurring Items'!$D$21),0)+(IF(AC349=1,'Debt Tracker'!$P$19&gt;0.01,INDEX('Debt Tracker'!$T$5:$AE$29,15,AC349-1)&gt;0.01))*('Recurring Items'!$H$22&lt;&gt;"Skip")*(DAY(AB349)='Recurring Items'!$F$22)*IFERROR(N('Recurring Items'!$D$22),0)+(IF(AC349=1,'Debt Tracker'!$P$20&gt;0.01,INDEX('Debt Tracker'!$T$5:$AE$29,16,AC349-1)&gt;0.01))*('Recurring Items'!$H$23&lt;&gt;"Skip")*(DAY(AB349)='Recurring Items'!$F$23)*IFERROR(N('Recurring Items'!$D$23),0)+(IF(AC349=1,'Debt Tracker'!$P$21&gt;0.01,INDEX('Debt Tracker'!$T$5:$AE$29,17,AC349-1)&gt;0.01))*('Recurring Items'!$H$24&lt;&gt;"Skip")*(DAY(AB349)='Recurring Items'!$F$24)*IFERROR(N('Recurring Items'!$D$24),0)+(IF(AC349=1,'Debt Tracker'!$P$22&gt;0.01,INDEX('Debt Tracker'!$T$5:$AE$29,18,AC349-1)&gt;0.01))*('Recurring Items'!$H$25&lt;&gt;"Skip")*(DAY(AB349)='Recurring Items'!$F$25)*IFERROR(N('Recurring Items'!$D$25),0)+(IF(AC349=1,'Debt Tracker'!$P$23&gt;0.01,INDEX('Debt Tracker'!$T$5:$AE$29,19,AC349-1)&gt;0.01))*('Recurring Items'!$H$26&lt;&gt;"Skip")*(DAY(AB349)='Recurring Items'!$F$26)*IFERROR(N('Recurring Items'!$D$26),0)+(IF(AC349=1,'Debt Tracker'!$P$24&gt;0.01,INDEX('Debt Tracker'!$T$5:$AE$29,20,AC349-1)&gt;0.01))*('Recurring Items'!$H$27&lt;&gt;"Skip")*(DAY(AB349)='Recurring Items'!$F$27)*IFERROR(N('Recurring Items'!$D$27),0)+(IF(AC349=1,'Debt Tracker'!$P$25&gt;0.01,INDEX('Debt Tracker'!$T$5:$AE$29,21,AC349-1)&gt;0.01))*('Recurring Items'!$H$28&lt;&gt;"Skip")*(DAY(AB349)='Recurring Items'!$F$28)*IFERROR(N('Recurring Items'!$D$28),0)+(IF(AC349=1,'Debt Tracker'!$P$26&gt;0.01,INDEX('Debt Tracker'!$T$5:$AE$29,22,AC349-1)&gt;0.01))*('Recurring Items'!$H$29&lt;&gt;"Skip")*(DAY(AB349)='Recurring Items'!$F$29)*IFERROR(N('Recurring Items'!$D$29),0)+(IF(AC349=1,'Debt Tracker'!$P$27&gt;0.01,INDEX('Debt Tracker'!$T$5:$AE$29,23,AC349-1)&gt;0.01))*('Recurring Items'!$H$30&lt;&gt;"Skip")*(DAY(AB349)='Recurring Items'!$F$30)*IFERROR(N('Recurring Items'!$D$30),0)+(IF(AC349=1,'Debt Tracker'!$P$28&gt;0.01,INDEX('Debt Tracker'!$T$5:$AE$29,24,AC349-1)&gt;0.01))*('Recurring Items'!$H$31&lt;&gt;"Skip")*(DAY(AB349)='Recurring Items'!$F$31)*IFERROR(N('Recurring Items'!$D$31),0)+(IF(AC349=1,'Debt Tracker'!$P$29&gt;0.01,INDEX('Debt Tracker'!$T$5:$AE$29,25,AC349-1)&gt;0.01))*('Recurring Items'!$H$32&lt;&gt;"Skip")*(DAY(AB349)='Recurring Items'!$F$32)*IFERROR(N('Recurring Items'!$D$32),0)</f>
        <v>0</v>
      </c>
      <c r="AG349" s="1" t="n">
        <f aca="false">AD349-AE349-AF349</f>
        <v>0</v>
      </c>
      <c r="AH349" s="1" t="n">
        <f aca="false">AH348+AG349</f>
        <v>10957.23</v>
      </c>
    </row>
    <row r="350" customFormat="false" ht="15" hidden="false" customHeight="true" outlineLevel="0" collapsed="false">
      <c r="AA350" s="1" t="n">
        <v>150</v>
      </c>
      <c r="AB350" s="145" t="n">
        <f aca="false">$D$3+150</f>
        <v>46293</v>
      </c>
      <c r="AC350" s="1" t="n">
        <f aca="false">MIN(12,1+DATEDIF($D$3,AB350,"M"))</f>
        <v>5</v>
      </c>
      <c r="AD350" s="1" t="n">
        <f aca="false">SUMPRODUCT(('Recurring Items'!$C$6:$C$56="Income")*('Recurring Items'!$H$6:$H$56&lt;&gt;"Skip")*IFERROR(N('Recurring Items'!$D$6:$D$56),0)*(('Recurring Items'!$E$6:$E$56="Monthly")*(DAY(AB350)='Recurring Items'!$F$6:$F$56)+('Recurring Items'!$E$6:$E$56="Bi-weekly")*(WEEKDAY(AB350)=IFERROR(WEEKDAY('Recurring Items'!$G$6:$G$56),0))*(MOD(AB350-IFERROR('Recurring Items'!$G$6:$G$56,0),14)=0)*(AB350&gt;=IFERROR('Recurring Items'!$G$6:$G$56,9000000000))+('Recurring Items'!$E$6:$E$56="Weekly")*(WEEKDAY(AB350)=IFERROR(WEEKDAY('Recurring Items'!$G$6:$G$56),0))*(AB350&gt;=IFERROR('Recurring Items'!$G$6:$G$56,9000000000))+('Recurring Items'!$E$6:$E$56="One-time")*(AB350='Recurring Items'!$G$6:$G$56)))</f>
        <v>0</v>
      </c>
      <c r="AE350" s="1" t="n">
        <f aca="false">SUMPRODUCT(('Recurring Items'!$C$6:$C$56="Expense")*('Recurring Items'!$H$6:$H$56&lt;&gt;"Skip")*IFERROR(N('Recurring Items'!$D$6:$D$56),0)*(('Recurring Items'!$E$6:$E$56="Monthly")*(DAY(AB350)='Recurring Items'!$F$6:$F$56)+('Recurring Items'!$E$6:$E$56="Bi-weekly")*(WEEKDAY(AB350)=IFERROR(WEEKDAY('Recurring Items'!$G$6:$G$56),0))*(MOD(AB350-IFERROR('Recurring Items'!$G$6:$G$56,0),14)=0)*(AB350&gt;=IFERROR('Recurring Items'!$G$6:$G$56,9000000000))+('Recurring Items'!$E$6:$E$56="Weekly")*(WEEKDAY(AB350)=IFERROR(WEEKDAY('Recurring Items'!$G$6:$G$56),0))*(AB350&gt;=IFERROR('Recurring Items'!$G$6:$G$56,9000000000))+('Recurring Items'!$E$6:$E$56="One-time")*(AB350='Recurring Items'!$G$6:$G$56)))</f>
        <v>0</v>
      </c>
      <c r="AF350" s="1" t="n">
        <f aca="false">(IF(AC350=1,'Debt Tracker'!$P$5&gt;0.01,INDEX('Debt Tracker'!$T$5:$AE$29,1,AC350-1)&gt;0.01))*('Recurring Items'!$H$8&lt;&gt;"Skip")*(DAY(AB350)='Recurring Items'!$F$8)*IFERROR(N('Recurring Items'!$D$8),0)+(IF(AC350=1,'Debt Tracker'!$P$6&gt;0.01,INDEX('Debt Tracker'!$T$5:$AE$29,2,AC350-1)&gt;0.01))*('Recurring Items'!$H$9&lt;&gt;"Skip")*(DAY(AB350)='Recurring Items'!$F$9)*IFERROR(N('Recurring Items'!$D$9),0)+(IF(AC350=1,'Debt Tracker'!$P$7&gt;0.01,INDEX('Debt Tracker'!$T$5:$AE$29,3,AC350-1)&gt;0.01))*('Recurring Items'!$H$10&lt;&gt;"Skip")*(DAY(AB350)='Recurring Items'!$F$10)*IFERROR(N('Recurring Items'!$D$10),0)+(IF(AC350=1,'Debt Tracker'!$P$8&gt;0.01,INDEX('Debt Tracker'!$T$5:$AE$29,4,AC350-1)&gt;0.01))*('Recurring Items'!$H$11&lt;&gt;"Skip")*(DAY(AB350)='Recurring Items'!$F$11)*IFERROR(N('Recurring Items'!$D$11),0)+(IF(AC350=1,'Debt Tracker'!$P$9&gt;0.01,INDEX('Debt Tracker'!$T$5:$AE$29,5,AC350-1)&gt;0.01))*('Recurring Items'!$H$12&lt;&gt;"Skip")*(DAY(AB350)='Recurring Items'!$F$12)*IFERROR(N('Recurring Items'!$D$12),0)+(IF(AC350=1,'Debt Tracker'!$P$10&gt;0.01,INDEX('Debt Tracker'!$T$5:$AE$29,6,AC350-1)&gt;0.01))*('Recurring Items'!$H$13&lt;&gt;"Skip")*(DAY(AB350)='Recurring Items'!$F$13)*IFERROR(N('Recurring Items'!$D$13),0)+(IF(AC350=1,'Debt Tracker'!$P$11&gt;0.01,INDEX('Debt Tracker'!$T$5:$AE$29,7,AC350-1)&gt;0.01))*('Recurring Items'!$H$14&lt;&gt;"Skip")*(DAY(AB350)='Recurring Items'!$F$14)*IFERROR(N('Recurring Items'!$D$14),0)+(IF(AC350=1,'Debt Tracker'!$P$12&gt;0.01,INDEX('Debt Tracker'!$T$5:$AE$29,8,AC350-1)&gt;0.01))*('Recurring Items'!$H$15&lt;&gt;"Skip")*(DAY(AB350)='Recurring Items'!$F$15)*IFERROR(N('Recurring Items'!$D$15),0)+(IF(AC350=1,'Debt Tracker'!$P$13&gt;0.01,INDEX('Debt Tracker'!$T$5:$AE$29,9,AC350-1)&gt;0.01))*('Recurring Items'!$H$16&lt;&gt;"Skip")*(DAY(AB350)='Recurring Items'!$F$16)*IFERROR(N('Recurring Items'!$D$16),0)+(IF(AC350=1,'Debt Tracker'!$P$14&gt;0.01,INDEX('Debt Tracker'!$T$5:$AE$29,10,AC350-1)&gt;0.01))*('Recurring Items'!$H$17&lt;&gt;"Skip")*(DAY(AB350)='Recurring Items'!$F$17)*IFERROR(N('Recurring Items'!$D$17),0)+(IF(AC350=1,'Debt Tracker'!$P$15&gt;0.01,INDEX('Debt Tracker'!$T$5:$AE$29,11,AC350-1)&gt;0.01))*('Recurring Items'!$H$18&lt;&gt;"Skip")*(DAY(AB350)='Recurring Items'!$F$18)*IFERROR(N('Recurring Items'!$D$18),0)+(IF(AC350=1,'Debt Tracker'!$P$16&gt;0.01,INDEX('Debt Tracker'!$T$5:$AE$29,12,AC350-1)&gt;0.01))*('Recurring Items'!$H$19&lt;&gt;"Skip")*(DAY(AB350)='Recurring Items'!$F$19)*IFERROR(N('Recurring Items'!$D$19),0)+(IF(AC350=1,'Debt Tracker'!$P$17&gt;0.01,INDEX('Debt Tracker'!$T$5:$AE$29,13,AC350-1)&gt;0.01))*('Recurring Items'!$H$20&lt;&gt;"Skip")*(DAY(AB350)='Recurring Items'!$F$20)*IFERROR(N('Recurring Items'!$D$20),0)+(IF(AC350=1,'Debt Tracker'!$P$18&gt;0.01,INDEX('Debt Tracker'!$T$5:$AE$29,14,AC350-1)&gt;0.01))*('Recurring Items'!$H$21&lt;&gt;"Skip")*(DAY(AB350)='Recurring Items'!$F$21)*IFERROR(N('Recurring Items'!$D$21),0)+(IF(AC350=1,'Debt Tracker'!$P$19&gt;0.01,INDEX('Debt Tracker'!$T$5:$AE$29,15,AC350-1)&gt;0.01))*('Recurring Items'!$H$22&lt;&gt;"Skip")*(DAY(AB350)='Recurring Items'!$F$22)*IFERROR(N('Recurring Items'!$D$22),0)+(IF(AC350=1,'Debt Tracker'!$P$20&gt;0.01,INDEX('Debt Tracker'!$T$5:$AE$29,16,AC350-1)&gt;0.01))*('Recurring Items'!$H$23&lt;&gt;"Skip")*(DAY(AB350)='Recurring Items'!$F$23)*IFERROR(N('Recurring Items'!$D$23),0)+(IF(AC350=1,'Debt Tracker'!$P$21&gt;0.01,INDEX('Debt Tracker'!$T$5:$AE$29,17,AC350-1)&gt;0.01))*('Recurring Items'!$H$24&lt;&gt;"Skip")*(DAY(AB350)='Recurring Items'!$F$24)*IFERROR(N('Recurring Items'!$D$24),0)+(IF(AC350=1,'Debt Tracker'!$P$22&gt;0.01,INDEX('Debt Tracker'!$T$5:$AE$29,18,AC350-1)&gt;0.01))*('Recurring Items'!$H$25&lt;&gt;"Skip")*(DAY(AB350)='Recurring Items'!$F$25)*IFERROR(N('Recurring Items'!$D$25),0)+(IF(AC350=1,'Debt Tracker'!$P$23&gt;0.01,INDEX('Debt Tracker'!$T$5:$AE$29,19,AC350-1)&gt;0.01))*('Recurring Items'!$H$26&lt;&gt;"Skip")*(DAY(AB350)='Recurring Items'!$F$26)*IFERROR(N('Recurring Items'!$D$26),0)+(IF(AC350=1,'Debt Tracker'!$P$24&gt;0.01,INDEX('Debt Tracker'!$T$5:$AE$29,20,AC350-1)&gt;0.01))*('Recurring Items'!$H$27&lt;&gt;"Skip")*(DAY(AB350)='Recurring Items'!$F$27)*IFERROR(N('Recurring Items'!$D$27),0)+(IF(AC350=1,'Debt Tracker'!$P$25&gt;0.01,INDEX('Debt Tracker'!$T$5:$AE$29,21,AC350-1)&gt;0.01))*('Recurring Items'!$H$28&lt;&gt;"Skip")*(DAY(AB350)='Recurring Items'!$F$28)*IFERROR(N('Recurring Items'!$D$28),0)+(IF(AC350=1,'Debt Tracker'!$P$26&gt;0.01,INDEX('Debt Tracker'!$T$5:$AE$29,22,AC350-1)&gt;0.01))*('Recurring Items'!$H$29&lt;&gt;"Skip")*(DAY(AB350)='Recurring Items'!$F$29)*IFERROR(N('Recurring Items'!$D$29),0)+(IF(AC350=1,'Debt Tracker'!$P$27&gt;0.01,INDEX('Debt Tracker'!$T$5:$AE$29,23,AC350-1)&gt;0.01))*('Recurring Items'!$H$30&lt;&gt;"Skip")*(DAY(AB350)='Recurring Items'!$F$30)*IFERROR(N('Recurring Items'!$D$30),0)+(IF(AC350=1,'Debt Tracker'!$P$28&gt;0.01,INDEX('Debt Tracker'!$T$5:$AE$29,24,AC350-1)&gt;0.01))*('Recurring Items'!$H$31&lt;&gt;"Skip")*(DAY(AB350)='Recurring Items'!$F$31)*IFERROR(N('Recurring Items'!$D$31),0)+(IF(AC350=1,'Debt Tracker'!$P$29&gt;0.01,INDEX('Debt Tracker'!$T$5:$AE$29,25,AC350-1)&gt;0.01))*('Recurring Items'!$H$32&lt;&gt;"Skip")*(DAY(AB350)='Recurring Items'!$F$32)*IFERROR(N('Recurring Items'!$D$32),0)</f>
        <v>0</v>
      </c>
      <c r="AG350" s="1" t="n">
        <f aca="false">AD350-AE350-AF350</f>
        <v>0</v>
      </c>
      <c r="AH350" s="1" t="n">
        <f aca="false">AH349+AG350</f>
        <v>10957.23</v>
      </c>
    </row>
    <row r="351" customFormat="false" ht="15" hidden="false" customHeight="true" outlineLevel="0" collapsed="false">
      <c r="AA351" s="1" t="n">
        <v>151</v>
      </c>
      <c r="AB351" s="145" t="n">
        <f aca="false">$D$3+151</f>
        <v>46294</v>
      </c>
      <c r="AC351" s="1" t="n">
        <f aca="false">MIN(12,1+DATEDIF($D$3,AB351,"M"))</f>
        <v>5</v>
      </c>
      <c r="AD351" s="1" t="n">
        <f aca="false">SUMPRODUCT(('Recurring Items'!$C$6:$C$56="Income")*('Recurring Items'!$H$6:$H$56&lt;&gt;"Skip")*IFERROR(N('Recurring Items'!$D$6:$D$56),0)*(('Recurring Items'!$E$6:$E$56="Monthly")*(DAY(AB351)='Recurring Items'!$F$6:$F$56)+('Recurring Items'!$E$6:$E$56="Bi-weekly")*(WEEKDAY(AB351)=IFERROR(WEEKDAY('Recurring Items'!$G$6:$G$56),0))*(MOD(AB351-IFERROR('Recurring Items'!$G$6:$G$56,0),14)=0)*(AB351&gt;=IFERROR('Recurring Items'!$G$6:$G$56,9000000000))+('Recurring Items'!$E$6:$E$56="Weekly")*(WEEKDAY(AB351)=IFERROR(WEEKDAY('Recurring Items'!$G$6:$G$56),0))*(AB351&gt;=IFERROR('Recurring Items'!$G$6:$G$56,9000000000))+('Recurring Items'!$E$6:$E$56="One-time")*(AB351='Recurring Items'!$G$6:$G$56)))</f>
        <v>0</v>
      </c>
      <c r="AE351" s="1" t="n">
        <f aca="false">SUMPRODUCT(('Recurring Items'!$C$6:$C$56="Expense")*('Recurring Items'!$H$6:$H$56&lt;&gt;"Skip")*IFERROR(N('Recurring Items'!$D$6:$D$56),0)*(('Recurring Items'!$E$6:$E$56="Monthly")*(DAY(AB351)='Recurring Items'!$F$6:$F$56)+('Recurring Items'!$E$6:$E$56="Bi-weekly")*(WEEKDAY(AB351)=IFERROR(WEEKDAY('Recurring Items'!$G$6:$G$56),0))*(MOD(AB351-IFERROR('Recurring Items'!$G$6:$G$56,0),14)=0)*(AB351&gt;=IFERROR('Recurring Items'!$G$6:$G$56,9000000000))+('Recurring Items'!$E$6:$E$56="Weekly")*(WEEKDAY(AB351)=IFERROR(WEEKDAY('Recurring Items'!$G$6:$G$56),0))*(AB351&gt;=IFERROR('Recurring Items'!$G$6:$G$56,9000000000))+('Recurring Items'!$E$6:$E$56="One-time")*(AB351='Recurring Items'!$G$6:$G$56)))</f>
        <v>237.58</v>
      </c>
      <c r="AF351" s="1" t="n">
        <f aca="false">(IF(AC351=1,'Debt Tracker'!$P$5&gt;0.01,INDEX('Debt Tracker'!$T$5:$AE$29,1,AC351-1)&gt;0.01))*('Recurring Items'!$H$8&lt;&gt;"Skip")*(DAY(AB351)='Recurring Items'!$F$8)*IFERROR(N('Recurring Items'!$D$8),0)+(IF(AC351=1,'Debt Tracker'!$P$6&gt;0.01,INDEX('Debt Tracker'!$T$5:$AE$29,2,AC351-1)&gt;0.01))*('Recurring Items'!$H$9&lt;&gt;"Skip")*(DAY(AB351)='Recurring Items'!$F$9)*IFERROR(N('Recurring Items'!$D$9),0)+(IF(AC351=1,'Debt Tracker'!$P$7&gt;0.01,INDEX('Debt Tracker'!$T$5:$AE$29,3,AC351-1)&gt;0.01))*('Recurring Items'!$H$10&lt;&gt;"Skip")*(DAY(AB351)='Recurring Items'!$F$10)*IFERROR(N('Recurring Items'!$D$10),0)+(IF(AC351=1,'Debt Tracker'!$P$8&gt;0.01,INDEX('Debt Tracker'!$T$5:$AE$29,4,AC351-1)&gt;0.01))*('Recurring Items'!$H$11&lt;&gt;"Skip")*(DAY(AB351)='Recurring Items'!$F$11)*IFERROR(N('Recurring Items'!$D$11),0)+(IF(AC351=1,'Debt Tracker'!$P$9&gt;0.01,INDEX('Debt Tracker'!$T$5:$AE$29,5,AC351-1)&gt;0.01))*('Recurring Items'!$H$12&lt;&gt;"Skip")*(DAY(AB351)='Recurring Items'!$F$12)*IFERROR(N('Recurring Items'!$D$12),0)+(IF(AC351=1,'Debt Tracker'!$P$10&gt;0.01,INDEX('Debt Tracker'!$T$5:$AE$29,6,AC351-1)&gt;0.01))*('Recurring Items'!$H$13&lt;&gt;"Skip")*(DAY(AB351)='Recurring Items'!$F$13)*IFERROR(N('Recurring Items'!$D$13),0)+(IF(AC351=1,'Debt Tracker'!$P$11&gt;0.01,INDEX('Debt Tracker'!$T$5:$AE$29,7,AC351-1)&gt;0.01))*('Recurring Items'!$H$14&lt;&gt;"Skip")*(DAY(AB351)='Recurring Items'!$F$14)*IFERROR(N('Recurring Items'!$D$14),0)+(IF(AC351=1,'Debt Tracker'!$P$12&gt;0.01,INDEX('Debt Tracker'!$T$5:$AE$29,8,AC351-1)&gt;0.01))*('Recurring Items'!$H$15&lt;&gt;"Skip")*(DAY(AB351)='Recurring Items'!$F$15)*IFERROR(N('Recurring Items'!$D$15),0)+(IF(AC351=1,'Debt Tracker'!$P$13&gt;0.01,INDEX('Debt Tracker'!$T$5:$AE$29,9,AC351-1)&gt;0.01))*('Recurring Items'!$H$16&lt;&gt;"Skip")*(DAY(AB351)='Recurring Items'!$F$16)*IFERROR(N('Recurring Items'!$D$16),0)+(IF(AC351=1,'Debt Tracker'!$P$14&gt;0.01,INDEX('Debt Tracker'!$T$5:$AE$29,10,AC351-1)&gt;0.01))*('Recurring Items'!$H$17&lt;&gt;"Skip")*(DAY(AB351)='Recurring Items'!$F$17)*IFERROR(N('Recurring Items'!$D$17),0)+(IF(AC351=1,'Debt Tracker'!$P$15&gt;0.01,INDEX('Debt Tracker'!$T$5:$AE$29,11,AC351-1)&gt;0.01))*('Recurring Items'!$H$18&lt;&gt;"Skip")*(DAY(AB351)='Recurring Items'!$F$18)*IFERROR(N('Recurring Items'!$D$18),0)+(IF(AC351=1,'Debt Tracker'!$P$16&gt;0.01,INDEX('Debt Tracker'!$T$5:$AE$29,12,AC351-1)&gt;0.01))*('Recurring Items'!$H$19&lt;&gt;"Skip")*(DAY(AB351)='Recurring Items'!$F$19)*IFERROR(N('Recurring Items'!$D$19),0)+(IF(AC351=1,'Debt Tracker'!$P$17&gt;0.01,INDEX('Debt Tracker'!$T$5:$AE$29,13,AC351-1)&gt;0.01))*('Recurring Items'!$H$20&lt;&gt;"Skip")*(DAY(AB351)='Recurring Items'!$F$20)*IFERROR(N('Recurring Items'!$D$20),0)+(IF(AC351=1,'Debt Tracker'!$P$18&gt;0.01,INDEX('Debt Tracker'!$T$5:$AE$29,14,AC351-1)&gt;0.01))*('Recurring Items'!$H$21&lt;&gt;"Skip")*(DAY(AB351)='Recurring Items'!$F$21)*IFERROR(N('Recurring Items'!$D$21),0)+(IF(AC351=1,'Debt Tracker'!$P$19&gt;0.01,INDEX('Debt Tracker'!$T$5:$AE$29,15,AC351-1)&gt;0.01))*('Recurring Items'!$H$22&lt;&gt;"Skip")*(DAY(AB351)='Recurring Items'!$F$22)*IFERROR(N('Recurring Items'!$D$22),0)+(IF(AC351=1,'Debt Tracker'!$P$20&gt;0.01,INDEX('Debt Tracker'!$T$5:$AE$29,16,AC351-1)&gt;0.01))*('Recurring Items'!$H$23&lt;&gt;"Skip")*(DAY(AB351)='Recurring Items'!$F$23)*IFERROR(N('Recurring Items'!$D$23),0)+(IF(AC351=1,'Debt Tracker'!$P$21&gt;0.01,INDEX('Debt Tracker'!$T$5:$AE$29,17,AC351-1)&gt;0.01))*('Recurring Items'!$H$24&lt;&gt;"Skip")*(DAY(AB351)='Recurring Items'!$F$24)*IFERROR(N('Recurring Items'!$D$24),0)+(IF(AC351=1,'Debt Tracker'!$P$22&gt;0.01,INDEX('Debt Tracker'!$T$5:$AE$29,18,AC351-1)&gt;0.01))*('Recurring Items'!$H$25&lt;&gt;"Skip")*(DAY(AB351)='Recurring Items'!$F$25)*IFERROR(N('Recurring Items'!$D$25),0)+(IF(AC351=1,'Debt Tracker'!$P$23&gt;0.01,INDEX('Debt Tracker'!$T$5:$AE$29,19,AC351-1)&gt;0.01))*('Recurring Items'!$H$26&lt;&gt;"Skip")*(DAY(AB351)='Recurring Items'!$F$26)*IFERROR(N('Recurring Items'!$D$26),0)+(IF(AC351=1,'Debt Tracker'!$P$24&gt;0.01,INDEX('Debt Tracker'!$T$5:$AE$29,20,AC351-1)&gt;0.01))*('Recurring Items'!$H$27&lt;&gt;"Skip")*(DAY(AB351)='Recurring Items'!$F$27)*IFERROR(N('Recurring Items'!$D$27),0)+(IF(AC351=1,'Debt Tracker'!$P$25&gt;0.01,INDEX('Debt Tracker'!$T$5:$AE$29,21,AC351-1)&gt;0.01))*('Recurring Items'!$H$28&lt;&gt;"Skip")*(DAY(AB351)='Recurring Items'!$F$28)*IFERROR(N('Recurring Items'!$D$28),0)+(IF(AC351=1,'Debt Tracker'!$P$26&gt;0.01,INDEX('Debt Tracker'!$T$5:$AE$29,22,AC351-1)&gt;0.01))*('Recurring Items'!$H$29&lt;&gt;"Skip")*(DAY(AB351)='Recurring Items'!$F$29)*IFERROR(N('Recurring Items'!$D$29),0)+(IF(AC351=1,'Debt Tracker'!$P$27&gt;0.01,INDEX('Debt Tracker'!$T$5:$AE$29,23,AC351-1)&gt;0.01))*('Recurring Items'!$H$30&lt;&gt;"Skip")*(DAY(AB351)='Recurring Items'!$F$30)*IFERROR(N('Recurring Items'!$D$30),0)+(IF(AC351=1,'Debt Tracker'!$P$28&gt;0.01,INDEX('Debt Tracker'!$T$5:$AE$29,24,AC351-1)&gt;0.01))*('Recurring Items'!$H$31&lt;&gt;"Skip")*(DAY(AB351)='Recurring Items'!$F$31)*IFERROR(N('Recurring Items'!$D$31),0)+(IF(AC351=1,'Debt Tracker'!$P$29&gt;0.01,INDEX('Debt Tracker'!$T$5:$AE$29,25,AC351-1)&gt;0.01))*('Recurring Items'!$H$32&lt;&gt;"Skip")*(DAY(AB351)='Recurring Items'!$F$32)*IFERROR(N('Recurring Items'!$D$32),0)</f>
        <v>206.43</v>
      </c>
      <c r="AG351" s="1" t="n">
        <f aca="false">AD351-AE351-AF351</f>
        <v>-444.01</v>
      </c>
      <c r="AH351" s="1" t="n">
        <f aca="false">AH350+AG351</f>
        <v>10513.22</v>
      </c>
    </row>
    <row r="352" customFormat="false" ht="15" hidden="false" customHeight="true" outlineLevel="0" collapsed="false">
      <c r="AA352" s="1" t="n">
        <v>152</v>
      </c>
      <c r="AB352" s="145" t="n">
        <f aca="false">$D$3+152</f>
        <v>46295</v>
      </c>
      <c r="AC352" s="1" t="n">
        <f aca="false">MIN(12,1+DATEDIF($D$3,AB352,"M"))</f>
        <v>5</v>
      </c>
      <c r="AD352" s="1" t="n">
        <f aca="false">SUMPRODUCT(('Recurring Items'!$C$6:$C$56="Income")*('Recurring Items'!$H$6:$H$56&lt;&gt;"Skip")*IFERROR(N('Recurring Items'!$D$6:$D$56),0)*(('Recurring Items'!$E$6:$E$56="Monthly")*(DAY(AB352)='Recurring Items'!$F$6:$F$56)+('Recurring Items'!$E$6:$E$56="Bi-weekly")*(WEEKDAY(AB352)=IFERROR(WEEKDAY('Recurring Items'!$G$6:$G$56),0))*(MOD(AB352-IFERROR('Recurring Items'!$G$6:$G$56,0),14)=0)*(AB352&gt;=IFERROR('Recurring Items'!$G$6:$G$56,9000000000))+('Recurring Items'!$E$6:$E$56="Weekly")*(WEEKDAY(AB352)=IFERROR(WEEKDAY('Recurring Items'!$G$6:$G$56),0))*(AB352&gt;=IFERROR('Recurring Items'!$G$6:$G$56,9000000000))+('Recurring Items'!$E$6:$E$56="One-time")*(AB352='Recurring Items'!$G$6:$G$56)))</f>
        <v>0</v>
      </c>
      <c r="AE352" s="1" t="n">
        <f aca="false">SUMPRODUCT(('Recurring Items'!$C$6:$C$56="Expense")*('Recurring Items'!$H$6:$H$56&lt;&gt;"Skip")*IFERROR(N('Recurring Items'!$D$6:$D$56),0)*(('Recurring Items'!$E$6:$E$56="Monthly")*(DAY(AB352)='Recurring Items'!$F$6:$F$56)+('Recurring Items'!$E$6:$E$56="Bi-weekly")*(WEEKDAY(AB352)=IFERROR(WEEKDAY('Recurring Items'!$G$6:$G$56),0))*(MOD(AB352-IFERROR('Recurring Items'!$G$6:$G$56,0),14)=0)*(AB352&gt;=IFERROR('Recurring Items'!$G$6:$G$56,9000000000))+('Recurring Items'!$E$6:$E$56="Weekly")*(WEEKDAY(AB352)=IFERROR(WEEKDAY('Recurring Items'!$G$6:$G$56),0))*(AB352&gt;=IFERROR('Recurring Items'!$G$6:$G$56,9000000000))+('Recurring Items'!$E$6:$E$56="One-time")*(AB352='Recurring Items'!$G$6:$G$56)))</f>
        <v>0</v>
      </c>
      <c r="AF352" s="1" t="n">
        <f aca="false">(IF(AC352=1,'Debt Tracker'!$P$5&gt;0.01,INDEX('Debt Tracker'!$T$5:$AE$29,1,AC352-1)&gt;0.01))*('Recurring Items'!$H$8&lt;&gt;"Skip")*(DAY(AB352)='Recurring Items'!$F$8)*IFERROR(N('Recurring Items'!$D$8),0)+(IF(AC352=1,'Debt Tracker'!$P$6&gt;0.01,INDEX('Debt Tracker'!$T$5:$AE$29,2,AC352-1)&gt;0.01))*('Recurring Items'!$H$9&lt;&gt;"Skip")*(DAY(AB352)='Recurring Items'!$F$9)*IFERROR(N('Recurring Items'!$D$9),0)+(IF(AC352=1,'Debt Tracker'!$P$7&gt;0.01,INDEX('Debt Tracker'!$T$5:$AE$29,3,AC352-1)&gt;0.01))*('Recurring Items'!$H$10&lt;&gt;"Skip")*(DAY(AB352)='Recurring Items'!$F$10)*IFERROR(N('Recurring Items'!$D$10),0)+(IF(AC352=1,'Debt Tracker'!$P$8&gt;0.01,INDEX('Debt Tracker'!$T$5:$AE$29,4,AC352-1)&gt;0.01))*('Recurring Items'!$H$11&lt;&gt;"Skip")*(DAY(AB352)='Recurring Items'!$F$11)*IFERROR(N('Recurring Items'!$D$11),0)+(IF(AC352=1,'Debt Tracker'!$P$9&gt;0.01,INDEX('Debt Tracker'!$T$5:$AE$29,5,AC352-1)&gt;0.01))*('Recurring Items'!$H$12&lt;&gt;"Skip")*(DAY(AB352)='Recurring Items'!$F$12)*IFERROR(N('Recurring Items'!$D$12),0)+(IF(AC352=1,'Debt Tracker'!$P$10&gt;0.01,INDEX('Debt Tracker'!$T$5:$AE$29,6,AC352-1)&gt;0.01))*('Recurring Items'!$H$13&lt;&gt;"Skip")*(DAY(AB352)='Recurring Items'!$F$13)*IFERROR(N('Recurring Items'!$D$13),0)+(IF(AC352=1,'Debt Tracker'!$P$11&gt;0.01,INDEX('Debt Tracker'!$T$5:$AE$29,7,AC352-1)&gt;0.01))*('Recurring Items'!$H$14&lt;&gt;"Skip")*(DAY(AB352)='Recurring Items'!$F$14)*IFERROR(N('Recurring Items'!$D$14),0)+(IF(AC352=1,'Debt Tracker'!$P$12&gt;0.01,INDEX('Debt Tracker'!$T$5:$AE$29,8,AC352-1)&gt;0.01))*('Recurring Items'!$H$15&lt;&gt;"Skip")*(DAY(AB352)='Recurring Items'!$F$15)*IFERROR(N('Recurring Items'!$D$15),0)+(IF(AC352=1,'Debt Tracker'!$P$13&gt;0.01,INDEX('Debt Tracker'!$T$5:$AE$29,9,AC352-1)&gt;0.01))*('Recurring Items'!$H$16&lt;&gt;"Skip")*(DAY(AB352)='Recurring Items'!$F$16)*IFERROR(N('Recurring Items'!$D$16),0)+(IF(AC352=1,'Debt Tracker'!$P$14&gt;0.01,INDEX('Debt Tracker'!$T$5:$AE$29,10,AC352-1)&gt;0.01))*('Recurring Items'!$H$17&lt;&gt;"Skip")*(DAY(AB352)='Recurring Items'!$F$17)*IFERROR(N('Recurring Items'!$D$17),0)+(IF(AC352=1,'Debt Tracker'!$P$15&gt;0.01,INDEX('Debt Tracker'!$T$5:$AE$29,11,AC352-1)&gt;0.01))*('Recurring Items'!$H$18&lt;&gt;"Skip")*(DAY(AB352)='Recurring Items'!$F$18)*IFERROR(N('Recurring Items'!$D$18),0)+(IF(AC352=1,'Debt Tracker'!$P$16&gt;0.01,INDEX('Debt Tracker'!$T$5:$AE$29,12,AC352-1)&gt;0.01))*('Recurring Items'!$H$19&lt;&gt;"Skip")*(DAY(AB352)='Recurring Items'!$F$19)*IFERROR(N('Recurring Items'!$D$19),0)+(IF(AC352=1,'Debt Tracker'!$P$17&gt;0.01,INDEX('Debt Tracker'!$T$5:$AE$29,13,AC352-1)&gt;0.01))*('Recurring Items'!$H$20&lt;&gt;"Skip")*(DAY(AB352)='Recurring Items'!$F$20)*IFERROR(N('Recurring Items'!$D$20),0)+(IF(AC352=1,'Debt Tracker'!$P$18&gt;0.01,INDEX('Debt Tracker'!$T$5:$AE$29,14,AC352-1)&gt;0.01))*('Recurring Items'!$H$21&lt;&gt;"Skip")*(DAY(AB352)='Recurring Items'!$F$21)*IFERROR(N('Recurring Items'!$D$21),0)+(IF(AC352=1,'Debt Tracker'!$P$19&gt;0.01,INDEX('Debt Tracker'!$T$5:$AE$29,15,AC352-1)&gt;0.01))*('Recurring Items'!$H$22&lt;&gt;"Skip")*(DAY(AB352)='Recurring Items'!$F$22)*IFERROR(N('Recurring Items'!$D$22),0)+(IF(AC352=1,'Debt Tracker'!$P$20&gt;0.01,INDEX('Debt Tracker'!$T$5:$AE$29,16,AC352-1)&gt;0.01))*('Recurring Items'!$H$23&lt;&gt;"Skip")*(DAY(AB352)='Recurring Items'!$F$23)*IFERROR(N('Recurring Items'!$D$23),0)+(IF(AC352=1,'Debt Tracker'!$P$21&gt;0.01,INDEX('Debt Tracker'!$T$5:$AE$29,17,AC352-1)&gt;0.01))*('Recurring Items'!$H$24&lt;&gt;"Skip")*(DAY(AB352)='Recurring Items'!$F$24)*IFERROR(N('Recurring Items'!$D$24),0)+(IF(AC352=1,'Debt Tracker'!$P$22&gt;0.01,INDEX('Debt Tracker'!$T$5:$AE$29,18,AC352-1)&gt;0.01))*('Recurring Items'!$H$25&lt;&gt;"Skip")*(DAY(AB352)='Recurring Items'!$F$25)*IFERROR(N('Recurring Items'!$D$25),0)+(IF(AC352=1,'Debt Tracker'!$P$23&gt;0.01,INDEX('Debt Tracker'!$T$5:$AE$29,19,AC352-1)&gt;0.01))*('Recurring Items'!$H$26&lt;&gt;"Skip")*(DAY(AB352)='Recurring Items'!$F$26)*IFERROR(N('Recurring Items'!$D$26),0)+(IF(AC352=1,'Debt Tracker'!$P$24&gt;0.01,INDEX('Debt Tracker'!$T$5:$AE$29,20,AC352-1)&gt;0.01))*('Recurring Items'!$H$27&lt;&gt;"Skip")*(DAY(AB352)='Recurring Items'!$F$27)*IFERROR(N('Recurring Items'!$D$27),0)+(IF(AC352=1,'Debt Tracker'!$P$25&gt;0.01,INDEX('Debt Tracker'!$T$5:$AE$29,21,AC352-1)&gt;0.01))*('Recurring Items'!$H$28&lt;&gt;"Skip")*(DAY(AB352)='Recurring Items'!$F$28)*IFERROR(N('Recurring Items'!$D$28),0)+(IF(AC352=1,'Debt Tracker'!$P$26&gt;0.01,INDEX('Debt Tracker'!$T$5:$AE$29,22,AC352-1)&gt;0.01))*('Recurring Items'!$H$29&lt;&gt;"Skip")*(DAY(AB352)='Recurring Items'!$F$29)*IFERROR(N('Recurring Items'!$D$29),0)+(IF(AC352=1,'Debt Tracker'!$P$27&gt;0.01,INDEX('Debt Tracker'!$T$5:$AE$29,23,AC352-1)&gt;0.01))*('Recurring Items'!$H$30&lt;&gt;"Skip")*(DAY(AB352)='Recurring Items'!$F$30)*IFERROR(N('Recurring Items'!$D$30),0)+(IF(AC352=1,'Debt Tracker'!$P$28&gt;0.01,INDEX('Debt Tracker'!$T$5:$AE$29,24,AC352-1)&gt;0.01))*('Recurring Items'!$H$31&lt;&gt;"Skip")*(DAY(AB352)='Recurring Items'!$F$31)*IFERROR(N('Recurring Items'!$D$31),0)+(IF(AC352=1,'Debt Tracker'!$P$29&gt;0.01,INDEX('Debt Tracker'!$T$5:$AE$29,25,AC352-1)&gt;0.01))*('Recurring Items'!$H$32&lt;&gt;"Skip")*(DAY(AB352)='Recurring Items'!$F$32)*IFERROR(N('Recurring Items'!$D$32),0)</f>
        <v>0</v>
      </c>
      <c r="AG352" s="1" t="n">
        <f aca="false">AD352-AE352-AF352</f>
        <v>0</v>
      </c>
      <c r="AH352" s="1" t="n">
        <f aca="false">AH351+AG352</f>
        <v>10513.22</v>
      </c>
    </row>
    <row r="353" customFormat="false" ht="15" hidden="false" customHeight="true" outlineLevel="0" collapsed="false">
      <c r="AA353" s="1" t="n">
        <v>153</v>
      </c>
      <c r="AB353" s="145" t="n">
        <f aca="false">$D$3+153</f>
        <v>46296</v>
      </c>
      <c r="AC353" s="1" t="n">
        <f aca="false">MIN(12,1+DATEDIF($D$3,AB353,"M"))</f>
        <v>6</v>
      </c>
      <c r="AD353" s="1" t="n">
        <f aca="false">SUMPRODUCT(('Recurring Items'!$C$6:$C$56="Income")*('Recurring Items'!$H$6:$H$56&lt;&gt;"Skip")*IFERROR(N('Recurring Items'!$D$6:$D$56),0)*(('Recurring Items'!$E$6:$E$56="Monthly")*(DAY(AB353)='Recurring Items'!$F$6:$F$56)+('Recurring Items'!$E$6:$E$56="Bi-weekly")*(WEEKDAY(AB353)=IFERROR(WEEKDAY('Recurring Items'!$G$6:$G$56),0))*(MOD(AB353-IFERROR('Recurring Items'!$G$6:$G$56,0),14)=0)*(AB353&gt;=IFERROR('Recurring Items'!$G$6:$G$56,9000000000))+('Recurring Items'!$E$6:$E$56="Weekly")*(WEEKDAY(AB353)=IFERROR(WEEKDAY('Recurring Items'!$G$6:$G$56),0))*(AB353&gt;=IFERROR('Recurring Items'!$G$6:$G$56,9000000000))+('Recurring Items'!$E$6:$E$56="One-time")*(AB353='Recurring Items'!$G$6:$G$56)))</f>
        <v>0</v>
      </c>
      <c r="AE353" s="1" t="n">
        <f aca="false">SUMPRODUCT(('Recurring Items'!$C$6:$C$56="Expense")*('Recurring Items'!$H$6:$H$56&lt;&gt;"Skip")*IFERROR(N('Recurring Items'!$D$6:$D$56),0)*(('Recurring Items'!$E$6:$E$56="Monthly")*(DAY(AB353)='Recurring Items'!$F$6:$F$56)+('Recurring Items'!$E$6:$E$56="Bi-weekly")*(WEEKDAY(AB353)=IFERROR(WEEKDAY('Recurring Items'!$G$6:$G$56),0))*(MOD(AB353-IFERROR('Recurring Items'!$G$6:$G$56,0),14)=0)*(AB353&gt;=IFERROR('Recurring Items'!$G$6:$G$56,9000000000))+('Recurring Items'!$E$6:$E$56="Weekly")*(WEEKDAY(AB353)=IFERROR(WEEKDAY('Recurring Items'!$G$6:$G$56),0))*(AB353&gt;=IFERROR('Recurring Items'!$G$6:$G$56,9000000000))+('Recurring Items'!$E$6:$E$56="One-time")*(AB353='Recurring Items'!$G$6:$G$56)))</f>
        <v>141.16</v>
      </c>
      <c r="AF353" s="1" t="n">
        <f aca="false">(IF(AC353=1,'Debt Tracker'!$P$5&gt;0.01,INDEX('Debt Tracker'!$T$5:$AE$29,1,AC353-1)&gt;0.01))*('Recurring Items'!$H$8&lt;&gt;"Skip")*(DAY(AB353)='Recurring Items'!$F$8)*IFERROR(N('Recurring Items'!$D$8),0)+(IF(AC353=1,'Debt Tracker'!$P$6&gt;0.01,INDEX('Debt Tracker'!$T$5:$AE$29,2,AC353-1)&gt;0.01))*('Recurring Items'!$H$9&lt;&gt;"Skip")*(DAY(AB353)='Recurring Items'!$F$9)*IFERROR(N('Recurring Items'!$D$9),0)+(IF(AC353=1,'Debt Tracker'!$P$7&gt;0.01,INDEX('Debt Tracker'!$T$5:$AE$29,3,AC353-1)&gt;0.01))*('Recurring Items'!$H$10&lt;&gt;"Skip")*(DAY(AB353)='Recurring Items'!$F$10)*IFERROR(N('Recurring Items'!$D$10),0)+(IF(AC353=1,'Debt Tracker'!$P$8&gt;0.01,INDEX('Debt Tracker'!$T$5:$AE$29,4,AC353-1)&gt;0.01))*('Recurring Items'!$H$11&lt;&gt;"Skip")*(DAY(AB353)='Recurring Items'!$F$11)*IFERROR(N('Recurring Items'!$D$11),0)+(IF(AC353=1,'Debt Tracker'!$P$9&gt;0.01,INDEX('Debt Tracker'!$T$5:$AE$29,5,AC353-1)&gt;0.01))*('Recurring Items'!$H$12&lt;&gt;"Skip")*(DAY(AB353)='Recurring Items'!$F$12)*IFERROR(N('Recurring Items'!$D$12),0)+(IF(AC353=1,'Debt Tracker'!$P$10&gt;0.01,INDEX('Debt Tracker'!$T$5:$AE$29,6,AC353-1)&gt;0.01))*('Recurring Items'!$H$13&lt;&gt;"Skip")*(DAY(AB353)='Recurring Items'!$F$13)*IFERROR(N('Recurring Items'!$D$13),0)+(IF(AC353=1,'Debt Tracker'!$P$11&gt;0.01,INDEX('Debt Tracker'!$T$5:$AE$29,7,AC353-1)&gt;0.01))*('Recurring Items'!$H$14&lt;&gt;"Skip")*(DAY(AB353)='Recurring Items'!$F$14)*IFERROR(N('Recurring Items'!$D$14),0)+(IF(AC353=1,'Debt Tracker'!$P$12&gt;0.01,INDEX('Debt Tracker'!$T$5:$AE$29,8,AC353-1)&gt;0.01))*('Recurring Items'!$H$15&lt;&gt;"Skip")*(DAY(AB353)='Recurring Items'!$F$15)*IFERROR(N('Recurring Items'!$D$15),0)+(IF(AC353=1,'Debt Tracker'!$P$13&gt;0.01,INDEX('Debt Tracker'!$T$5:$AE$29,9,AC353-1)&gt;0.01))*('Recurring Items'!$H$16&lt;&gt;"Skip")*(DAY(AB353)='Recurring Items'!$F$16)*IFERROR(N('Recurring Items'!$D$16),0)+(IF(AC353=1,'Debt Tracker'!$P$14&gt;0.01,INDEX('Debt Tracker'!$T$5:$AE$29,10,AC353-1)&gt;0.01))*('Recurring Items'!$H$17&lt;&gt;"Skip")*(DAY(AB353)='Recurring Items'!$F$17)*IFERROR(N('Recurring Items'!$D$17),0)+(IF(AC353=1,'Debt Tracker'!$P$15&gt;0.01,INDEX('Debt Tracker'!$T$5:$AE$29,11,AC353-1)&gt;0.01))*('Recurring Items'!$H$18&lt;&gt;"Skip")*(DAY(AB353)='Recurring Items'!$F$18)*IFERROR(N('Recurring Items'!$D$18),0)+(IF(AC353=1,'Debt Tracker'!$P$16&gt;0.01,INDEX('Debt Tracker'!$T$5:$AE$29,12,AC353-1)&gt;0.01))*('Recurring Items'!$H$19&lt;&gt;"Skip")*(DAY(AB353)='Recurring Items'!$F$19)*IFERROR(N('Recurring Items'!$D$19),0)+(IF(AC353=1,'Debt Tracker'!$P$17&gt;0.01,INDEX('Debt Tracker'!$T$5:$AE$29,13,AC353-1)&gt;0.01))*('Recurring Items'!$H$20&lt;&gt;"Skip")*(DAY(AB353)='Recurring Items'!$F$20)*IFERROR(N('Recurring Items'!$D$20),0)+(IF(AC353=1,'Debt Tracker'!$P$18&gt;0.01,INDEX('Debt Tracker'!$T$5:$AE$29,14,AC353-1)&gt;0.01))*('Recurring Items'!$H$21&lt;&gt;"Skip")*(DAY(AB353)='Recurring Items'!$F$21)*IFERROR(N('Recurring Items'!$D$21),0)+(IF(AC353=1,'Debt Tracker'!$P$19&gt;0.01,INDEX('Debt Tracker'!$T$5:$AE$29,15,AC353-1)&gt;0.01))*('Recurring Items'!$H$22&lt;&gt;"Skip")*(DAY(AB353)='Recurring Items'!$F$22)*IFERROR(N('Recurring Items'!$D$22),0)+(IF(AC353=1,'Debt Tracker'!$P$20&gt;0.01,INDEX('Debt Tracker'!$T$5:$AE$29,16,AC353-1)&gt;0.01))*('Recurring Items'!$H$23&lt;&gt;"Skip")*(DAY(AB353)='Recurring Items'!$F$23)*IFERROR(N('Recurring Items'!$D$23),0)+(IF(AC353=1,'Debt Tracker'!$P$21&gt;0.01,INDEX('Debt Tracker'!$T$5:$AE$29,17,AC353-1)&gt;0.01))*('Recurring Items'!$H$24&lt;&gt;"Skip")*(DAY(AB353)='Recurring Items'!$F$24)*IFERROR(N('Recurring Items'!$D$24),0)+(IF(AC353=1,'Debt Tracker'!$P$22&gt;0.01,INDEX('Debt Tracker'!$T$5:$AE$29,18,AC353-1)&gt;0.01))*('Recurring Items'!$H$25&lt;&gt;"Skip")*(DAY(AB353)='Recurring Items'!$F$25)*IFERROR(N('Recurring Items'!$D$25),0)+(IF(AC353=1,'Debt Tracker'!$P$23&gt;0.01,INDEX('Debt Tracker'!$T$5:$AE$29,19,AC353-1)&gt;0.01))*('Recurring Items'!$H$26&lt;&gt;"Skip")*(DAY(AB353)='Recurring Items'!$F$26)*IFERROR(N('Recurring Items'!$D$26),0)+(IF(AC353=1,'Debt Tracker'!$P$24&gt;0.01,INDEX('Debt Tracker'!$T$5:$AE$29,20,AC353-1)&gt;0.01))*('Recurring Items'!$H$27&lt;&gt;"Skip")*(DAY(AB353)='Recurring Items'!$F$27)*IFERROR(N('Recurring Items'!$D$27),0)+(IF(AC353=1,'Debt Tracker'!$P$25&gt;0.01,INDEX('Debt Tracker'!$T$5:$AE$29,21,AC353-1)&gt;0.01))*('Recurring Items'!$H$28&lt;&gt;"Skip")*(DAY(AB353)='Recurring Items'!$F$28)*IFERROR(N('Recurring Items'!$D$28),0)+(IF(AC353=1,'Debt Tracker'!$P$26&gt;0.01,INDEX('Debt Tracker'!$T$5:$AE$29,22,AC353-1)&gt;0.01))*('Recurring Items'!$H$29&lt;&gt;"Skip")*(DAY(AB353)='Recurring Items'!$F$29)*IFERROR(N('Recurring Items'!$D$29),0)+(IF(AC353=1,'Debt Tracker'!$P$27&gt;0.01,INDEX('Debt Tracker'!$T$5:$AE$29,23,AC353-1)&gt;0.01))*('Recurring Items'!$H$30&lt;&gt;"Skip")*(DAY(AB353)='Recurring Items'!$F$30)*IFERROR(N('Recurring Items'!$D$30),0)+(IF(AC353=1,'Debt Tracker'!$P$28&gt;0.01,INDEX('Debt Tracker'!$T$5:$AE$29,24,AC353-1)&gt;0.01))*('Recurring Items'!$H$31&lt;&gt;"Skip")*(DAY(AB353)='Recurring Items'!$F$31)*IFERROR(N('Recurring Items'!$D$31),0)+(IF(AC353=1,'Debt Tracker'!$P$29&gt;0.01,INDEX('Debt Tracker'!$T$5:$AE$29,25,AC353-1)&gt;0.01))*('Recurring Items'!$H$32&lt;&gt;"Skip")*(DAY(AB353)='Recurring Items'!$F$32)*IFERROR(N('Recurring Items'!$D$32),0)</f>
        <v>265.5</v>
      </c>
      <c r="AG353" s="1" t="n">
        <f aca="false">AD353-AE353-AF353</f>
        <v>-406.66</v>
      </c>
      <c r="AH353" s="1" t="n">
        <f aca="false">AH352+AG353</f>
        <v>10106.56</v>
      </c>
    </row>
    <row r="354" customFormat="false" ht="15" hidden="false" customHeight="true" outlineLevel="0" collapsed="false">
      <c r="AA354" s="1" t="n">
        <v>154</v>
      </c>
      <c r="AB354" s="145" t="n">
        <f aca="false">$D$3+154</f>
        <v>46297</v>
      </c>
      <c r="AC354" s="1" t="n">
        <f aca="false">MIN(12,1+DATEDIF($D$3,AB354,"M"))</f>
        <v>6</v>
      </c>
      <c r="AD354" s="1" t="n">
        <f aca="false">SUMPRODUCT(('Recurring Items'!$C$6:$C$56="Income")*('Recurring Items'!$H$6:$H$56&lt;&gt;"Skip")*IFERROR(N('Recurring Items'!$D$6:$D$56),0)*(('Recurring Items'!$E$6:$E$56="Monthly")*(DAY(AB354)='Recurring Items'!$F$6:$F$56)+('Recurring Items'!$E$6:$E$56="Bi-weekly")*(WEEKDAY(AB354)=IFERROR(WEEKDAY('Recurring Items'!$G$6:$G$56),0))*(MOD(AB354-IFERROR('Recurring Items'!$G$6:$G$56,0),14)=0)*(AB354&gt;=IFERROR('Recurring Items'!$G$6:$G$56,9000000000))+('Recurring Items'!$E$6:$E$56="Weekly")*(WEEKDAY(AB354)=IFERROR(WEEKDAY('Recurring Items'!$G$6:$G$56),0))*(AB354&gt;=IFERROR('Recurring Items'!$G$6:$G$56,9000000000))+('Recurring Items'!$E$6:$E$56="One-time")*(AB354='Recurring Items'!$G$6:$G$56)))</f>
        <v>3819.79</v>
      </c>
      <c r="AE354" s="1" t="n">
        <f aca="false">SUMPRODUCT(('Recurring Items'!$C$6:$C$56="Expense")*('Recurring Items'!$H$6:$H$56&lt;&gt;"Skip")*IFERROR(N('Recurring Items'!$D$6:$D$56),0)*(('Recurring Items'!$E$6:$E$56="Monthly")*(DAY(AB354)='Recurring Items'!$F$6:$F$56)+('Recurring Items'!$E$6:$E$56="Bi-weekly")*(WEEKDAY(AB354)=IFERROR(WEEKDAY('Recurring Items'!$G$6:$G$56),0))*(MOD(AB354-IFERROR('Recurring Items'!$G$6:$G$56,0),14)=0)*(AB354&gt;=IFERROR('Recurring Items'!$G$6:$G$56,9000000000))+('Recurring Items'!$E$6:$E$56="Weekly")*(WEEKDAY(AB354)=IFERROR(WEEKDAY('Recurring Items'!$G$6:$G$56),0))*(AB354&gt;=IFERROR('Recurring Items'!$G$6:$G$56,9000000000))+('Recurring Items'!$E$6:$E$56="One-time")*(AB354='Recurring Items'!$G$6:$G$56)))</f>
        <v>460</v>
      </c>
      <c r="AF354" s="1" t="n">
        <f aca="false">(IF(AC354=1,'Debt Tracker'!$P$5&gt;0.01,INDEX('Debt Tracker'!$T$5:$AE$29,1,AC354-1)&gt;0.01))*('Recurring Items'!$H$8&lt;&gt;"Skip")*(DAY(AB354)='Recurring Items'!$F$8)*IFERROR(N('Recurring Items'!$D$8),0)+(IF(AC354=1,'Debt Tracker'!$P$6&gt;0.01,INDEX('Debt Tracker'!$T$5:$AE$29,2,AC354-1)&gt;0.01))*('Recurring Items'!$H$9&lt;&gt;"Skip")*(DAY(AB354)='Recurring Items'!$F$9)*IFERROR(N('Recurring Items'!$D$9),0)+(IF(AC354=1,'Debt Tracker'!$P$7&gt;0.01,INDEX('Debt Tracker'!$T$5:$AE$29,3,AC354-1)&gt;0.01))*('Recurring Items'!$H$10&lt;&gt;"Skip")*(DAY(AB354)='Recurring Items'!$F$10)*IFERROR(N('Recurring Items'!$D$10),0)+(IF(AC354=1,'Debt Tracker'!$P$8&gt;0.01,INDEX('Debt Tracker'!$T$5:$AE$29,4,AC354-1)&gt;0.01))*('Recurring Items'!$H$11&lt;&gt;"Skip")*(DAY(AB354)='Recurring Items'!$F$11)*IFERROR(N('Recurring Items'!$D$11),0)+(IF(AC354=1,'Debt Tracker'!$P$9&gt;0.01,INDEX('Debt Tracker'!$T$5:$AE$29,5,AC354-1)&gt;0.01))*('Recurring Items'!$H$12&lt;&gt;"Skip")*(DAY(AB354)='Recurring Items'!$F$12)*IFERROR(N('Recurring Items'!$D$12),0)+(IF(AC354=1,'Debt Tracker'!$P$10&gt;0.01,INDEX('Debt Tracker'!$T$5:$AE$29,6,AC354-1)&gt;0.01))*('Recurring Items'!$H$13&lt;&gt;"Skip")*(DAY(AB354)='Recurring Items'!$F$13)*IFERROR(N('Recurring Items'!$D$13),0)+(IF(AC354=1,'Debt Tracker'!$P$11&gt;0.01,INDEX('Debt Tracker'!$T$5:$AE$29,7,AC354-1)&gt;0.01))*('Recurring Items'!$H$14&lt;&gt;"Skip")*(DAY(AB354)='Recurring Items'!$F$14)*IFERROR(N('Recurring Items'!$D$14),0)+(IF(AC354=1,'Debt Tracker'!$P$12&gt;0.01,INDEX('Debt Tracker'!$T$5:$AE$29,8,AC354-1)&gt;0.01))*('Recurring Items'!$H$15&lt;&gt;"Skip")*(DAY(AB354)='Recurring Items'!$F$15)*IFERROR(N('Recurring Items'!$D$15),0)+(IF(AC354=1,'Debt Tracker'!$P$13&gt;0.01,INDEX('Debt Tracker'!$T$5:$AE$29,9,AC354-1)&gt;0.01))*('Recurring Items'!$H$16&lt;&gt;"Skip")*(DAY(AB354)='Recurring Items'!$F$16)*IFERROR(N('Recurring Items'!$D$16),0)+(IF(AC354=1,'Debt Tracker'!$P$14&gt;0.01,INDEX('Debt Tracker'!$T$5:$AE$29,10,AC354-1)&gt;0.01))*('Recurring Items'!$H$17&lt;&gt;"Skip")*(DAY(AB354)='Recurring Items'!$F$17)*IFERROR(N('Recurring Items'!$D$17),0)+(IF(AC354=1,'Debt Tracker'!$P$15&gt;0.01,INDEX('Debt Tracker'!$T$5:$AE$29,11,AC354-1)&gt;0.01))*('Recurring Items'!$H$18&lt;&gt;"Skip")*(DAY(AB354)='Recurring Items'!$F$18)*IFERROR(N('Recurring Items'!$D$18),0)+(IF(AC354=1,'Debt Tracker'!$P$16&gt;0.01,INDEX('Debt Tracker'!$T$5:$AE$29,12,AC354-1)&gt;0.01))*('Recurring Items'!$H$19&lt;&gt;"Skip")*(DAY(AB354)='Recurring Items'!$F$19)*IFERROR(N('Recurring Items'!$D$19),0)+(IF(AC354=1,'Debt Tracker'!$P$17&gt;0.01,INDEX('Debt Tracker'!$T$5:$AE$29,13,AC354-1)&gt;0.01))*('Recurring Items'!$H$20&lt;&gt;"Skip")*(DAY(AB354)='Recurring Items'!$F$20)*IFERROR(N('Recurring Items'!$D$20),0)+(IF(AC354=1,'Debt Tracker'!$P$18&gt;0.01,INDEX('Debt Tracker'!$T$5:$AE$29,14,AC354-1)&gt;0.01))*('Recurring Items'!$H$21&lt;&gt;"Skip")*(DAY(AB354)='Recurring Items'!$F$21)*IFERROR(N('Recurring Items'!$D$21),0)+(IF(AC354=1,'Debt Tracker'!$P$19&gt;0.01,INDEX('Debt Tracker'!$T$5:$AE$29,15,AC354-1)&gt;0.01))*('Recurring Items'!$H$22&lt;&gt;"Skip")*(DAY(AB354)='Recurring Items'!$F$22)*IFERROR(N('Recurring Items'!$D$22),0)+(IF(AC354=1,'Debt Tracker'!$P$20&gt;0.01,INDEX('Debt Tracker'!$T$5:$AE$29,16,AC354-1)&gt;0.01))*('Recurring Items'!$H$23&lt;&gt;"Skip")*(DAY(AB354)='Recurring Items'!$F$23)*IFERROR(N('Recurring Items'!$D$23),0)+(IF(AC354=1,'Debt Tracker'!$P$21&gt;0.01,INDEX('Debt Tracker'!$T$5:$AE$29,17,AC354-1)&gt;0.01))*('Recurring Items'!$H$24&lt;&gt;"Skip")*(DAY(AB354)='Recurring Items'!$F$24)*IFERROR(N('Recurring Items'!$D$24),0)+(IF(AC354=1,'Debt Tracker'!$P$22&gt;0.01,INDEX('Debt Tracker'!$T$5:$AE$29,18,AC354-1)&gt;0.01))*('Recurring Items'!$H$25&lt;&gt;"Skip")*(DAY(AB354)='Recurring Items'!$F$25)*IFERROR(N('Recurring Items'!$D$25),0)+(IF(AC354=1,'Debt Tracker'!$P$23&gt;0.01,INDEX('Debt Tracker'!$T$5:$AE$29,19,AC354-1)&gt;0.01))*('Recurring Items'!$H$26&lt;&gt;"Skip")*(DAY(AB354)='Recurring Items'!$F$26)*IFERROR(N('Recurring Items'!$D$26),0)+(IF(AC354=1,'Debt Tracker'!$P$24&gt;0.01,INDEX('Debt Tracker'!$T$5:$AE$29,20,AC354-1)&gt;0.01))*('Recurring Items'!$H$27&lt;&gt;"Skip")*(DAY(AB354)='Recurring Items'!$F$27)*IFERROR(N('Recurring Items'!$D$27),0)+(IF(AC354=1,'Debt Tracker'!$P$25&gt;0.01,INDEX('Debt Tracker'!$T$5:$AE$29,21,AC354-1)&gt;0.01))*('Recurring Items'!$H$28&lt;&gt;"Skip")*(DAY(AB354)='Recurring Items'!$F$28)*IFERROR(N('Recurring Items'!$D$28),0)+(IF(AC354=1,'Debt Tracker'!$P$26&gt;0.01,INDEX('Debt Tracker'!$T$5:$AE$29,22,AC354-1)&gt;0.01))*('Recurring Items'!$H$29&lt;&gt;"Skip")*(DAY(AB354)='Recurring Items'!$F$29)*IFERROR(N('Recurring Items'!$D$29),0)+(IF(AC354=1,'Debt Tracker'!$P$27&gt;0.01,INDEX('Debt Tracker'!$T$5:$AE$29,23,AC354-1)&gt;0.01))*('Recurring Items'!$H$30&lt;&gt;"Skip")*(DAY(AB354)='Recurring Items'!$F$30)*IFERROR(N('Recurring Items'!$D$30),0)+(IF(AC354=1,'Debt Tracker'!$P$28&gt;0.01,INDEX('Debt Tracker'!$T$5:$AE$29,24,AC354-1)&gt;0.01))*('Recurring Items'!$H$31&lt;&gt;"Skip")*(DAY(AB354)='Recurring Items'!$F$31)*IFERROR(N('Recurring Items'!$D$31),0)+(IF(AC354=1,'Debt Tracker'!$P$29&gt;0.01,INDEX('Debt Tracker'!$T$5:$AE$29,25,AC354-1)&gt;0.01))*('Recurring Items'!$H$32&lt;&gt;"Skip")*(DAY(AB354)='Recurring Items'!$F$32)*IFERROR(N('Recurring Items'!$D$32),0)</f>
        <v>1309.17</v>
      </c>
      <c r="AG354" s="1" t="n">
        <f aca="false">AD354-AE354-AF354</f>
        <v>2050.62</v>
      </c>
      <c r="AH354" s="1" t="n">
        <f aca="false">AH353+AG354</f>
        <v>12157.18</v>
      </c>
    </row>
    <row r="355" customFormat="false" ht="15" hidden="false" customHeight="true" outlineLevel="0" collapsed="false">
      <c r="AA355" s="1" t="n">
        <v>155</v>
      </c>
      <c r="AB355" s="145" t="n">
        <f aca="false">$D$3+155</f>
        <v>46298</v>
      </c>
      <c r="AC355" s="1" t="n">
        <f aca="false">MIN(12,1+DATEDIF($D$3,AB355,"M"))</f>
        <v>6</v>
      </c>
      <c r="AD355" s="1" t="n">
        <f aca="false">SUMPRODUCT(('Recurring Items'!$C$6:$C$56="Income")*('Recurring Items'!$H$6:$H$56&lt;&gt;"Skip")*IFERROR(N('Recurring Items'!$D$6:$D$56),0)*(('Recurring Items'!$E$6:$E$56="Monthly")*(DAY(AB355)='Recurring Items'!$F$6:$F$56)+('Recurring Items'!$E$6:$E$56="Bi-weekly")*(WEEKDAY(AB355)=IFERROR(WEEKDAY('Recurring Items'!$G$6:$G$56),0))*(MOD(AB355-IFERROR('Recurring Items'!$G$6:$G$56,0),14)=0)*(AB355&gt;=IFERROR('Recurring Items'!$G$6:$G$56,9000000000))+('Recurring Items'!$E$6:$E$56="Weekly")*(WEEKDAY(AB355)=IFERROR(WEEKDAY('Recurring Items'!$G$6:$G$56),0))*(AB355&gt;=IFERROR('Recurring Items'!$G$6:$G$56,9000000000))+('Recurring Items'!$E$6:$E$56="One-time")*(AB355='Recurring Items'!$G$6:$G$56)))</f>
        <v>0</v>
      </c>
      <c r="AE355" s="1" t="n">
        <f aca="false">SUMPRODUCT(('Recurring Items'!$C$6:$C$56="Expense")*('Recurring Items'!$H$6:$H$56&lt;&gt;"Skip")*IFERROR(N('Recurring Items'!$D$6:$D$56),0)*(('Recurring Items'!$E$6:$E$56="Monthly")*(DAY(AB355)='Recurring Items'!$F$6:$F$56)+('Recurring Items'!$E$6:$E$56="Bi-weekly")*(WEEKDAY(AB355)=IFERROR(WEEKDAY('Recurring Items'!$G$6:$G$56),0))*(MOD(AB355-IFERROR('Recurring Items'!$G$6:$G$56,0),14)=0)*(AB355&gt;=IFERROR('Recurring Items'!$G$6:$G$56,9000000000))+('Recurring Items'!$E$6:$E$56="Weekly")*(WEEKDAY(AB355)=IFERROR(WEEKDAY('Recurring Items'!$G$6:$G$56),0))*(AB355&gt;=IFERROR('Recurring Items'!$G$6:$G$56,9000000000))+('Recurring Items'!$E$6:$E$56="One-time")*(AB355='Recurring Items'!$G$6:$G$56)))</f>
        <v>927.53</v>
      </c>
      <c r="AF355" s="1" t="n">
        <f aca="false">(IF(AC355=1,'Debt Tracker'!$P$5&gt;0.01,INDEX('Debt Tracker'!$T$5:$AE$29,1,AC355-1)&gt;0.01))*('Recurring Items'!$H$8&lt;&gt;"Skip")*(DAY(AB355)='Recurring Items'!$F$8)*IFERROR(N('Recurring Items'!$D$8),0)+(IF(AC355=1,'Debt Tracker'!$P$6&gt;0.01,INDEX('Debt Tracker'!$T$5:$AE$29,2,AC355-1)&gt;0.01))*('Recurring Items'!$H$9&lt;&gt;"Skip")*(DAY(AB355)='Recurring Items'!$F$9)*IFERROR(N('Recurring Items'!$D$9),0)+(IF(AC355=1,'Debt Tracker'!$P$7&gt;0.01,INDEX('Debt Tracker'!$T$5:$AE$29,3,AC355-1)&gt;0.01))*('Recurring Items'!$H$10&lt;&gt;"Skip")*(DAY(AB355)='Recurring Items'!$F$10)*IFERROR(N('Recurring Items'!$D$10),0)+(IF(AC355=1,'Debt Tracker'!$P$8&gt;0.01,INDEX('Debt Tracker'!$T$5:$AE$29,4,AC355-1)&gt;0.01))*('Recurring Items'!$H$11&lt;&gt;"Skip")*(DAY(AB355)='Recurring Items'!$F$11)*IFERROR(N('Recurring Items'!$D$11),0)+(IF(AC355=1,'Debt Tracker'!$P$9&gt;0.01,INDEX('Debt Tracker'!$T$5:$AE$29,5,AC355-1)&gt;0.01))*('Recurring Items'!$H$12&lt;&gt;"Skip")*(DAY(AB355)='Recurring Items'!$F$12)*IFERROR(N('Recurring Items'!$D$12),0)+(IF(AC355=1,'Debt Tracker'!$P$10&gt;0.01,INDEX('Debt Tracker'!$T$5:$AE$29,6,AC355-1)&gt;0.01))*('Recurring Items'!$H$13&lt;&gt;"Skip")*(DAY(AB355)='Recurring Items'!$F$13)*IFERROR(N('Recurring Items'!$D$13),0)+(IF(AC355=1,'Debt Tracker'!$P$11&gt;0.01,INDEX('Debt Tracker'!$T$5:$AE$29,7,AC355-1)&gt;0.01))*('Recurring Items'!$H$14&lt;&gt;"Skip")*(DAY(AB355)='Recurring Items'!$F$14)*IFERROR(N('Recurring Items'!$D$14),0)+(IF(AC355=1,'Debt Tracker'!$P$12&gt;0.01,INDEX('Debt Tracker'!$T$5:$AE$29,8,AC355-1)&gt;0.01))*('Recurring Items'!$H$15&lt;&gt;"Skip")*(DAY(AB355)='Recurring Items'!$F$15)*IFERROR(N('Recurring Items'!$D$15),0)+(IF(AC355=1,'Debt Tracker'!$P$13&gt;0.01,INDEX('Debt Tracker'!$T$5:$AE$29,9,AC355-1)&gt;0.01))*('Recurring Items'!$H$16&lt;&gt;"Skip")*(DAY(AB355)='Recurring Items'!$F$16)*IFERROR(N('Recurring Items'!$D$16),0)+(IF(AC355=1,'Debt Tracker'!$P$14&gt;0.01,INDEX('Debt Tracker'!$T$5:$AE$29,10,AC355-1)&gt;0.01))*('Recurring Items'!$H$17&lt;&gt;"Skip")*(DAY(AB355)='Recurring Items'!$F$17)*IFERROR(N('Recurring Items'!$D$17),0)+(IF(AC355=1,'Debt Tracker'!$P$15&gt;0.01,INDEX('Debt Tracker'!$T$5:$AE$29,11,AC355-1)&gt;0.01))*('Recurring Items'!$H$18&lt;&gt;"Skip")*(DAY(AB355)='Recurring Items'!$F$18)*IFERROR(N('Recurring Items'!$D$18),0)+(IF(AC355=1,'Debt Tracker'!$P$16&gt;0.01,INDEX('Debt Tracker'!$T$5:$AE$29,12,AC355-1)&gt;0.01))*('Recurring Items'!$H$19&lt;&gt;"Skip")*(DAY(AB355)='Recurring Items'!$F$19)*IFERROR(N('Recurring Items'!$D$19),0)+(IF(AC355=1,'Debt Tracker'!$P$17&gt;0.01,INDEX('Debt Tracker'!$T$5:$AE$29,13,AC355-1)&gt;0.01))*('Recurring Items'!$H$20&lt;&gt;"Skip")*(DAY(AB355)='Recurring Items'!$F$20)*IFERROR(N('Recurring Items'!$D$20),0)+(IF(AC355=1,'Debt Tracker'!$P$18&gt;0.01,INDEX('Debt Tracker'!$T$5:$AE$29,14,AC355-1)&gt;0.01))*('Recurring Items'!$H$21&lt;&gt;"Skip")*(DAY(AB355)='Recurring Items'!$F$21)*IFERROR(N('Recurring Items'!$D$21),0)+(IF(AC355=1,'Debt Tracker'!$P$19&gt;0.01,INDEX('Debt Tracker'!$T$5:$AE$29,15,AC355-1)&gt;0.01))*('Recurring Items'!$H$22&lt;&gt;"Skip")*(DAY(AB355)='Recurring Items'!$F$22)*IFERROR(N('Recurring Items'!$D$22),0)+(IF(AC355=1,'Debt Tracker'!$P$20&gt;0.01,INDEX('Debt Tracker'!$T$5:$AE$29,16,AC355-1)&gt;0.01))*('Recurring Items'!$H$23&lt;&gt;"Skip")*(DAY(AB355)='Recurring Items'!$F$23)*IFERROR(N('Recurring Items'!$D$23),0)+(IF(AC355=1,'Debt Tracker'!$P$21&gt;0.01,INDEX('Debt Tracker'!$T$5:$AE$29,17,AC355-1)&gt;0.01))*('Recurring Items'!$H$24&lt;&gt;"Skip")*(DAY(AB355)='Recurring Items'!$F$24)*IFERROR(N('Recurring Items'!$D$24),0)+(IF(AC355=1,'Debt Tracker'!$P$22&gt;0.01,INDEX('Debt Tracker'!$T$5:$AE$29,18,AC355-1)&gt;0.01))*('Recurring Items'!$H$25&lt;&gt;"Skip")*(DAY(AB355)='Recurring Items'!$F$25)*IFERROR(N('Recurring Items'!$D$25),0)+(IF(AC355=1,'Debt Tracker'!$P$23&gt;0.01,INDEX('Debt Tracker'!$T$5:$AE$29,19,AC355-1)&gt;0.01))*('Recurring Items'!$H$26&lt;&gt;"Skip")*(DAY(AB355)='Recurring Items'!$F$26)*IFERROR(N('Recurring Items'!$D$26),0)+(IF(AC355=1,'Debt Tracker'!$P$24&gt;0.01,INDEX('Debt Tracker'!$T$5:$AE$29,20,AC355-1)&gt;0.01))*('Recurring Items'!$H$27&lt;&gt;"Skip")*(DAY(AB355)='Recurring Items'!$F$27)*IFERROR(N('Recurring Items'!$D$27),0)+(IF(AC355=1,'Debt Tracker'!$P$25&gt;0.01,INDEX('Debt Tracker'!$T$5:$AE$29,21,AC355-1)&gt;0.01))*('Recurring Items'!$H$28&lt;&gt;"Skip")*(DAY(AB355)='Recurring Items'!$F$28)*IFERROR(N('Recurring Items'!$D$28),0)+(IF(AC355=1,'Debt Tracker'!$P$26&gt;0.01,INDEX('Debt Tracker'!$T$5:$AE$29,22,AC355-1)&gt;0.01))*('Recurring Items'!$H$29&lt;&gt;"Skip")*(DAY(AB355)='Recurring Items'!$F$29)*IFERROR(N('Recurring Items'!$D$29),0)+(IF(AC355=1,'Debt Tracker'!$P$27&gt;0.01,INDEX('Debt Tracker'!$T$5:$AE$29,23,AC355-1)&gt;0.01))*('Recurring Items'!$H$30&lt;&gt;"Skip")*(DAY(AB355)='Recurring Items'!$F$30)*IFERROR(N('Recurring Items'!$D$30),0)+(IF(AC355=1,'Debt Tracker'!$P$28&gt;0.01,INDEX('Debt Tracker'!$T$5:$AE$29,24,AC355-1)&gt;0.01))*('Recurring Items'!$H$31&lt;&gt;"Skip")*(DAY(AB355)='Recurring Items'!$F$31)*IFERROR(N('Recurring Items'!$D$31),0)+(IF(AC355=1,'Debt Tracker'!$P$29&gt;0.01,INDEX('Debt Tracker'!$T$5:$AE$29,25,AC355-1)&gt;0.01))*('Recurring Items'!$H$32&lt;&gt;"Skip")*(DAY(AB355)='Recurring Items'!$F$32)*IFERROR(N('Recurring Items'!$D$32),0)</f>
        <v>0</v>
      </c>
      <c r="AG355" s="1" t="n">
        <f aca="false">AD355-AE355-AF355</f>
        <v>-927.53</v>
      </c>
      <c r="AH355" s="1" t="n">
        <f aca="false">AH354+AG355</f>
        <v>11229.65</v>
      </c>
    </row>
    <row r="356" customFormat="false" ht="15" hidden="false" customHeight="true" outlineLevel="0" collapsed="false">
      <c r="AA356" s="1" t="n">
        <v>156</v>
      </c>
      <c r="AB356" s="145" t="n">
        <f aca="false">$D$3+156</f>
        <v>46299</v>
      </c>
      <c r="AC356" s="1" t="n">
        <f aca="false">MIN(12,1+DATEDIF($D$3,AB356,"M"))</f>
        <v>6</v>
      </c>
      <c r="AD356" s="1" t="n">
        <f aca="false">SUMPRODUCT(('Recurring Items'!$C$6:$C$56="Income")*('Recurring Items'!$H$6:$H$56&lt;&gt;"Skip")*IFERROR(N('Recurring Items'!$D$6:$D$56),0)*(('Recurring Items'!$E$6:$E$56="Monthly")*(DAY(AB356)='Recurring Items'!$F$6:$F$56)+('Recurring Items'!$E$6:$E$56="Bi-weekly")*(WEEKDAY(AB356)=IFERROR(WEEKDAY('Recurring Items'!$G$6:$G$56),0))*(MOD(AB356-IFERROR('Recurring Items'!$G$6:$G$56,0),14)=0)*(AB356&gt;=IFERROR('Recurring Items'!$G$6:$G$56,9000000000))+('Recurring Items'!$E$6:$E$56="Weekly")*(WEEKDAY(AB356)=IFERROR(WEEKDAY('Recurring Items'!$G$6:$G$56),0))*(AB356&gt;=IFERROR('Recurring Items'!$G$6:$G$56,9000000000))+('Recurring Items'!$E$6:$E$56="One-time")*(AB356='Recurring Items'!$G$6:$G$56)))</f>
        <v>0</v>
      </c>
      <c r="AE356" s="1" t="n">
        <f aca="false">SUMPRODUCT(('Recurring Items'!$C$6:$C$56="Expense")*('Recurring Items'!$H$6:$H$56&lt;&gt;"Skip")*IFERROR(N('Recurring Items'!$D$6:$D$56),0)*(('Recurring Items'!$E$6:$E$56="Monthly")*(DAY(AB356)='Recurring Items'!$F$6:$F$56)+('Recurring Items'!$E$6:$E$56="Bi-weekly")*(WEEKDAY(AB356)=IFERROR(WEEKDAY('Recurring Items'!$G$6:$G$56),0))*(MOD(AB356-IFERROR('Recurring Items'!$G$6:$G$56,0),14)=0)*(AB356&gt;=IFERROR('Recurring Items'!$G$6:$G$56,9000000000))+('Recurring Items'!$E$6:$E$56="Weekly")*(WEEKDAY(AB356)=IFERROR(WEEKDAY('Recurring Items'!$G$6:$G$56),0))*(AB356&gt;=IFERROR('Recurring Items'!$G$6:$G$56,9000000000))+('Recurring Items'!$E$6:$E$56="One-time")*(AB356='Recurring Items'!$G$6:$G$56)))</f>
        <v>0</v>
      </c>
      <c r="AF356" s="1" t="n">
        <f aca="false">(IF(AC356=1,'Debt Tracker'!$P$5&gt;0.01,INDEX('Debt Tracker'!$T$5:$AE$29,1,AC356-1)&gt;0.01))*('Recurring Items'!$H$8&lt;&gt;"Skip")*(DAY(AB356)='Recurring Items'!$F$8)*IFERROR(N('Recurring Items'!$D$8),0)+(IF(AC356=1,'Debt Tracker'!$P$6&gt;0.01,INDEX('Debt Tracker'!$T$5:$AE$29,2,AC356-1)&gt;0.01))*('Recurring Items'!$H$9&lt;&gt;"Skip")*(DAY(AB356)='Recurring Items'!$F$9)*IFERROR(N('Recurring Items'!$D$9),0)+(IF(AC356=1,'Debt Tracker'!$P$7&gt;0.01,INDEX('Debt Tracker'!$T$5:$AE$29,3,AC356-1)&gt;0.01))*('Recurring Items'!$H$10&lt;&gt;"Skip")*(DAY(AB356)='Recurring Items'!$F$10)*IFERROR(N('Recurring Items'!$D$10),0)+(IF(AC356=1,'Debt Tracker'!$P$8&gt;0.01,INDEX('Debt Tracker'!$T$5:$AE$29,4,AC356-1)&gt;0.01))*('Recurring Items'!$H$11&lt;&gt;"Skip")*(DAY(AB356)='Recurring Items'!$F$11)*IFERROR(N('Recurring Items'!$D$11),0)+(IF(AC356=1,'Debt Tracker'!$P$9&gt;0.01,INDEX('Debt Tracker'!$T$5:$AE$29,5,AC356-1)&gt;0.01))*('Recurring Items'!$H$12&lt;&gt;"Skip")*(DAY(AB356)='Recurring Items'!$F$12)*IFERROR(N('Recurring Items'!$D$12),0)+(IF(AC356=1,'Debt Tracker'!$P$10&gt;0.01,INDEX('Debt Tracker'!$T$5:$AE$29,6,AC356-1)&gt;0.01))*('Recurring Items'!$H$13&lt;&gt;"Skip")*(DAY(AB356)='Recurring Items'!$F$13)*IFERROR(N('Recurring Items'!$D$13),0)+(IF(AC356=1,'Debt Tracker'!$P$11&gt;0.01,INDEX('Debt Tracker'!$T$5:$AE$29,7,AC356-1)&gt;0.01))*('Recurring Items'!$H$14&lt;&gt;"Skip")*(DAY(AB356)='Recurring Items'!$F$14)*IFERROR(N('Recurring Items'!$D$14),0)+(IF(AC356=1,'Debt Tracker'!$P$12&gt;0.01,INDEX('Debt Tracker'!$T$5:$AE$29,8,AC356-1)&gt;0.01))*('Recurring Items'!$H$15&lt;&gt;"Skip")*(DAY(AB356)='Recurring Items'!$F$15)*IFERROR(N('Recurring Items'!$D$15),0)+(IF(AC356=1,'Debt Tracker'!$P$13&gt;0.01,INDEX('Debt Tracker'!$T$5:$AE$29,9,AC356-1)&gt;0.01))*('Recurring Items'!$H$16&lt;&gt;"Skip")*(DAY(AB356)='Recurring Items'!$F$16)*IFERROR(N('Recurring Items'!$D$16),0)+(IF(AC356=1,'Debt Tracker'!$P$14&gt;0.01,INDEX('Debt Tracker'!$T$5:$AE$29,10,AC356-1)&gt;0.01))*('Recurring Items'!$H$17&lt;&gt;"Skip")*(DAY(AB356)='Recurring Items'!$F$17)*IFERROR(N('Recurring Items'!$D$17),0)+(IF(AC356=1,'Debt Tracker'!$P$15&gt;0.01,INDEX('Debt Tracker'!$T$5:$AE$29,11,AC356-1)&gt;0.01))*('Recurring Items'!$H$18&lt;&gt;"Skip")*(DAY(AB356)='Recurring Items'!$F$18)*IFERROR(N('Recurring Items'!$D$18),0)+(IF(AC356=1,'Debt Tracker'!$P$16&gt;0.01,INDEX('Debt Tracker'!$T$5:$AE$29,12,AC356-1)&gt;0.01))*('Recurring Items'!$H$19&lt;&gt;"Skip")*(DAY(AB356)='Recurring Items'!$F$19)*IFERROR(N('Recurring Items'!$D$19),0)+(IF(AC356=1,'Debt Tracker'!$P$17&gt;0.01,INDEX('Debt Tracker'!$T$5:$AE$29,13,AC356-1)&gt;0.01))*('Recurring Items'!$H$20&lt;&gt;"Skip")*(DAY(AB356)='Recurring Items'!$F$20)*IFERROR(N('Recurring Items'!$D$20),0)+(IF(AC356=1,'Debt Tracker'!$P$18&gt;0.01,INDEX('Debt Tracker'!$T$5:$AE$29,14,AC356-1)&gt;0.01))*('Recurring Items'!$H$21&lt;&gt;"Skip")*(DAY(AB356)='Recurring Items'!$F$21)*IFERROR(N('Recurring Items'!$D$21),0)+(IF(AC356=1,'Debt Tracker'!$P$19&gt;0.01,INDEX('Debt Tracker'!$T$5:$AE$29,15,AC356-1)&gt;0.01))*('Recurring Items'!$H$22&lt;&gt;"Skip")*(DAY(AB356)='Recurring Items'!$F$22)*IFERROR(N('Recurring Items'!$D$22),0)+(IF(AC356=1,'Debt Tracker'!$P$20&gt;0.01,INDEX('Debt Tracker'!$T$5:$AE$29,16,AC356-1)&gt;0.01))*('Recurring Items'!$H$23&lt;&gt;"Skip")*(DAY(AB356)='Recurring Items'!$F$23)*IFERROR(N('Recurring Items'!$D$23),0)+(IF(AC356=1,'Debt Tracker'!$P$21&gt;0.01,INDEX('Debt Tracker'!$T$5:$AE$29,17,AC356-1)&gt;0.01))*('Recurring Items'!$H$24&lt;&gt;"Skip")*(DAY(AB356)='Recurring Items'!$F$24)*IFERROR(N('Recurring Items'!$D$24),0)+(IF(AC356=1,'Debt Tracker'!$P$22&gt;0.01,INDEX('Debt Tracker'!$T$5:$AE$29,18,AC356-1)&gt;0.01))*('Recurring Items'!$H$25&lt;&gt;"Skip")*(DAY(AB356)='Recurring Items'!$F$25)*IFERROR(N('Recurring Items'!$D$25),0)+(IF(AC356=1,'Debt Tracker'!$P$23&gt;0.01,INDEX('Debt Tracker'!$T$5:$AE$29,19,AC356-1)&gt;0.01))*('Recurring Items'!$H$26&lt;&gt;"Skip")*(DAY(AB356)='Recurring Items'!$F$26)*IFERROR(N('Recurring Items'!$D$26),0)+(IF(AC356=1,'Debt Tracker'!$P$24&gt;0.01,INDEX('Debt Tracker'!$T$5:$AE$29,20,AC356-1)&gt;0.01))*('Recurring Items'!$H$27&lt;&gt;"Skip")*(DAY(AB356)='Recurring Items'!$F$27)*IFERROR(N('Recurring Items'!$D$27),0)+(IF(AC356=1,'Debt Tracker'!$P$25&gt;0.01,INDEX('Debt Tracker'!$T$5:$AE$29,21,AC356-1)&gt;0.01))*('Recurring Items'!$H$28&lt;&gt;"Skip")*(DAY(AB356)='Recurring Items'!$F$28)*IFERROR(N('Recurring Items'!$D$28),0)+(IF(AC356=1,'Debt Tracker'!$P$26&gt;0.01,INDEX('Debt Tracker'!$T$5:$AE$29,22,AC356-1)&gt;0.01))*('Recurring Items'!$H$29&lt;&gt;"Skip")*(DAY(AB356)='Recurring Items'!$F$29)*IFERROR(N('Recurring Items'!$D$29),0)+(IF(AC356=1,'Debt Tracker'!$P$27&gt;0.01,INDEX('Debt Tracker'!$T$5:$AE$29,23,AC356-1)&gt;0.01))*('Recurring Items'!$H$30&lt;&gt;"Skip")*(DAY(AB356)='Recurring Items'!$F$30)*IFERROR(N('Recurring Items'!$D$30),0)+(IF(AC356=1,'Debt Tracker'!$P$28&gt;0.01,INDEX('Debt Tracker'!$T$5:$AE$29,24,AC356-1)&gt;0.01))*('Recurring Items'!$H$31&lt;&gt;"Skip")*(DAY(AB356)='Recurring Items'!$F$31)*IFERROR(N('Recurring Items'!$D$31),0)+(IF(AC356=1,'Debt Tracker'!$P$29&gt;0.01,INDEX('Debt Tracker'!$T$5:$AE$29,25,AC356-1)&gt;0.01))*('Recurring Items'!$H$32&lt;&gt;"Skip")*(DAY(AB356)='Recurring Items'!$F$32)*IFERROR(N('Recurring Items'!$D$32),0)</f>
        <v>0</v>
      </c>
      <c r="AG356" s="1" t="n">
        <f aca="false">AD356-AE356-AF356</f>
        <v>0</v>
      </c>
      <c r="AH356" s="1" t="n">
        <f aca="false">AH355+AG356</f>
        <v>11229.65</v>
      </c>
    </row>
    <row r="357" customFormat="false" ht="15" hidden="false" customHeight="true" outlineLevel="0" collapsed="false">
      <c r="AA357" s="1" t="n">
        <v>157</v>
      </c>
      <c r="AB357" s="145" t="n">
        <f aca="false">$D$3+157</f>
        <v>46300</v>
      </c>
      <c r="AC357" s="1" t="n">
        <f aca="false">MIN(12,1+DATEDIF($D$3,AB357,"M"))</f>
        <v>6</v>
      </c>
      <c r="AD357" s="1" t="n">
        <f aca="false">SUMPRODUCT(('Recurring Items'!$C$6:$C$56="Income")*('Recurring Items'!$H$6:$H$56&lt;&gt;"Skip")*IFERROR(N('Recurring Items'!$D$6:$D$56),0)*(('Recurring Items'!$E$6:$E$56="Monthly")*(DAY(AB357)='Recurring Items'!$F$6:$F$56)+('Recurring Items'!$E$6:$E$56="Bi-weekly")*(WEEKDAY(AB357)=IFERROR(WEEKDAY('Recurring Items'!$G$6:$G$56),0))*(MOD(AB357-IFERROR('Recurring Items'!$G$6:$G$56,0),14)=0)*(AB357&gt;=IFERROR('Recurring Items'!$G$6:$G$56,9000000000))+('Recurring Items'!$E$6:$E$56="Weekly")*(WEEKDAY(AB357)=IFERROR(WEEKDAY('Recurring Items'!$G$6:$G$56),0))*(AB357&gt;=IFERROR('Recurring Items'!$G$6:$G$56,9000000000))+('Recurring Items'!$E$6:$E$56="One-time")*(AB357='Recurring Items'!$G$6:$G$56)))</f>
        <v>0</v>
      </c>
      <c r="AE357" s="1" t="n">
        <f aca="false">SUMPRODUCT(('Recurring Items'!$C$6:$C$56="Expense")*('Recurring Items'!$H$6:$H$56&lt;&gt;"Skip")*IFERROR(N('Recurring Items'!$D$6:$D$56),0)*(('Recurring Items'!$E$6:$E$56="Monthly")*(DAY(AB357)='Recurring Items'!$F$6:$F$56)+('Recurring Items'!$E$6:$E$56="Bi-weekly")*(WEEKDAY(AB357)=IFERROR(WEEKDAY('Recurring Items'!$G$6:$G$56),0))*(MOD(AB357-IFERROR('Recurring Items'!$G$6:$G$56,0),14)=0)*(AB357&gt;=IFERROR('Recurring Items'!$G$6:$G$56,9000000000))+('Recurring Items'!$E$6:$E$56="Weekly")*(WEEKDAY(AB357)=IFERROR(WEEKDAY('Recurring Items'!$G$6:$G$56),0))*(AB357&gt;=IFERROR('Recurring Items'!$G$6:$G$56,9000000000))+('Recurring Items'!$E$6:$E$56="One-time")*(AB357='Recurring Items'!$G$6:$G$56)))</f>
        <v>51.01</v>
      </c>
      <c r="AF357" s="1" t="n">
        <f aca="false">(IF(AC357=1,'Debt Tracker'!$P$5&gt;0.01,INDEX('Debt Tracker'!$T$5:$AE$29,1,AC357-1)&gt;0.01))*('Recurring Items'!$H$8&lt;&gt;"Skip")*(DAY(AB357)='Recurring Items'!$F$8)*IFERROR(N('Recurring Items'!$D$8),0)+(IF(AC357=1,'Debt Tracker'!$P$6&gt;0.01,INDEX('Debt Tracker'!$T$5:$AE$29,2,AC357-1)&gt;0.01))*('Recurring Items'!$H$9&lt;&gt;"Skip")*(DAY(AB357)='Recurring Items'!$F$9)*IFERROR(N('Recurring Items'!$D$9),0)+(IF(AC357=1,'Debt Tracker'!$P$7&gt;0.01,INDEX('Debt Tracker'!$T$5:$AE$29,3,AC357-1)&gt;0.01))*('Recurring Items'!$H$10&lt;&gt;"Skip")*(DAY(AB357)='Recurring Items'!$F$10)*IFERROR(N('Recurring Items'!$D$10),0)+(IF(AC357=1,'Debt Tracker'!$P$8&gt;0.01,INDEX('Debt Tracker'!$T$5:$AE$29,4,AC357-1)&gt;0.01))*('Recurring Items'!$H$11&lt;&gt;"Skip")*(DAY(AB357)='Recurring Items'!$F$11)*IFERROR(N('Recurring Items'!$D$11),0)+(IF(AC357=1,'Debt Tracker'!$P$9&gt;0.01,INDEX('Debt Tracker'!$T$5:$AE$29,5,AC357-1)&gt;0.01))*('Recurring Items'!$H$12&lt;&gt;"Skip")*(DAY(AB357)='Recurring Items'!$F$12)*IFERROR(N('Recurring Items'!$D$12),0)+(IF(AC357=1,'Debt Tracker'!$P$10&gt;0.01,INDEX('Debt Tracker'!$T$5:$AE$29,6,AC357-1)&gt;0.01))*('Recurring Items'!$H$13&lt;&gt;"Skip")*(DAY(AB357)='Recurring Items'!$F$13)*IFERROR(N('Recurring Items'!$D$13),0)+(IF(AC357=1,'Debt Tracker'!$P$11&gt;0.01,INDEX('Debt Tracker'!$T$5:$AE$29,7,AC357-1)&gt;0.01))*('Recurring Items'!$H$14&lt;&gt;"Skip")*(DAY(AB357)='Recurring Items'!$F$14)*IFERROR(N('Recurring Items'!$D$14),0)+(IF(AC357=1,'Debt Tracker'!$P$12&gt;0.01,INDEX('Debt Tracker'!$T$5:$AE$29,8,AC357-1)&gt;0.01))*('Recurring Items'!$H$15&lt;&gt;"Skip")*(DAY(AB357)='Recurring Items'!$F$15)*IFERROR(N('Recurring Items'!$D$15),0)+(IF(AC357=1,'Debt Tracker'!$P$13&gt;0.01,INDEX('Debt Tracker'!$T$5:$AE$29,9,AC357-1)&gt;0.01))*('Recurring Items'!$H$16&lt;&gt;"Skip")*(DAY(AB357)='Recurring Items'!$F$16)*IFERROR(N('Recurring Items'!$D$16),0)+(IF(AC357=1,'Debt Tracker'!$P$14&gt;0.01,INDEX('Debt Tracker'!$T$5:$AE$29,10,AC357-1)&gt;0.01))*('Recurring Items'!$H$17&lt;&gt;"Skip")*(DAY(AB357)='Recurring Items'!$F$17)*IFERROR(N('Recurring Items'!$D$17),0)+(IF(AC357=1,'Debt Tracker'!$P$15&gt;0.01,INDEX('Debt Tracker'!$T$5:$AE$29,11,AC357-1)&gt;0.01))*('Recurring Items'!$H$18&lt;&gt;"Skip")*(DAY(AB357)='Recurring Items'!$F$18)*IFERROR(N('Recurring Items'!$D$18),0)+(IF(AC357=1,'Debt Tracker'!$P$16&gt;0.01,INDEX('Debt Tracker'!$T$5:$AE$29,12,AC357-1)&gt;0.01))*('Recurring Items'!$H$19&lt;&gt;"Skip")*(DAY(AB357)='Recurring Items'!$F$19)*IFERROR(N('Recurring Items'!$D$19),0)+(IF(AC357=1,'Debt Tracker'!$P$17&gt;0.01,INDEX('Debt Tracker'!$T$5:$AE$29,13,AC357-1)&gt;0.01))*('Recurring Items'!$H$20&lt;&gt;"Skip")*(DAY(AB357)='Recurring Items'!$F$20)*IFERROR(N('Recurring Items'!$D$20),0)+(IF(AC357=1,'Debt Tracker'!$P$18&gt;0.01,INDEX('Debt Tracker'!$T$5:$AE$29,14,AC357-1)&gt;0.01))*('Recurring Items'!$H$21&lt;&gt;"Skip")*(DAY(AB357)='Recurring Items'!$F$21)*IFERROR(N('Recurring Items'!$D$21),0)+(IF(AC357=1,'Debt Tracker'!$P$19&gt;0.01,INDEX('Debt Tracker'!$T$5:$AE$29,15,AC357-1)&gt;0.01))*('Recurring Items'!$H$22&lt;&gt;"Skip")*(DAY(AB357)='Recurring Items'!$F$22)*IFERROR(N('Recurring Items'!$D$22),0)+(IF(AC357=1,'Debt Tracker'!$P$20&gt;0.01,INDEX('Debt Tracker'!$T$5:$AE$29,16,AC357-1)&gt;0.01))*('Recurring Items'!$H$23&lt;&gt;"Skip")*(DAY(AB357)='Recurring Items'!$F$23)*IFERROR(N('Recurring Items'!$D$23),0)+(IF(AC357=1,'Debt Tracker'!$P$21&gt;0.01,INDEX('Debt Tracker'!$T$5:$AE$29,17,AC357-1)&gt;0.01))*('Recurring Items'!$H$24&lt;&gt;"Skip")*(DAY(AB357)='Recurring Items'!$F$24)*IFERROR(N('Recurring Items'!$D$24),0)+(IF(AC357=1,'Debt Tracker'!$P$22&gt;0.01,INDEX('Debt Tracker'!$T$5:$AE$29,18,AC357-1)&gt;0.01))*('Recurring Items'!$H$25&lt;&gt;"Skip")*(DAY(AB357)='Recurring Items'!$F$25)*IFERROR(N('Recurring Items'!$D$25),0)+(IF(AC357=1,'Debt Tracker'!$P$23&gt;0.01,INDEX('Debt Tracker'!$T$5:$AE$29,19,AC357-1)&gt;0.01))*('Recurring Items'!$H$26&lt;&gt;"Skip")*(DAY(AB357)='Recurring Items'!$F$26)*IFERROR(N('Recurring Items'!$D$26),0)+(IF(AC357=1,'Debt Tracker'!$P$24&gt;0.01,INDEX('Debt Tracker'!$T$5:$AE$29,20,AC357-1)&gt;0.01))*('Recurring Items'!$H$27&lt;&gt;"Skip")*(DAY(AB357)='Recurring Items'!$F$27)*IFERROR(N('Recurring Items'!$D$27),0)+(IF(AC357=1,'Debt Tracker'!$P$25&gt;0.01,INDEX('Debt Tracker'!$T$5:$AE$29,21,AC357-1)&gt;0.01))*('Recurring Items'!$H$28&lt;&gt;"Skip")*(DAY(AB357)='Recurring Items'!$F$28)*IFERROR(N('Recurring Items'!$D$28),0)+(IF(AC357=1,'Debt Tracker'!$P$26&gt;0.01,INDEX('Debt Tracker'!$T$5:$AE$29,22,AC357-1)&gt;0.01))*('Recurring Items'!$H$29&lt;&gt;"Skip")*(DAY(AB357)='Recurring Items'!$F$29)*IFERROR(N('Recurring Items'!$D$29),0)+(IF(AC357=1,'Debt Tracker'!$P$27&gt;0.01,INDEX('Debt Tracker'!$T$5:$AE$29,23,AC357-1)&gt;0.01))*('Recurring Items'!$H$30&lt;&gt;"Skip")*(DAY(AB357)='Recurring Items'!$F$30)*IFERROR(N('Recurring Items'!$D$30),0)+(IF(AC357=1,'Debt Tracker'!$P$28&gt;0.01,INDEX('Debt Tracker'!$T$5:$AE$29,24,AC357-1)&gt;0.01))*('Recurring Items'!$H$31&lt;&gt;"Skip")*(DAY(AB357)='Recurring Items'!$F$31)*IFERROR(N('Recurring Items'!$D$31),0)+(IF(AC357=1,'Debt Tracker'!$P$29&gt;0.01,INDEX('Debt Tracker'!$T$5:$AE$29,25,AC357-1)&gt;0.01))*('Recurring Items'!$H$32&lt;&gt;"Skip")*(DAY(AB357)='Recurring Items'!$F$32)*IFERROR(N('Recurring Items'!$D$32),0)</f>
        <v>0</v>
      </c>
      <c r="AG357" s="1" t="n">
        <f aca="false">AD357-AE357-AF357</f>
        <v>-51.01</v>
      </c>
      <c r="AH357" s="1" t="n">
        <f aca="false">AH356+AG357</f>
        <v>11178.64</v>
      </c>
    </row>
    <row r="358" customFormat="false" ht="15" hidden="false" customHeight="true" outlineLevel="0" collapsed="false">
      <c r="AA358" s="1" t="n">
        <v>158</v>
      </c>
      <c r="AB358" s="145" t="n">
        <f aca="false">$D$3+158</f>
        <v>46301</v>
      </c>
      <c r="AC358" s="1" t="n">
        <f aca="false">MIN(12,1+DATEDIF($D$3,AB358,"M"))</f>
        <v>6</v>
      </c>
      <c r="AD358" s="1" t="n">
        <f aca="false">SUMPRODUCT(('Recurring Items'!$C$6:$C$56="Income")*('Recurring Items'!$H$6:$H$56&lt;&gt;"Skip")*IFERROR(N('Recurring Items'!$D$6:$D$56),0)*(('Recurring Items'!$E$6:$E$56="Monthly")*(DAY(AB358)='Recurring Items'!$F$6:$F$56)+('Recurring Items'!$E$6:$E$56="Bi-weekly")*(WEEKDAY(AB358)=IFERROR(WEEKDAY('Recurring Items'!$G$6:$G$56),0))*(MOD(AB358-IFERROR('Recurring Items'!$G$6:$G$56,0),14)=0)*(AB358&gt;=IFERROR('Recurring Items'!$G$6:$G$56,9000000000))+('Recurring Items'!$E$6:$E$56="Weekly")*(WEEKDAY(AB358)=IFERROR(WEEKDAY('Recurring Items'!$G$6:$G$56),0))*(AB358&gt;=IFERROR('Recurring Items'!$G$6:$G$56,9000000000))+('Recurring Items'!$E$6:$E$56="One-time")*(AB358='Recurring Items'!$G$6:$G$56)))</f>
        <v>0</v>
      </c>
      <c r="AE358" s="1" t="n">
        <f aca="false">SUMPRODUCT(('Recurring Items'!$C$6:$C$56="Expense")*('Recurring Items'!$H$6:$H$56&lt;&gt;"Skip")*IFERROR(N('Recurring Items'!$D$6:$D$56),0)*(('Recurring Items'!$E$6:$E$56="Monthly")*(DAY(AB358)='Recurring Items'!$F$6:$F$56)+('Recurring Items'!$E$6:$E$56="Bi-weekly")*(WEEKDAY(AB358)=IFERROR(WEEKDAY('Recurring Items'!$G$6:$G$56),0))*(MOD(AB358-IFERROR('Recurring Items'!$G$6:$G$56,0),14)=0)*(AB358&gt;=IFERROR('Recurring Items'!$G$6:$G$56,9000000000))+('Recurring Items'!$E$6:$E$56="Weekly")*(WEEKDAY(AB358)=IFERROR(WEEKDAY('Recurring Items'!$G$6:$G$56),0))*(AB358&gt;=IFERROR('Recurring Items'!$G$6:$G$56,9000000000))+('Recurring Items'!$E$6:$E$56="One-time")*(AB358='Recurring Items'!$G$6:$G$56)))</f>
        <v>651.55</v>
      </c>
      <c r="AF358" s="1" t="n">
        <f aca="false">(IF(AC358=1,'Debt Tracker'!$P$5&gt;0.01,INDEX('Debt Tracker'!$T$5:$AE$29,1,AC358-1)&gt;0.01))*('Recurring Items'!$H$8&lt;&gt;"Skip")*(DAY(AB358)='Recurring Items'!$F$8)*IFERROR(N('Recurring Items'!$D$8),0)+(IF(AC358=1,'Debt Tracker'!$P$6&gt;0.01,INDEX('Debt Tracker'!$T$5:$AE$29,2,AC358-1)&gt;0.01))*('Recurring Items'!$H$9&lt;&gt;"Skip")*(DAY(AB358)='Recurring Items'!$F$9)*IFERROR(N('Recurring Items'!$D$9),0)+(IF(AC358=1,'Debt Tracker'!$P$7&gt;0.01,INDEX('Debt Tracker'!$T$5:$AE$29,3,AC358-1)&gt;0.01))*('Recurring Items'!$H$10&lt;&gt;"Skip")*(DAY(AB358)='Recurring Items'!$F$10)*IFERROR(N('Recurring Items'!$D$10),0)+(IF(AC358=1,'Debt Tracker'!$P$8&gt;0.01,INDEX('Debt Tracker'!$T$5:$AE$29,4,AC358-1)&gt;0.01))*('Recurring Items'!$H$11&lt;&gt;"Skip")*(DAY(AB358)='Recurring Items'!$F$11)*IFERROR(N('Recurring Items'!$D$11),0)+(IF(AC358=1,'Debt Tracker'!$P$9&gt;0.01,INDEX('Debt Tracker'!$T$5:$AE$29,5,AC358-1)&gt;0.01))*('Recurring Items'!$H$12&lt;&gt;"Skip")*(DAY(AB358)='Recurring Items'!$F$12)*IFERROR(N('Recurring Items'!$D$12),0)+(IF(AC358=1,'Debt Tracker'!$P$10&gt;0.01,INDEX('Debt Tracker'!$T$5:$AE$29,6,AC358-1)&gt;0.01))*('Recurring Items'!$H$13&lt;&gt;"Skip")*(DAY(AB358)='Recurring Items'!$F$13)*IFERROR(N('Recurring Items'!$D$13),0)+(IF(AC358=1,'Debt Tracker'!$P$11&gt;0.01,INDEX('Debt Tracker'!$T$5:$AE$29,7,AC358-1)&gt;0.01))*('Recurring Items'!$H$14&lt;&gt;"Skip")*(DAY(AB358)='Recurring Items'!$F$14)*IFERROR(N('Recurring Items'!$D$14),0)+(IF(AC358=1,'Debt Tracker'!$P$12&gt;0.01,INDEX('Debt Tracker'!$T$5:$AE$29,8,AC358-1)&gt;0.01))*('Recurring Items'!$H$15&lt;&gt;"Skip")*(DAY(AB358)='Recurring Items'!$F$15)*IFERROR(N('Recurring Items'!$D$15),0)+(IF(AC358=1,'Debt Tracker'!$P$13&gt;0.01,INDEX('Debt Tracker'!$T$5:$AE$29,9,AC358-1)&gt;0.01))*('Recurring Items'!$H$16&lt;&gt;"Skip")*(DAY(AB358)='Recurring Items'!$F$16)*IFERROR(N('Recurring Items'!$D$16),0)+(IF(AC358=1,'Debt Tracker'!$P$14&gt;0.01,INDEX('Debt Tracker'!$T$5:$AE$29,10,AC358-1)&gt;0.01))*('Recurring Items'!$H$17&lt;&gt;"Skip")*(DAY(AB358)='Recurring Items'!$F$17)*IFERROR(N('Recurring Items'!$D$17),0)+(IF(AC358=1,'Debt Tracker'!$P$15&gt;0.01,INDEX('Debt Tracker'!$T$5:$AE$29,11,AC358-1)&gt;0.01))*('Recurring Items'!$H$18&lt;&gt;"Skip")*(DAY(AB358)='Recurring Items'!$F$18)*IFERROR(N('Recurring Items'!$D$18),0)+(IF(AC358=1,'Debt Tracker'!$P$16&gt;0.01,INDEX('Debt Tracker'!$T$5:$AE$29,12,AC358-1)&gt;0.01))*('Recurring Items'!$H$19&lt;&gt;"Skip")*(DAY(AB358)='Recurring Items'!$F$19)*IFERROR(N('Recurring Items'!$D$19),0)+(IF(AC358=1,'Debt Tracker'!$P$17&gt;0.01,INDEX('Debt Tracker'!$T$5:$AE$29,13,AC358-1)&gt;0.01))*('Recurring Items'!$H$20&lt;&gt;"Skip")*(DAY(AB358)='Recurring Items'!$F$20)*IFERROR(N('Recurring Items'!$D$20),0)+(IF(AC358=1,'Debt Tracker'!$P$18&gt;0.01,INDEX('Debt Tracker'!$T$5:$AE$29,14,AC358-1)&gt;0.01))*('Recurring Items'!$H$21&lt;&gt;"Skip")*(DAY(AB358)='Recurring Items'!$F$21)*IFERROR(N('Recurring Items'!$D$21),0)+(IF(AC358=1,'Debt Tracker'!$P$19&gt;0.01,INDEX('Debt Tracker'!$T$5:$AE$29,15,AC358-1)&gt;0.01))*('Recurring Items'!$H$22&lt;&gt;"Skip")*(DAY(AB358)='Recurring Items'!$F$22)*IFERROR(N('Recurring Items'!$D$22),0)+(IF(AC358=1,'Debt Tracker'!$P$20&gt;0.01,INDEX('Debt Tracker'!$T$5:$AE$29,16,AC358-1)&gt;0.01))*('Recurring Items'!$H$23&lt;&gt;"Skip")*(DAY(AB358)='Recurring Items'!$F$23)*IFERROR(N('Recurring Items'!$D$23),0)+(IF(AC358=1,'Debt Tracker'!$P$21&gt;0.01,INDEX('Debt Tracker'!$T$5:$AE$29,17,AC358-1)&gt;0.01))*('Recurring Items'!$H$24&lt;&gt;"Skip")*(DAY(AB358)='Recurring Items'!$F$24)*IFERROR(N('Recurring Items'!$D$24),0)+(IF(AC358=1,'Debt Tracker'!$P$22&gt;0.01,INDEX('Debt Tracker'!$T$5:$AE$29,18,AC358-1)&gt;0.01))*('Recurring Items'!$H$25&lt;&gt;"Skip")*(DAY(AB358)='Recurring Items'!$F$25)*IFERROR(N('Recurring Items'!$D$25),0)+(IF(AC358=1,'Debt Tracker'!$P$23&gt;0.01,INDEX('Debt Tracker'!$T$5:$AE$29,19,AC358-1)&gt;0.01))*('Recurring Items'!$H$26&lt;&gt;"Skip")*(DAY(AB358)='Recurring Items'!$F$26)*IFERROR(N('Recurring Items'!$D$26),0)+(IF(AC358=1,'Debt Tracker'!$P$24&gt;0.01,INDEX('Debt Tracker'!$T$5:$AE$29,20,AC358-1)&gt;0.01))*('Recurring Items'!$H$27&lt;&gt;"Skip")*(DAY(AB358)='Recurring Items'!$F$27)*IFERROR(N('Recurring Items'!$D$27),0)+(IF(AC358=1,'Debt Tracker'!$P$25&gt;0.01,INDEX('Debt Tracker'!$T$5:$AE$29,21,AC358-1)&gt;0.01))*('Recurring Items'!$H$28&lt;&gt;"Skip")*(DAY(AB358)='Recurring Items'!$F$28)*IFERROR(N('Recurring Items'!$D$28),0)+(IF(AC358=1,'Debt Tracker'!$P$26&gt;0.01,INDEX('Debt Tracker'!$T$5:$AE$29,22,AC358-1)&gt;0.01))*('Recurring Items'!$H$29&lt;&gt;"Skip")*(DAY(AB358)='Recurring Items'!$F$29)*IFERROR(N('Recurring Items'!$D$29),0)+(IF(AC358=1,'Debt Tracker'!$P$27&gt;0.01,INDEX('Debt Tracker'!$T$5:$AE$29,23,AC358-1)&gt;0.01))*('Recurring Items'!$H$30&lt;&gt;"Skip")*(DAY(AB358)='Recurring Items'!$F$30)*IFERROR(N('Recurring Items'!$D$30),0)+(IF(AC358=1,'Debt Tracker'!$P$28&gt;0.01,INDEX('Debt Tracker'!$T$5:$AE$29,24,AC358-1)&gt;0.01))*('Recurring Items'!$H$31&lt;&gt;"Skip")*(DAY(AB358)='Recurring Items'!$F$31)*IFERROR(N('Recurring Items'!$D$31),0)+(IF(AC358=1,'Debt Tracker'!$P$29&gt;0.01,INDEX('Debt Tracker'!$T$5:$AE$29,25,AC358-1)&gt;0.01))*('Recurring Items'!$H$32&lt;&gt;"Skip")*(DAY(AB358)='Recurring Items'!$F$32)*IFERROR(N('Recurring Items'!$D$32),0)</f>
        <v>0</v>
      </c>
      <c r="AG358" s="1" t="n">
        <f aca="false">AD358-AE358-AF358</f>
        <v>-651.55</v>
      </c>
      <c r="AH358" s="1" t="n">
        <f aca="false">AH357+AG358</f>
        <v>10527.09</v>
      </c>
    </row>
    <row r="359" customFormat="false" ht="15" hidden="false" customHeight="true" outlineLevel="0" collapsed="false">
      <c r="AA359" s="1" t="n">
        <v>159</v>
      </c>
      <c r="AB359" s="145" t="n">
        <f aca="false">$D$3+159</f>
        <v>46302</v>
      </c>
      <c r="AC359" s="1" t="n">
        <f aca="false">MIN(12,1+DATEDIF($D$3,AB359,"M"))</f>
        <v>6</v>
      </c>
      <c r="AD359" s="1" t="n">
        <f aca="false">SUMPRODUCT(('Recurring Items'!$C$6:$C$56="Income")*('Recurring Items'!$H$6:$H$56&lt;&gt;"Skip")*IFERROR(N('Recurring Items'!$D$6:$D$56),0)*(('Recurring Items'!$E$6:$E$56="Monthly")*(DAY(AB359)='Recurring Items'!$F$6:$F$56)+('Recurring Items'!$E$6:$E$56="Bi-weekly")*(WEEKDAY(AB359)=IFERROR(WEEKDAY('Recurring Items'!$G$6:$G$56),0))*(MOD(AB359-IFERROR('Recurring Items'!$G$6:$G$56,0),14)=0)*(AB359&gt;=IFERROR('Recurring Items'!$G$6:$G$56,9000000000))+('Recurring Items'!$E$6:$E$56="Weekly")*(WEEKDAY(AB359)=IFERROR(WEEKDAY('Recurring Items'!$G$6:$G$56),0))*(AB359&gt;=IFERROR('Recurring Items'!$G$6:$G$56,9000000000))+('Recurring Items'!$E$6:$E$56="One-time")*(AB359='Recurring Items'!$G$6:$G$56)))</f>
        <v>0</v>
      </c>
      <c r="AE359" s="1" t="n">
        <f aca="false">SUMPRODUCT(('Recurring Items'!$C$6:$C$56="Expense")*('Recurring Items'!$H$6:$H$56&lt;&gt;"Skip")*IFERROR(N('Recurring Items'!$D$6:$D$56),0)*(('Recurring Items'!$E$6:$E$56="Monthly")*(DAY(AB359)='Recurring Items'!$F$6:$F$56)+('Recurring Items'!$E$6:$E$56="Bi-weekly")*(WEEKDAY(AB359)=IFERROR(WEEKDAY('Recurring Items'!$G$6:$G$56),0))*(MOD(AB359-IFERROR('Recurring Items'!$G$6:$G$56,0),14)=0)*(AB359&gt;=IFERROR('Recurring Items'!$G$6:$G$56,9000000000))+('Recurring Items'!$E$6:$E$56="Weekly")*(WEEKDAY(AB359)=IFERROR(WEEKDAY('Recurring Items'!$G$6:$G$56),0))*(AB359&gt;=IFERROR('Recurring Items'!$G$6:$G$56,9000000000))+('Recurring Items'!$E$6:$E$56="One-time")*(AB359='Recurring Items'!$G$6:$G$56)))</f>
        <v>672.8</v>
      </c>
      <c r="AF359" s="1" t="n">
        <f aca="false">(IF(AC359=1,'Debt Tracker'!$P$5&gt;0.01,INDEX('Debt Tracker'!$T$5:$AE$29,1,AC359-1)&gt;0.01))*('Recurring Items'!$H$8&lt;&gt;"Skip")*(DAY(AB359)='Recurring Items'!$F$8)*IFERROR(N('Recurring Items'!$D$8),0)+(IF(AC359=1,'Debt Tracker'!$P$6&gt;0.01,INDEX('Debt Tracker'!$T$5:$AE$29,2,AC359-1)&gt;0.01))*('Recurring Items'!$H$9&lt;&gt;"Skip")*(DAY(AB359)='Recurring Items'!$F$9)*IFERROR(N('Recurring Items'!$D$9),0)+(IF(AC359=1,'Debt Tracker'!$P$7&gt;0.01,INDEX('Debt Tracker'!$T$5:$AE$29,3,AC359-1)&gt;0.01))*('Recurring Items'!$H$10&lt;&gt;"Skip")*(DAY(AB359)='Recurring Items'!$F$10)*IFERROR(N('Recurring Items'!$D$10),0)+(IF(AC359=1,'Debt Tracker'!$P$8&gt;0.01,INDEX('Debt Tracker'!$T$5:$AE$29,4,AC359-1)&gt;0.01))*('Recurring Items'!$H$11&lt;&gt;"Skip")*(DAY(AB359)='Recurring Items'!$F$11)*IFERROR(N('Recurring Items'!$D$11),0)+(IF(AC359=1,'Debt Tracker'!$P$9&gt;0.01,INDEX('Debt Tracker'!$T$5:$AE$29,5,AC359-1)&gt;0.01))*('Recurring Items'!$H$12&lt;&gt;"Skip")*(DAY(AB359)='Recurring Items'!$F$12)*IFERROR(N('Recurring Items'!$D$12),0)+(IF(AC359=1,'Debt Tracker'!$P$10&gt;0.01,INDEX('Debt Tracker'!$T$5:$AE$29,6,AC359-1)&gt;0.01))*('Recurring Items'!$H$13&lt;&gt;"Skip")*(DAY(AB359)='Recurring Items'!$F$13)*IFERROR(N('Recurring Items'!$D$13),0)+(IF(AC359=1,'Debt Tracker'!$P$11&gt;0.01,INDEX('Debt Tracker'!$T$5:$AE$29,7,AC359-1)&gt;0.01))*('Recurring Items'!$H$14&lt;&gt;"Skip")*(DAY(AB359)='Recurring Items'!$F$14)*IFERROR(N('Recurring Items'!$D$14),0)+(IF(AC359=1,'Debt Tracker'!$P$12&gt;0.01,INDEX('Debt Tracker'!$T$5:$AE$29,8,AC359-1)&gt;0.01))*('Recurring Items'!$H$15&lt;&gt;"Skip")*(DAY(AB359)='Recurring Items'!$F$15)*IFERROR(N('Recurring Items'!$D$15),0)+(IF(AC359=1,'Debt Tracker'!$P$13&gt;0.01,INDEX('Debt Tracker'!$T$5:$AE$29,9,AC359-1)&gt;0.01))*('Recurring Items'!$H$16&lt;&gt;"Skip")*(DAY(AB359)='Recurring Items'!$F$16)*IFERROR(N('Recurring Items'!$D$16),0)+(IF(AC359=1,'Debt Tracker'!$P$14&gt;0.01,INDEX('Debt Tracker'!$T$5:$AE$29,10,AC359-1)&gt;0.01))*('Recurring Items'!$H$17&lt;&gt;"Skip")*(DAY(AB359)='Recurring Items'!$F$17)*IFERROR(N('Recurring Items'!$D$17),0)+(IF(AC359=1,'Debt Tracker'!$P$15&gt;0.01,INDEX('Debt Tracker'!$T$5:$AE$29,11,AC359-1)&gt;0.01))*('Recurring Items'!$H$18&lt;&gt;"Skip")*(DAY(AB359)='Recurring Items'!$F$18)*IFERROR(N('Recurring Items'!$D$18),0)+(IF(AC359=1,'Debt Tracker'!$P$16&gt;0.01,INDEX('Debt Tracker'!$T$5:$AE$29,12,AC359-1)&gt;0.01))*('Recurring Items'!$H$19&lt;&gt;"Skip")*(DAY(AB359)='Recurring Items'!$F$19)*IFERROR(N('Recurring Items'!$D$19),0)+(IF(AC359=1,'Debt Tracker'!$P$17&gt;0.01,INDEX('Debt Tracker'!$T$5:$AE$29,13,AC359-1)&gt;0.01))*('Recurring Items'!$H$20&lt;&gt;"Skip")*(DAY(AB359)='Recurring Items'!$F$20)*IFERROR(N('Recurring Items'!$D$20),0)+(IF(AC359=1,'Debt Tracker'!$P$18&gt;0.01,INDEX('Debt Tracker'!$T$5:$AE$29,14,AC359-1)&gt;0.01))*('Recurring Items'!$H$21&lt;&gt;"Skip")*(DAY(AB359)='Recurring Items'!$F$21)*IFERROR(N('Recurring Items'!$D$21),0)+(IF(AC359=1,'Debt Tracker'!$P$19&gt;0.01,INDEX('Debt Tracker'!$T$5:$AE$29,15,AC359-1)&gt;0.01))*('Recurring Items'!$H$22&lt;&gt;"Skip")*(DAY(AB359)='Recurring Items'!$F$22)*IFERROR(N('Recurring Items'!$D$22),0)+(IF(AC359=1,'Debt Tracker'!$P$20&gt;0.01,INDEX('Debt Tracker'!$T$5:$AE$29,16,AC359-1)&gt;0.01))*('Recurring Items'!$H$23&lt;&gt;"Skip")*(DAY(AB359)='Recurring Items'!$F$23)*IFERROR(N('Recurring Items'!$D$23),0)+(IF(AC359=1,'Debt Tracker'!$P$21&gt;0.01,INDEX('Debt Tracker'!$T$5:$AE$29,17,AC359-1)&gt;0.01))*('Recurring Items'!$H$24&lt;&gt;"Skip")*(DAY(AB359)='Recurring Items'!$F$24)*IFERROR(N('Recurring Items'!$D$24),0)+(IF(AC359=1,'Debt Tracker'!$P$22&gt;0.01,INDEX('Debt Tracker'!$T$5:$AE$29,18,AC359-1)&gt;0.01))*('Recurring Items'!$H$25&lt;&gt;"Skip")*(DAY(AB359)='Recurring Items'!$F$25)*IFERROR(N('Recurring Items'!$D$25),0)+(IF(AC359=1,'Debt Tracker'!$P$23&gt;0.01,INDEX('Debt Tracker'!$T$5:$AE$29,19,AC359-1)&gt;0.01))*('Recurring Items'!$H$26&lt;&gt;"Skip")*(DAY(AB359)='Recurring Items'!$F$26)*IFERROR(N('Recurring Items'!$D$26),0)+(IF(AC359=1,'Debt Tracker'!$P$24&gt;0.01,INDEX('Debt Tracker'!$T$5:$AE$29,20,AC359-1)&gt;0.01))*('Recurring Items'!$H$27&lt;&gt;"Skip")*(DAY(AB359)='Recurring Items'!$F$27)*IFERROR(N('Recurring Items'!$D$27),0)+(IF(AC359=1,'Debt Tracker'!$P$25&gt;0.01,INDEX('Debt Tracker'!$T$5:$AE$29,21,AC359-1)&gt;0.01))*('Recurring Items'!$H$28&lt;&gt;"Skip")*(DAY(AB359)='Recurring Items'!$F$28)*IFERROR(N('Recurring Items'!$D$28),0)+(IF(AC359=1,'Debt Tracker'!$P$26&gt;0.01,INDEX('Debt Tracker'!$T$5:$AE$29,22,AC359-1)&gt;0.01))*('Recurring Items'!$H$29&lt;&gt;"Skip")*(DAY(AB359)='Recurring Items'!$F$29)*IFERROR(N('Recurring Items'!$D$29),0)+(IF(AC359=1,'Debt Tracker'!$P$27&gt;0.01,INDEX('Debt Tracker'!$T$5:$AE$29,23,AC359-1)&gt;0.01))*('Recurring Items'!$H$30&lt;&gt;"Skip")*(DAY(AB359)='Recurring Items'!$F$30)*IFERROR(N('Recurring Items'!$D$30),0)+(IF(AC359=1,'Debt Tracker'!$P$28&gt;0.01,INDEX('Debt Tracker'!$T$5:$AE$29,24,AC359-1)&gt;0.01))*('Recurring Items'!$H$31&lt;&gt;"Skip")*(DAY(AB359)='Recurring Items'!$F$31)*IFERROR(N('Recurring Items'!$D$31),0)+(IF(AC359=1,'Debt Tracker'!$P$29&gt;0.01,INDEX('Debt Tracker'!$T$5:$AE$29,25,AC359-1)&gt;0.01))*('Recurring Items'!$H$32&lt;&gt;"Skip")*(DAY(AB359)='Recurring Items'!$F$32)*IFERROR(N('Recurring Items'!$D$32),0)</f>
        <v>8.25</v>
      </c>
      <c r="AG359" s="1" t="n">
        <f aca="false">AD359-AE359-AF359</f>
        <v>-681.05</v>
      </c>
      <c r="AH359" s="1" t="n">
        <f aca="false">AH358+AG359</f>
        <v>9846.04</v>
      </c>
    </row>
    <row r="360" customFormat="false" ht="15" hidden="false" customHeight="true" outlineLevel="0" collapsed="false">
      <c r="AA360" s="1" t="n">
        <v>160</v>
      </c>
      <c r="AB360" s="145" t="n">
        <f aca="false">$D$3+160</f>
        <v>46303</v>
      </c>
      <c r="AC360" s="1" t="n">
        <f aca="false">MIN(12,1+DATEDIF($D$3,AB360,"M"))</f>
        <v>6</v>
      </c>
      <c r="AD360" s="1" t="n">
        <f aca="false">SUMPRODUCT(('Recurring Items'!$C$6:$C$56="Income")*('Recurring Items'!$H$6:$H$56&lt;&gt;"Skip")*IFERROR(N('Recurring Items'!$D$6:$D$56),0)*(('Recurring Items'!$E$6:$E$56="Monthly")*(DAY(AB360)='Recurring Items'!$F$6:$F$56)+('Recurring Items'!$E$6:$E$56="Bi-weekly")*(WEEKDAY(AB360)=IFERROR(WEEKDAY('Recurring Items'!$G$6:$G$56),0))*(MOD(AB360-IFERROR('Recurring Items'!$G$6:$G$56,0),14)=0)*(AB360&gt;=IFERROR('Recurring Items'!$G$6:$G$56,9000000000))+('Recurring Items'!$E$6:$E$56="Weekly")*(WEEKDAY(AB360)=IFERROR(WEEKDAY('Recurring Items'!$G$6:$G$56),0))*(AB360&gt;=IFERROR('Recurring Items'!$G$6:$G$56,9000000000))+('Recurring Items'!$E$6:$E$56="One-time")*(AB360='Recurring Items'!$G$6:$G$56)))</f>
        <v>2274.42</v>
      </c>
      <c r="AE360" s="1" t="n">
        <f aca="false">SUMPRODUCT(('Recurring Items'!$C$6:$C$56="Expense")*('Recurring Items'!$H$6:$H$56&lt;&gt;"Skip")*IFERROR(N('Recurring Items'!$D$6:$D$56),0)*(('Recurring Items'!$E$6:$E$56="Monthly")*(DAY(AB360)='Recurring Items'!$F$6:$F$56)+('Recurring Items'!$E$6:$E$56="Bi-weekly")*(WEEKDAY(AB360)=IFERROR(WEEKDAY('Recurring Items'!$G$6:$G$56),0))*(MOD(AB360-IFERROR('Recurring Items'!$G$6:$G$56,0),14)=0)*(AB360&gt;=IFERROR('Recurring Items'!$G$6:$G$56,9000000000))+('Recurring Items'!$E$6:$E$56="Weekly")*(WEEKDAY(AB360)=IFERROR(WEEKDAY('Recurring Items'!$G$6:$G$56),0))*(AB360&gt;=IFERROR('Recurring Items'!$G$6:$G$56,9000000000))+('Recurring Items'!$E$6:$E$56="One-time")*(AB360='Recurring Items'!$G$6:$G$56)))</f>
        <v>53.85</v>
      </c>
      <c r="AF360" s="1" t="n">
        <f aca="false">(IF(AC360=1,'Debt Tracker'!$P$5&gt;0.01,INDEX('Debt Tracker'!$T$5:$AE$29,1,AC360-1)&gt;0.01))*('Recurring Items'!$H$8&lt;&gt;"Skip")*(DAY(AB360)='Recurring Items'!$F$8)*IFERROR(N('Recurring Items'!$D$8),0)+(IF(AC360=1,'Debt Tracker'!$P$6&gt;0.01,INDEX('Debt Tracker'!$T$5:$AE$29,2,AC360-1)&gt;0.01))*('Recurring Items'!$H$9&lt;&gt;"Skip")*(DAY(AB360)='Recurring Items'!$F$9)*IFERROR(N('Recurring Items'!$D$9),0)+(IF(AC360=1,'Debt Tracker'!$P$7&gt;0.01,INDEX('Debt Tracker'!$T$5:$AE$29,3,AC360-1)&gt;0.01))*('Recurring Items'!$H$10&lt;&gt;"Skip")*(DAY(AB360)='Recurring Items'!$F$10)*IFERROR(N('Recurring Items'!$D$10),0)+(IF(AC360=1,'Debt Tracker'!$P$8&gt;0.01,INDEX('Debt Tracker'!$T$5:$AE$29,4,AC360-1)&gt;0.01))*('Recurring Items'!$H$11&lt;&gt;"Skip")*(DAY(AB360)='Recurring Items'!$F$11)*IFERROR(N('Recurring Items'!$D$11),0)+(IF(AC360=1,'Debt Tracker'!$P$9&gt;0.01,INDEX('Debt Tracker'!$T$5:$AE$29,5,AC360-1)&gt;0.01))*('Recurring Items'!$H$12&lt;&gt;"Skip")*(DAY(AB360)='Recurring Items'!$F$12)*IFERROR(N('Recurring Items'!$D$12),0)+(IF(AC360=1,'Debt Tracker'!$P$10&gt;0.01,INDEX('Debt Tracker'!$T$5:$AE$29,6,AC360-1)&gt;0.01))*('Recurring Items'!$H$13&lt;&gt;"Skip")*(DAY(AB360)='Recurring Items'!$F$13)*IFERROR(N('Recurring Items'!$D$13),0)+(IF(AC360=1,'Debt Tracker'!$P$11&gt;0.01,INDEX('Debt Tracker'!$T$5:$AE$29,7,AC360-1)&gt;0.01))*('Recurring Items'!$H$14&lt;&gt;"Skip")*(DAY(AB360)='Recurring Items'!$F$14)*IFERROR(N('Recurring Items'!$D$14),0)+(IF(AC360=1,'Debt Tracker'!$P$12&gt;0.01,INDEX('Debt Tracker'!$T$5:$AE$29,8,AC360-1)&gt;0.01))*('Recurring Items'!$H$15&lt;&gt;"Skip")*(DAY(AB360)='Recurring Items'!$F$15)*IFERROR(N('Recurring Items'!$D$15),0)+(IF(AC360=1,'Debt Tracker'!$P$13&gt;0.01,INDEX('Debt Tracker'!$T$5:$AE$29,9,AC360-1)&gt;0.01))*('Recurring Items'!$H$16&lt;&gt;"Skip")*(DAY(AB360)='Recurring Items'!$F$16)*IFERROR(N('Recurring Items'!$D$16),0)+(IF(AC360=1,'Debt Tracker'!$P$14&gt;0.01,INDEX('Debt Tracker'!$T$5:$AE$29,10,AC360-1)&gt;0.01))*('Recurring Items'!$H$17&lt;&gt;"Skip")*(DAY(AB360)='Recurring Items'!$F$17)*IFERROR(N('Recurring Items'!$D$17),0)+(IF(AC360=1,'Debt Tracker'!$P$15&gt;0.01,INDEX('Debt Tracker'!$T$5:$AE$29,11,AC360-1)&gt;0.01))*('Recurring Items'!$H$18&lt;&gt;"Skip")*(DAY(AB360)='Recurring Items'!$F$18)*IFERROR(N('Recurring Items'!$D$18),0)+(IF(AC360=1,'Debt Tracker'!$P$16&gt;0.01,INDEX('Debt Tracker'!$T$5:$AE$29,12,AC360-1)&gt;0.01))*('Recurring Items'!$H$19&lt;&gt;"Skip")*(DAY(AB360)='Recurring Items'!$F$19)*IFERROR(N('Recurring Items'!$D$19),0)+(IF(AC360=1,'Debt Tracker'!$P$17&gt;0.01,INDEX('Debt Tracker'!$T$5:$AE$29,13,AC360-1)&gt;0.01))*('Recurring Items'!$H$20&lt;&gt;"Skip")*(DAY(AB360)='Recurring Items'!$F$20)*IFERROR(N('Recurring Items'!$D$20),0)+(IF(AC360=1,'Debt Tracker'!$P$18&gt;0.01,INDEX('Debt Tracker'!$T$5:$AE$29,14,AC360-1)&gt;0.01))*('Recurring Items'!$H$21&lt;&gt;"Skip")*(DAY(AB360)='Recurring Items'!$F$21)*IFERROR(N('Recurring Items'!$D$21),0)+(IF(AC360=1,'Debt Tracker'!$P$19&gt;0.01,INDEX('Debt Tracker'!$T$5:$AE$29,15,AC360-1)&gt;0.01))*('Recurring Items'!$H$22&lt;&gt;"Skip")*(DAY(AB360)='Recurring Items'!$F$22)*IFERROR(N('Recurring Items'!$D$22),0)+(IF(AC360=1,'Debt Tracker'!$P$20&gt;0.01,INDEX('Debt Tracker'!$T$5:$AE$29,16,AC360-1)&gt;0.01))*('Recurring Items'!$H$23&lt;&gt;"Skip")*(DAY(AB360)='Recurring Items'!$F$23)*IFERROR(N('Recurring Items'!$D$23),0)+(IF(AC360=1,'Debt Tracker'!$P$21&gt;0.01,INDEX('Debt Tracker'!$T$5:$AE$29,17,AC360-1)&gt;0.01))*('Recurring Items'!$H$24&lt;&gt;"Skip")*(DAY(AB360)='Recurring Items'!$F$24)*IFERROR(N('Recurring Items'!$D$24),0)+(IF(AC360=1,'Debt Tracker'!$P$22&gt;0.01,INDEX('Debt Tracker'!$T$5:$AE$29,18,AC360-1)&gt;0.01))*('Recurring Items'!$H$25&lt;&gt;"Skip")*(DAY(AB360)='Recurring Items'!$F$25)*IFERROR(N('Recurring Items'!$D$25),0)+(IF(AC360=1,'Debt Tracker'!$P$23&gt;0.01,INDEX('Debt Tracker'!$T$5:$AE$29,19,AC360-1)&gt;0.01))*('Recurring Items'!$H$26&lt;&gt;"Skip")*(DAY(AB360)='Recurring Items'!$F$26)*IFERROR(N('Recurring Items'!$D$26),0)+(IF(AC360=1,'Debt Tracker'!$P$24&gt;0.01,INDEX('Debt Tracker'!$T$5:$AE$29,20,AC360-1)&gt;0.01))*('Recurring Items'!$H$27&lt;&gt;"Skip")*(DAY(AB360)='Recurring Items'!$F$27)*IFERROR(N('Recurring Items'!$D$27),0)+(IF(AC360=1,'Debt Tracker'!$P$25&gt;0.01,INDEX('Debt Tracker'!$T$5:$AE$29,21,AC360-1)&gt;0.01))*('Recurring Items'!$H$28&lt;&gt;"Skip")*(DAY(AB360)='Recurring Items'!$F$28)*IFERROR(N('Recurring Items'!$D$28),0)+(IF(AC360=1,'Debt Tracker'!$P$26&gt;0.01,INDEX('Debt Tracker'!$T$5:$AE$29,22,AC360-1)&gt;0.01))*('Recurring Items'!$H$29&lt;&gt;"Skip")*(DAY(AB360)='Recurring Items'!$F$29)*IFERROR(N('Recurring Items'!$D$29),0)+(IF(AC360=1,'Debt Tracker'!$P$27&gt;0.01,INDEX('Debt Tracker'!$T$5:$AE$29,23,AC360-1)&gt;0.01))*('Recurring Items'!$H$30&lt;&gt;"Skip")*(DAY(AB360)='Recurring Items'!$F$30)*IFERROR(N('Recurring Items'!$D$30),0)+(IF(AC360=1,'Debt Tracker'!$P$28&gt;0.01,INDEX('Debt Tracker'!$T$5:$AE$29,24,AC360-1)&gt;0.01))*('Recurring Items'!$H$31&lt;&gt;"Skip")*(DAY(AB360)='Recurring Items'!$F$31)*IFERROR(N('Recurring Items'!$D$31),0)+(IF(AC360=1,'Debt Tracker'!$P$29&gt;0.01,INDEX('Debt Tracker'!$T$5:$AE$29,25,AC360-1)&gt;0.01))*('Recurring Items'!$H$32&lt;&gt;"Skip")*(DAY(AB360)='Recurring Items'!$F$32)*IFERROR(N('Recurring Items'!$D$32),0)</f>
        <v>0</v>
      </c>
      <c r="AG360" s="1" t="n">
        <f aca="false">AD360-AE360-AF360</f>
        <v>2220.57</v>
      </c>
      <c r="AH360" s="1" t="n">
        <f aca="false">AH359+AG360</f>
        <v>12066.61</v>
      </c>
    </row>
    <row r="361" customFormat="false" ht="15" hidden="false" customHeight="true" outlineLevel="0" collapsed="false">
      <c r="AA361" s="1" t="n">
        <v>161</v>
      </c>
      <c r="AB361" s="145" t="n">
        <f aca="false">$D$3+161</f>
        <v>46304</v>
      </c>
      <c r="AC361" s="1" t="n">
        <f aca="false">MIN(12,1+DATEDIF($D$3,AB361,"M"))</f>
        <v>6</v>
      </c>
      <c r="AD361" s="1" t="n">
        <f aca="false">SUMPRODUCT(('Recurring Items'!$C$6:$C$56="Income")*('Recurring Items'!$H$6:$H$56&lt;&gt;"Skip")*IFERROR(N('Recurring Items'!$D$6:$D$56),0)*(('Recurring Items'!$E$6:$E$56="Monthly")*(DAY(AB361)='Recurring Items'!$F$6:$F$56)+('Recurring Items'!$E$6:$E$56="Bi-weekly")*(WEEKDAY(AB361)=IFERROR(WEEKDAY('Recurring Items'!$G$6:$G$56),0))*(MOD(AB361-IFERROR('Recurring Items'!$G$6:$G$56,0),14)=0)*(AB361&gt;=IFERROR('Recurring Items'!$G$6:$G$56,9000000000))+('Recurring Items'!$E$6:$E$56="Weekly")*(WEEKDAY(AB361)=IFERROR(WEEKDAY('Recurring Items'!$G$6:$G$56),0))*(AB361&gt;=IFERROR('Recurring Items'!$G$6:$G$56,9000000000))+('Recurring Items'!$E$6:$E$56="One-time")*(AB361='Recurring Items'!$G$6:$G$56)))</f>
        <v>0</v>
      </c>
      <c r="AE361" s="1" t="n">
        <f aca="false">SUMPRODUCT(('Recurring Items'!$C$6:$C$56="Expense")*('Recurring Items'!$H$6:$H$56&lt;&gt;"Skip")*IFERROR(N('Recurring Items'!$D$6:$D$56),0)*(('Recurring Items'!$E$6:$E$56="Monthly")*(DAY(AB361)='Recurring Items'!$F$6:$F$56)+('Recurring Items'!$E$6:$E$56="Bi-weekly")*(WEEKDAY(AB361)=IFERROR(WEEKDAY('Recurring Items'!$G$6:$G$56),0))*(MOD(AB361-IFERROR('Recurring Items'!$G$6:$G$56,0),14)=0)*(AB361&gt;=IFERROR('Recurring Items'!$G$6:$G$56,9000000000))+('Recurring Items'!$E$6:$E$56="Weekly")*(WEEKDAY(AB361)=IFERROR(WEEKDAY('Recurring Items'!$G$6:$G$56),0))*(AB361&gt;=IFERROR('Recurring Items'!$G$6:$G$56,9000000000))+('Recurring Items'!$E$6:$E$56="One-time")*(AB361='Recurring Items'!$G$6:$G$56)))</f>
        <v>460</v>
      </c>
      <c r="AF361" s="1" t="n">
        <f aca="false">(IF(AC361=1,'Debt Tracker'!$P$5&gt;0.01,INDEX('Debt Tracker'!$T$5:$AE$29,1,AC361-1)&gt;0.01))*('Recurring Items'!$H$8&lt;&gt;"Skip")*(DAY(AB361)='Recurring Items'!$F$8)*IFERROR(N('Recurring Items'!$D$8),0)+(IF(AC361=1,'Debt Tracker'!$P$6&gt;0.01,INDEX('Debt Tracker'!$T$5:$AE$29,2,AC361-1)&gt;0.01))*('Recurring Items'!$H$9&lt;&gt;"Skip")*(DAY(AB361)='Recurring Items'!$F$9)*IFERROR(N('Recurring Items'!$D$9),0)+(IF(AC361=1,'Debt Tracker'!$P$7&gt;0.01,INDEX('Debt Tracker'!$T$5:$AE$29,3,AC361-1)&gt;0.01))*('Recurring Items'!$H$10&lt;&gt;"Skip")*(DAY(AB361)='Recurring Items'!$F$10)*IFERROR(N('Recurring Items'!$D$10),0)+(IF(AC361=1,'Debt Tracker'!$P$8&gt;0.01,INDEX('Debt Tracker'!$T$5:$AE$29,4,AC361-1)&gt;0.01))*('Recurring Items'!$H$11&lt;&gt;"Skip")*(DAY(AB361)='Recurring Items'!$F$11)*IFERROR(N('Recurring Items'!$D$11),0)+(IF(AC361=1,'Debt Tracker'!$P$9&gt;0.01,INDEX('Debt Tracker'!$T$5:$AE$29,5,AC361-1)&gt;0.01))*('Recurring Items'!$H$12&lt;&gt;"Skip")*(DAY(AB361)='Recurring Items'!$F$12)*IFERROR(N('Recurring Items'!$D$12),0)+(IF(AC361=1,'Debt Tracker'!$P$10&gt;0.01,INDEX('Debt Tracker'!$T$5:$AE$29,6,AC361-1)&gt;0.01))*('Recurring Items'!$H$13&lt;&gt;"Skip")*(DAY(AB361)='Recurring Items'!$F$13)*IFERROR(N('Recurring Items'!$D$13),0)+(IF(AC361=1,'Debt Tracker'!$P$11&gt;0.01,INDEX('Debt Tracker'!$T$5:$AE$29,7,AC361-1)&gt;0.01))*('Recurring Items'!$H$14&lt;&gt;"Skip")*(DAY(AB361)='Recurring Items'!$F$14)*IFERROR(N('Recurring Items'!$D$14),0)+(IF(AC361=1,'Debt Tracker'!$P$12&gt;0.01,INDEX('Debt Tracker'!$T$5:$AE$29,8,AC361-1)&gt;0.01))*('Recurring Items'!$H$15&lt;&gt;"Skip")*(DAY(AB361)='Recurring Items'!$F$15)*IFERROR(N('Recurring Items'!$D$15),0)+(IF(AC361=1,'Debt Tracker'!$P$13&gt;0.01,INDEX('Debt Tracker'!$T$5:$AE$29,9,AC361-1)&gt;0.01))*('Recurring Items'!$H$16&lt;&gt;"Skip")*(DAY(AB361)='Recurring Items'!$F$16)*IFERROR(N('Recurring Items'!$D$16),0)+(IF(AC361=1,'Debt Tracker'!$P$14&gt;0.01,INDEX('Debt Tracker'!$T$5:$AE$29,10,AC361-1)&gt;0.01))*('Recurring Items'!$H$17&lt;&gt;"Skip")*(DAY(AB361)='Recurring Items'!$F$17)*IFERROR(N('Recurring Items'!$D$17),0)+(IF(AC361=1,'Debt Tracker'!$P$15&gt;0.01,INDEX('Debt Tracker'!$T$5:$AE$29,11,AC361-1)&gt;0.01))*('Recurring Items'!$H$18&lt;&gt;"Skip")*(DAY(AB361)='Recurring Items'!$F$18)*IFERROR(N('Recurring Items'!$D$18),0)+(IF(AC361=1,'Debt Tracker'!$P$16&gt;0.01,INDEX('Debt Tracker'!$T$5:$AE$29,12,AC361-1)&gt;0.01))*('Recurring Items'!$H$19&lt;&gt;"Skip")*(DAY(AB361)='Recurring Items'!$F$19)*IFERROR(N('Recurring Items'!$D$19),0)+(IF(AC361=1,'Debt Tracker'!$P$17&gt;0.01,INDEX('Debt Tracker'!$T$5:$AE$29,13,AC361-1)&gt;0.01))*('Recurring Items'!$H$20&lt;&gt;"Skip")*(DAY(AB361)='Recurring Items'!$F$20)*IFERROR(N('Recurring Items'!$D$20),0)+(IF(AC361=1,'Debt Tracker'!$P$18&gt;0.01,INDEX('Debt Tracker'!$T$5:$AE$29,14,AC361-1)&gt;0.01))*('Recurring Items'!$H$21&lt;&gt;"Skip")*(DAY(AB361)='Recurring Items'!$F$21)*IFERROR(N('Recurring Items'!$D$21),0)+(IF(AC361=1,'Debt Tracker'!$P$19&gt;0.01,INDEX('Debt Tracker'!$T$5:$AE$29,15,AC361-1)&gt;0.01))*('Recurring Items'!$H$22&lt;&gt;"Skip")*(DAY(AB361)='Recurring Items'!$F$22)*IFERROR(N('Recurring Items'!$D$22),0)+(IF(AC361=1,'Debt Tracker'!$P$20&gt;0.01,INDEX('Debt Tracker'!$T$5:$AE$29,16,AC361-1)&gt;0.01))*('Recurring Items'!$H$23&lt;&gt;"Skip")*(DAY(AB361)='Recurring Items'!$F$23)*IFERROR(N('Recurring Items'!$D$23),0)+(IF(AC361=1,'Debt Tracker'!$P$21&gt;0.01,INDEX('Debt Tracker'!$T$5:$AE$29,17,AC361-1)&gt;0.01))*('Recurring Items'!$H$24&lt;&gt;"Skip")*(DAY(AB361)='Recurring Items'!$F$24)*IFERROR(N('Recurring Items'!$D$24),0)+(IF(AC361=1,'Debt Tracker'!$P$22&gt;0.01,INDEX('Debt Tracker'!$T$5:$AE$29,18,AC361-1)&gt;0.01))*('Recurring Items'!$H$25&lt;&gt;"Skip")*(DAY(AB361)='Recurring Items'!$F$25)*IFERROR(N('Recurring Items'!$D$25),0)+(IF(AC361=1,'Debt Tracker'!$P$23&gt;0.01,INDEX('Debt Tracker'!$T$5:$AE$29,19,AC361-1)&gt;0.01))*('Recurring Items'!$H$26&lt;&gt;"Skip")*(DAY(AB361)='Recurring Items'!$F$26)*IFERROR(N('Recurring Items'!$D$26),0)+(IF(AC361=1,'Debt Tracker'!$P$24&gt;0.01,INDEX('Debt Tracker'!$T$5:$AE$29,20,AC361-1)&gt;0.01))*('Recurring Items'!$H$27&lt;&gt;"Skip")*(DAY(AB361)='Recurring Items'!$F$27)*IFERROR(N('Recurring Items'!$D$27),0)+(IF(AC361=1,'Debt Tracker'!$P$25&gt;0.01,INDEX('Debt Tracker'!$T$5:$AE$29,21,AC361-1)&gt;0.01))*('Recurring Items'!$H$28&lt;&gt;"Skip")*(DAY(AB361)='Recurring Items'!$F$28)*IFERROR(N('Recurring Items'!$D$28),0)+(IF(AC361=1,'Debt Tracker'!$P$26&gt;0.01,INDEX('Debt Tracker'!$T$5:$AE$29,22,AC361-1)&gt;0.01))*('Recurring Items'!$H$29&lt;&gt;"Skip")*(DAY(AB361)='Recurring Items'!$F$29)*IFERROR(N('Recurring Items'!$D$29),0)+(IF(AC361=1,'Debt Tracker'!$P$27&gt;0.01,INDEX('Debt Tracker'!$T$5:$AE$29,23,AC361-1)&gt;0.01))*('Recurring Items'!$H$30&lt;&gt;"Skip")*(DAY(AB361)='Recurring Items'!$F$30)*IFERROR(N('Recurring Items'!$D$30),0)+(IF(AC361=1,'Debt Tracker'!$P$28&gt;0.01,INDEX('Debt Tracker'!$T$5:$AE$29,24,AC361-1)&gt;0.01))*('Recurring Items'!$H$31&lt;&gt;"Skip")*(DAY(AB361)='Recurring Items'!$F$31)*IFERROR(N('Recurring Items'!$D$31),0)+(IF(AC361=1,'Debt Tracker'!$P$29&gt;0.01,INDEX('Debt Tracker'!$T$5:$AE$29,25,AC361-1)&gt;0.01))*('Recurring Items'!$H$32&lt;&gt;"Skip")*(DAY(AB361)='Recurring Items'!$F$32)*IFERROR(N('Recurring Items'!$D$32),0)</f>
        <v>0</v>
      </c>
      <c r="AG361" s="1" t="n">
        <f aca="false">AD361-AE361-AF361</f>
        <v>-460</v>
      </c>
      <c r="AH361" s="1" t="n">
        <f aca="false">AH360+AG361</f>
        <v>11606.61</v>
      </c>
    </row>
    <row r="362" customFormat="false" ht="15" hidden="false" customHeight="true" outlineLevel="0" collapsed="false">
      <c r="AA362" s="1" t="n">
        <v>162</v>
      </c>
      <c r="AB362" s="145" t="n">
        <f aca="false">$D$3+162</f>
        <v>46305</v>
      </c>
      <c r="AC362" s="1" t="n">
        <f aca="false">MIN(12,1+DATEDIF($D$3,AB362,"M"))</f>
        <v>6</v>
      </c>
      <c r="AD362" s="1" t="n">
        <f aca="false">SUMPRODUCT(('Recurring Items'!$C$6:$C$56="Income")*('Recurring Items'!$H$6:$H$56&lt;&gt;"Skip")*IFERROR(N('Recurring Items'!$D$6:$D$56),0)*(('Recurring Items'!$E$6:$E$56="Monthly")*(DAY(AB362)='Recurring Items'!$F$6:$F$56)+('Recurring Items'!$E$6:$E$56="Bi-weekly")*(WEEKDAY(AB362)=IFERROR(WEEKDAY('Recurring Items'!$G$6:$G$56),0))*(MOD(AB362-IFERROR('Recurring Items'!$G$6:$G$56,0),14)=0)*(AB362&gt;=IFERROR('Recurring Items'!$G$6:$G$56,9000000000))+('Recurring Items'!$E$6:$E$56="Weekly")*(WEEKDAY(AB362)=IFERROR(WEEKDAY('Recurring Items'!$G$6:$G$56),0))*(AB362&gt;=IFERROR('Recurring Items'!$G$6:$G$56,9000000000))+('Recurring Items'!$E$6:$E$56="One-time")*(AB362='Recurring Items'!$G$6:$G$56)))</f>
        <v>0</v>
      </c>
      <c r="AE362" s="1" t="n">
        <f aca="false">SUMPRODUCT(('Recurring Items'!$C$6:$C$56="Expense")*('Recurring Items'!$H$6:$H$56&lt;&gt;"Skip")*IFERROR(N('Recurring Items'!$D$6:$D$56),0)*(('Recurring Items'!$E$6:$E$56="Monthly")*(DAY(AB362)='Recurring Items'!$F$6:$F$56)+('Recurring Items'!$E$6:$E$56="Bi-weekly")*(WEEKDAY(AB362)=IFERROR(WEEKDAY('Recurring Items'!$G$6:$G$56),0))*(MOD(AB362-IFERROR('Recurring Items'!$G$6:$G$56,0),14)=0)*(AB362&gt;=IFERROR('Recurring Items'!$G$6:$G$56,9000000000))+('Recurring Items'!$E$6:$E$56="Weekly")*(WEEKDAY(AB362)=IFERROR(WEEKDAY('Recurring Items'!$G$6:$G$56),0))*(AB362&gt;=IFERROR('Recurring Items'!$G$6:$G$56,9000000000))+('Recurring Items'!$E$6:$E$56="One-time")*(AB362='Recurring Items'!$G$6:$G$56)))</f>
        <v>340.22</v>
      </c>
      <c r="AF362" s="1" t="n">
        <f aca="false">(IF(AC362=1,'Debt Tracker'!$P$5&gt;0.01,INDEX('Debt Tracker'!$T$5:$AE$29,1,AC362-1)&gt;0.01))*('Recurring Items'!$H$8&lt;&gt;"Skip")*(DAY(AB362)='Recurring Items'!$F$8)*IFERROR(N('Recurring Items'!$D$8),0)+(IF(AC362=1,'Debt Tracker'!$P$6&gt;0.01,INDEX('Debt Tracker'!$T$5:$AE$29,2,AC362-1)&gt;0.01))*('Recurring Items'!$H$9&lt;&gt;"Skip")*(DAY(AB362)='Recurring Items'!$F$9)*IFERROR(N('Recurring Items'!$D$9),0)+(IF(AC362=1,'Debt Tracker'!$P$7&gt;0.01,INDEX('Debt Tracker'!$T$5:$AE$29,3,AC362-1)&gt;0.01))*('Recurring Items'!$H$10&lt;&gt;"Skip")*(DAY(AB362)='Recurring Items'!$F$10)*IFERROR(N('Recurring Items'!$D$10),0)+(IF(AC362=1,'Debt Tracker'!$P$8&gt;0.01,INDEX('Debt Tracker'!$T$5:$AE$29,4,AC362-1)&gt;0.01))*('Recurring Items'!$H$11&lt;&gt;"Skip")*(DAY(AB362)='Recurring Items'!$F$11)*IFERROR(N('Recurring Items'!$D$11),0)+(IF(AC362=1,'Debt Tracker'!$P$9&gt;0.01,INDEX('Debt Tracker'!$T$5:$AE$29,5,AC362-1)&gt;0.01))*('Recurring Items'!$H$12&lt;&gt;"Skip")*(DAY(AB362)='Recurring Items'!$F$12)*IFERROR(N('Recurring Items'!$D$12),0)+(IF(AC362=1,'Debt Tracker'!$P$10&gt;0.01,INDEX('Debt Tracker'!$T$5:$AE$29,6,AC362-1)&gt;0.01))*('Recurring Items'!$H$13&lt;&gt;"Skip")*(DAY(AB362)='Recurring Items'!$F$13)*IFERROR(N('Recurring Items'!$D$13),0)+(IF(AC362=1,'Debt Tracker'!$P$11&gt;0.01,INDEX('Debt Tracker'!$T$5:$AE$29,7,AC362-1)&gt;0.01))*('Recurring Items'!$H$14&lt;&gt;"Skip")*(DAY(AB362)='Recurring Items'!$F$14)*IFERROR(N('Recurring Items'!$D$14),0)+(IF(AC362=1,'Debt Tracker'!$P$12&gt;0.01,INDEX('Debt Tracker'!$T$5:$AE$29,8,AC362-1)&gt;0.01))*('Recurring Items'!$H$15&lt;&gt;"Skip")*(DAY(AB362)='Recurring Items'!$F$15)*IFERROR(N('Recurring Items'!$D$15),0)+(IF(AC362=1,'Debt Tracker'!$P$13&gt;0.01,INDEX('Debt Tracker'!$T$5:$AE$29,9,AC362-1)&gt;0.01))*('Recurring Items'!$H$16&lt;&gt;"Skip")*(DAY(AB362)='Recurring Items'!$F$16)*IFERROR(N('Recurring Items'!$D$16),0)+(IF(AC362=1,'Debt Tracker'!$P$14&gt;0.01,INDEX('Debt Tracker'!$T$5:$AE$29,10,AC362-1)&gt;0.01))*('Recurring Items'!$H$17&lt;&gt;"Skip")*(DAY(AB362)='Recurring Items'!$F$17)*IFERROR(N('Recurring Items'!$D$17),0)+(IF(AC362=1,'Debt Tracker'!$P$15&gt;0.01,INDEX('Debt Tracker'!$T$5:$AE$29,11,AC362-1)&gt;0.01))*('Recurring Items'!$H$18&lt;&gt;"Skip")*(DAY(AB362)='Recurring Items'!$F$18)*IFERROR(N('Recurring Items'!$D$18),0)+(IF(AC362=1,'Debt Tracker'!$P$16&gt;0.01,INDEX('Debt Tracker'!$T$5:$AE$29,12,AC362-1)&gt;0.01))*('Recurring Items'!$H$19&lt;&gt;"Skip")*(DAY(AB362)='Recurring Items'!$F$19)*IFERROR(N('Recurring Items'!$D$19),0)+(IF(AC362=1,'Debt Tracker'!$P$17&gt;0.01,INDEX('Debt Tracker'!$T$5:$AE$29,13,AC362-1)&gt;0.01))*('Recurring Items'!$H$20&lt;&gt;"Skip")*(DAY(AB362)='Recurring Items'!$F$20)*IFERROR(N('Recurring Items'!$D$20),0)+(IF(AC362=1,'Debt Tracker'!$P$18&gt;0.01,INDEX('Debt Tracker'!$T$5:$AE$29,14,AC362-1)&gt;0.01))*('Recurring Items'!$H$21&lt;&gt;"Skip")*(DAY(AB362)='Recurring Items'!$F$21)*IFERROR(N('Recurring Items'!$D$21),0)+(IF(AC362=1,'Debt Tracker'!$P$19&gt;0.01,INDEX('Debt Tracker'!$T$5:$AE$29,15,AC362-1)&gt;0.01))*('Recurring Items'!$H$22&lt;&gt;"Skip")*(DAY(AB362)='Recurring Items'!$F$22)*IFERROR(N('Recurring Items'!$D$22),0)+(IF(AC362=1,'Debt Tracker'!$P$20&gt;0.01,INDEX('Debt Tracker'!$T$5:$AE$29,16,AC362-1)&gt;0.01))*('Recurring Items'!$H$23&lt;&gt;"Skip")*(DAY(AB362)='Recurring Items'!$F$23)*IFERROR(N('Recurring Items'!$D$23),0)+(IF(AC362=1,'Debt Tracker'!$P$21&gt;0.01,INDEX('Debt Tracker'!$T$5:$AE$29,17,AC362-1)&gt;0.01))*('Recurring Items'!$H$24&lt;&gt;"Skip")*(DAY(AB362)='Recurring Items'!$F$24)*IFERROR(N('Recurring Items'!$D$24),0)+(IF(AC362=1,'Debt Tracker'!$P$22&gt;0.01,INDEX('Debt Tracker'!$T$5:$AE$29,18,AC362-1)&gt;0.01))*('Recurring Items'!$H$25&lt;&gt;"Skip")*(DAY(AB362)='Recurring Items'!$F$25)*IFERROR(N('Recurring Items'!$D$25),0)+(IF(AC362=1,'Debt Tracker'!$P$23&gt;0.01,INDEX('Debt Tracker'!$T$5:$AE$29,19,AC362-1)&gt;0.01))*('Recurring Items'!$H$26&lt;&gt;"Skip")*(DAY(AB362)='Recurring Items'!$F$26)*IFERROR(N('Recurring Items'!$D$26),0)+(IF(AC362=1,'Debt Tracker'!$P$24&gt;0.01,INDEX('Debt Tracker'!$T$5:$AE$29,20,AC362-1)&gt;0.01))*('Recurring Items'!$H$27&lt;&gt;"Skip")*(DAY(AB362)='Recurring Items'!$F$27)*IFERROR(N('Recurring Items'!$D$27),0)+(IF(AC362=1,'Debt Tracker'!$P$25&gt;0.01,INDEX('Debt Tracker'!$T$5:$AE$29,21,AC362-1)&gt;0.01))*('Recurring Items'!$H$28&lt;&gt;"Skip")*(DAY(AB362)='Recurring Items'!$F$28)*IFERROR(N('Recurring Items'!$D$28),0)+(IF(AC362=1,'Debt Tracker'!$P$26&gt;0.01,INDEX('Debt Tracker'!$T$5:$AE$29,22,AC362-1)&gt;0.01))*('Recurring Items'!$H$29&lt;&gt;"Skip")*(DAY(AB362)='Recurring Items'!$F$29)*IFERROR(N('Recurring Items'!$D$29),0)+(IF(AC362=1,'Debt Tracker'!$P$27&gt;0.01,INDEX('Debt Tracker'!$T$5:$AE$29,23,AC362-1)&gt;0.01))*('Recurring Items'!$H$30&lt;&gt;"Skip")*(DAY(AB362)='Recurring Items'!$F$30)*IFERROR(N('Recurring Items'!$D$30),0)+(IF(AC362=1,'Debt Tracker'!$P$28&gt;0.01,INDEX('Debt Tracker'!$T$5:$AE$29,24,AC362-1)&gt;0.01))*('Recurring Items'!$H$31&lt;&gt;"Skip")*(DAY(AB362)='Recurring Items'!$F$31)*IFERROR(N('Recurring Items'!$D$31),0)+(IF(AC362=1,'Debt Tracker'!$P$29&gt;0.01,INDEX('Debt Tracker'!$T$5:$AE$29,25,AC362-1)&gt;0.01))*('Recurring Items'!$H$32&lt;&gt;"Skip")*(DAY(AB362)='Recurring Items'!$F$32)*IFERROR(N('Recurring Items'!$D$32),0)</f>
        <v>72.54</v>
      </c>
      <c r="AG362" s="1" t="n">
        <f aca="false">AD362-AE362-AF362</f>
        <v>-412.76</v>
      </c>
      <c r="AH362" s="1" t="n">
        <f aca="false">AH361+AG362</f>
        <v>11193.85</v>
      </c>
    </row>
    <row r="363" customFormat="false" ht="15" hidden="false" customHeight="true" outlineLevel="0" collapsed="false">
      <c r="AA363" s="1" t="n">
        <v>163</v>
      </c>
      <c r="AB363" s="145" t="n">
        <f aca="false">$D$3+163</f>
        <v>46306</v>
      </c>
      <c r="AC363" s="1" t="n">
        <f aca="false">MIN(12,1+DATEDIF($D$3,AB363,"M"))</f>
        <v>6</v>
      </c>
      <c r="AD363" s="1" t="n">
        <f aca="false">SUMPRODUCT(('Recurring Items'!$C$6:$C$56="Income")*('Recurring Items'!$H$6:$H$56&lt;&gt;"Skip")*IFERROR(N('Recurring Items'!$D$6:$D$56),0)*(('Recurring Items'!$E$6:$E$56="Monthly")*(DAY(AB363)='Recurring Items'!$F$6:$F$56)+('Recurring Items'!$E$6:$E$56="Bi-weekly")*(WEEKDAY(AB363)=IFERROR(WEEKDAY('Recurring Items'!$G$6:$G$56),0))*(MOD(AB363-IFERROR('Recurring Items'!$G$6:$G$56,0),14)=0)*(AB363&gt;=IFERROR('Recurring Items'!$G$6:$G$56,9000000000))+('Recurring Items'!$E$6:$E$56="Weekly")*(WEEKDAY(AB363)=IFERROR(WEEKDAY('Recurring Items'!$G$6:$G$56),0))*(AB363&gt;=IFERROR('Recurring Items'!$G$6:$G$56,9000000000))+('Recurring Items'!$E$6:$E$56="One-time")*(AB363='Recurring Items'!$G$6:$G$56)))</f>
        <v>0</v>
      </c>
      <c r="AE363" s="1" t="n">
        <f aca="false">SUMPRODUCT(('Recurring Items'!$C$6:$C$56="Expense")*('Recurring Items'!$H$6:$H$56&lt;&gt;"Skip")*IFERROR(N('Recurring Items'!$D$6:$D$56),0)*(('Recurring Items'!$E$6:$E$56="Monthly")*(DAY(AB363)='Recurring Items'!$F$6:$F$56)+('Recurring Items'!$E$6:$E$56="Bi-weekly")*(WEEKDAY(AB363)=IFERROR(WEEKDAY('Recurring Items'!$G$6:$G$56),0))*(MOD(AB363-IFERROR('Recurring Items'!$G$6:$G$56,0),14)=0)*(AB363&gt;=IFERROR('Recurring Items'!$G$6:$G$56,9000000000))+('Recurring Items'!$E$6:$E$56="Weekly")*(WEEKDAY(AB363)=IFERROR(WEEKDAY('Recurring Items'!$G$6:$G$56),0))*(AB363&gt;=IFERROR('Recurring Items'!$G$6:$G$56,9000000000))+('Recurring Items'!$E$6:$E$56="One-time")*(AB363='Recurring Items'!$G$6:$G$56)))</f>
        <v>0</v>
      </c>
      <c r="AF363" s="1" t="n">
        <f aca="false">(IF(AC363=1,'Debt Tracker'!$P$5&gt;0.01,INDEX('Debt Tracker'!$T$5:$AE$29,1,AC363-1)&gt;0.01))*('Recurring Items'!$H$8&lt;&gt;"Skip")*(DAY(AB363)='Recurring Items'!$F$8)*IFERROR(N('Recurring Items'!$D$8),0)+(IF(AC363=1,'Debt Tracker'!$P$6&gt;0.01,INDEX('Debt Tracker'!$T$5:$AE$29,2,AC363-1)&gt;0.01))*('Recurring Items'!$H$9&lt;&gt;"Skip")*(DAY(AB363)='Recurring Items'!$F$9)*IFERROR(N('Recurring Items'!$D$9),0)+(IF(AC363=1,'Debt Tracker'!$P$7&gt;0.01,INDEX('Debt Tracker'!$T$5:$AE$29,3,AC363-1)&gt;0.01))*('Recurring Items'!$H$10&lt;&gt;"Skip")*(DAY(AB363)='Recurring Items'!$F$10)*IFERROR(N('Recurring Items'!$D$10),0)+(IF(AC363=1,'Debt Tracker'!$P$8&gt;0.01,INDEX('Debt Tracker'!$T$5:$AE$29,4,AC363-1)&gt;0.01))*('Recurring Items'!$H$11&lt;&gt;"Skip")*(DAY(AB363)='Recurring Items'!$F$11)*IFERROR(N('Recurring Items'!$D$11),0)+(IF(AC363=1,'Debt Tracker'!$P$9&gt;0.01,INDEX('Debt Tracker'!$T$5:$AE$29,5,AC363-1)&gt;0.01))*('Recurring Items'!$H$12&lt;&gt;"Skip")*(DAY(AB363)='Recurring Items'!$F$12)*IFERROR(N('Recurring Items'!$D$12),0)+(IF(AC363=1,'Debt Tracker'!$P$10&gt;0.01,INDEX('Debt Tracker'!$T$5:$AE$29,6,AC363-1)&gt;0.01))*('Recurring Items'!$H$13&lt;&gt;"Skip")*(DAY(AB363)='Recurring Items'!$F$13)*IFERROR(N('Recurring Items'!$D$13),0)+(IF(AC363=1,'Debt Tracker'!$P$11&gt;0.01,INDEX('Debt Tracker'!$T$5:$AE$29,7,AC363-1)&gt;0.01))*('Recurring Items'!$H$14&lt;&gt;"Skip")*(DAY(AB363)='Recurring Items'!$F$14)*IFERROR(N('Recurring Items'!$D$14),0)+(IF(AC363=1,'Debt Tracker'!$P$12&gt;0.01,INDEX('Debt Tracker'!$T$5:$AE$29,8,AC363-1)&gt;0.01))*('Recurring Items'!$H$15&lt;&gt;"Skip")*(DAY(AB363)='Recurring Items'!$F$15)*IFERROR(N('Recurring Items'!$D$15),0)+(IF(AC363=1,'Debt Tracker'!$P$13&gt;0.01,INDEX('Debt Tracker'!$T$5:$AE$29,9,AC363-1)&gt;0.01))*('Recurring Items'!$H$16&lt;&gt;"Skip")*(DAY(AB363)='Recurring Items'!$F$16)*IFERROR(N('Recurring Items'!$D$16),0)+(IF(AC363=1,'Debt Tracker'!$P$14&gt;0.01,INDEX('Debt Tracker'!$T$5:$AE$29,10,AC363-1)&gt;0.01))*('Recurring Items'!$H$17&lt;&gt;"Skip")*(DAY(AB363)='Recurring Items'!$F$17)*IFERROR(N('Recurring Items'!$D$17),0)+(IF(AC363=1,'Debt Tracker'!$P$15&gt;0.01,INDEX('Debt Tracker'!$T$5:$AE$29,11,AC363-1)&gt;0.01))*('Recurring Items'!$H$18&lt;&gt;"Skip")*(DAY(AB363)='Recurring Items'!$F$18)*IFERROR(N('Recurring Items'!$D$18),0)+(IF(AC363=1,'Debt Tracker'!$P$16&gt;0.01,INDEX('Debt Tracker'!$T$5:$AE$29,12,AC363-1)&gt;0.01))*('Recurring Items'!$H$19&lt;&gt;"Skip")*(DAY(AB363)='Recurring Items'!$F$19)*IFERROR(N('Recurring Items'!$D$19),0)+(IF(AC363=1,'Debt Tracker'!$P$17&gt;0.01,INDEX('Debt Tracker'!$T$5:$AE$29,13,AC363-1)&gt;0.01))*('Recurring Items'!$H$20&lt;&gt;"Skip")*(DAY(AB363)='Recurring Items'!$F$20)*IFERROR(N('Recurring Items'!$D$20),0)+(IF(AC363=1,'Debt Tracker'!$P$18&gt;0.01,INDEX('Debt Tracker'!$T$5:$AE$29,14,AC363-1)&gt;0.01))*('Recurring Items'!$H$21&lt;&gt;"Skip")*(DAY(AB363)='Recurring Items'!$F$21)*IFERROR(N('Recurring Items'!$D$21),0)+(IF(AC363=1,'Debt Tracker'!$P$19&gt;0.01,INDEX('Debt Tracker'!$T$5:$AE$29,15,AC363-1)&gt;0.01))*('Recurring Items'!$H$22&lt;&gt;"Skip")*(DAY(AB363)='Recurring Items'!$F$22)*IFERROR(N('Recurring Items'!$D$22),0)+(IF(AC363=1,'Debt Tracker'!$P$20&gt;0.01,INDEX('Debt Tracker'!$T$5:$AE$29,16,AC363-1)&gt;0.01))*('Recurring Items'!$H$23&lt;&gt;"Skip")*(DAY(AB363)='Recurring Items'!$F$23)*IFERROR(N('Recurring Items'!$D$23),0)+(IF(AC363=1,'Debt Tracker'!$P$21&gt;0.01,INDEX('Debt Tracker'!$T$5:$AE$29,17,AC363-1)&gt;0.01))*('Recurring Items'!$H$24&lt;&gt;"Skip")*(DAY(AB363)='Recurring Items'!$F$24)*IFERROR(N('Recurring Items'!$D$24),0)+(IF(AC363=1,'Debt Tracker'!$P$22&gt;0.01,INDEX('Debt Tracker'!$T$5:$AE$29,18,AC363-1)&gt;0.01))*('Recurring Items'!$H$25&lt;&gt;"Skip")*(DAY(AB363)='Recurring Items'!$F$25)*IFERROR(N('Recurring Items'!$D$25),0)+(IF(AC363=1,'Debt Tracker'!$P$23&gt;0.01,INDEX('Debt Tracker'!$T$5:$AE$29,19,AC363-1)&gt;0.01))*('Recurring Items'!$H$26&lt;&gt;"Skip")*(DAY(AB363)='Recurring Items'!$F$26)*IFERROR(N('Recurring Items'!$D$26),0)+(IF(AC363=1,'Debt Tracker'!$P$24&gt;0.01,INDEX('Debt Tracker'!$T$5:$AE$29,20,AC363-1)&gt;0.01))*('Recurring Items'!$H$27&lt;&gt;"Skip")*(DAY(AB363)='Recurring Items'!$F$27)*IFERROR(N('Recurring Items'!$D$27),0)+(IF(AC363=1,'Debt Tracker'!$P$25&gt;0.01,INDEX('Debt Tracker'!$T$5:$AE$29,21,AC363-1)&gt;0.01))*('Recurring Items'!$H$28&lt;&gt;"Skip")*(DAY(AB363)='Recurring Items'!$F$28)*IFERROR(N('Recurring Items'!$D$28),0)+(IF(AC363=1,'Debt Tracker'!$P$26&gt;0.01,INDEX('Debt Tracker'!$T$5:$AE$29,22,AC363-1)&gt;0.01))*('Recurring Items'!$H$29&lt;&gt;"Skip")*(DAY(AB363)='Recurring Items'!$F$29)*IFERROR(N('Recurring Items'!$D$29),0)+(IF(AC363=1,'Debt Tracker'!$P$27&gt;0.01,INDEX('Debt Tracker'!$T$5:$AE$29,23,AC363-1)&gt;0.01))*('Recurring Items'!$H$30&lt;&gt;"Skip")*(DAY(AB363)='Recurring Items'!$F$30)*IFERROR(N('Recurring Items'!$D$30),0)+(IF(AC363=1,'Debt Tracker'!$P$28&gt;0.01,INDEX('Debt Tracker'!$T$5:$AE$29,24,AC363-1)&gt;0.01))*('Recurring Items'!$H$31&lt;&gt;"Skip")*(DAY(AB363)='Recurring Items'!$F$31)*IFERROR(N('Recurring Items'!$D$31),0)+(IF(AC363=1,'Debt Tracker'!$P$29&gt;0.01,INDEX('Debt Tracker'!$T$5:$AE$29,25,AC363-1)&gt;0.01))*('Recurring Items'!$H$32&lt;&gt;"Skip")*(DAY(AB363)='Recurring Items'!$F$32)*IFERROR(N('Recurring Items'!$D$32),0)</f>
        <v>0</v>
      </c>
      <c r="AG363" s="1" t="n">
        <f aca="false">AD363-AE363-AF363</f>
        <v>0</v>
      </c>
      <c r="AH363" s="1" t="n">
        <f aca="false">AH362+AG363</f>
        <v>11193.85</v>
      </c>
    </row>
    <row r="364" customFormat="false" ht="15" hidden="false" customHeight="true" outlineLevel="0" collapsed="false">
      <c r="AA364" s="1" t="n">
        <v>164</v>
      </c>
      <c r="AB364" s="145" t="n">
        <f aca="false">$D$3+164</f>
        <v>46307</v>
      </c>
      <c r="AC364" s="1" t="n">
        <f aca="false">MIN(12,1+DATEDIF($D$3,AB364,"M"))</f>
        <v>6</v>
      </c>
      <c r="AD364" s="1" t="n">
        <f aca="false">SUMPRODUCT(('Recurring Items'!$C$6:$C$56="Income")*('Recurring Items'!$H$6:$H$56&lt;&gt;"Skip")*IFERROR(N('Recurring Items'!$D$6:$D$56),0)*(('Recurring Items'!$E$6:$E$56="Monthly")*(DAY(AB364)='Recurring Items'!$F$6:$F$56)+('Recurring Items'!$E$6:$E$56="Bi-weekly")*(WEEKDAY(AB364)=IFERROR(WEEKDAY('Recurring Items'!$G$6:$G$56),0))*(MOD(AB364-IFERROR('Recurring Items'!$G$6:$G$56,0),14)=0)*(AB364&gt;=IFERROR('Recurring Items'!$G$6:$G$56,9000000000))+('Recurring Items'!$E$6:$E$56="Weekly")*(WEEKDAY(AB364)=IFERROR(WEEKDAY('Recurring Items'!$G$6:$G$56),0))*(AB364&gt;=IFERROR('Recurring Items'!$G$6:$G$56,9000000000))+('Recurring Items'!$E$6:$E$56="One-time")*(AB364='Recurring Items'!$G$6:$G$56)))</f>
        <v>0</v>
      </c>
      <c r="AE364" s="1" t="n">
        <f aca="false">SUMPRODUCT(('Recurring Items'!$C$6:$C$56="Expense")*('Recurring Items'!$H$6:$H$56&lt;&gt;"Skip")*IFERROR(N('Recurring Items'!$D$6:$D$56),0)*(('Recurring Items'!$E$6:$E$56="Monthly")*(DAY(AB364)='Recurring Items'!$F$6:$F$56)+('Recurring Items'!$E$6:$E$56="Bi-weekly")*(WEEKDAY(AB364)=IFERROR(WEEKDAY('Recurring Items'!$G$6:$G$56),0))*(MOD(AB364-IFERROR('Recurring Items'!$G$6:$G$56,0),14)=0)*(AB364&gt;=IFERROR('Recurring Items'!$G$6:$G$56,9000000000))+('Recurring Items'!$E$6:$E$56="Weekly")*(WEEKDAY(AB364)=IFERROR(WEEKDAY('Recurring Items'!$G$6:$G$56),0))*(AB364&gt;=IFERROR('Recurring Items'!$G$6:$G$56,9000000000))+('Recurring Items'!$E$6:$E$56="One-time")*(AB364='Recurring Items'!$G$6:$G$56)))</f>
        <v>167.68</v>
      </c>
      <c r="AF364" s="1" t="n">
        <f aca="false">(IF(AC364=1,'Debt Tracker'!$P$5&gt;0.01,INDEX('Debt Tracker'!$T$5:$AE$29,1,AC364-1)&gt;0.01))*('Recurring Items'!$H$8&lt;&gt;"Skip")*(DAY(AB364)='Recurring Items'!$F$8)*IFERROR(N('Recurring Items'!$D$8),0)+(IF(AC364=1,'Debt Tracker'!$P$6&gt;0.01,INDEX('Debt Tracker'!$T$5:$AE$29,2,AC364-1)&gt;0.01))*('Recurring Items'!$H$9&lt;&gt;"Skip")*(DAY(AB364)='Recurring Items'!$F$9)*IFERROR(N('Recurring Items'!$D$9),0)+(IF(AC364=1,'Debt Tracker'!$P$7&gt;0.01,INDEX('Debt Tracker'!$T$5:$AE$29,3,AC364-1)&gt;0.01))*('Recurring Items'!$H$10&lt;&gt;"Skip")*(DAY(AB364)='Recurring Items'!$F$10)*IFERROR(N('Recurring Items'!$D$10),0)+(IF(AC364=1,'Debt Tracker'!$P$8&gt;0.01,INDEX('Debt Tracker'!$T$5:$AE$29,4,AC364-1)&gt;0.01))*('Recurring Items'!$H$11&lt;&gt;"Skip")*(DAY(AB364)='Recurring Items'!$F$11)*IFERROR(N('Recurring Items'!$D$11),0)+(IF(AC364=1,'Debt Tracker'!$P$9&gt;0.01,INDEX('Debt Tracker'!$T$5:$AE$29,5,AC364-1)&gt;0.01))*('Recurring Items'!$H$12&lt;&gt;"Skip")*(DAY(AB364)='Recurring Items'!$F$12)*IFERROR(N('Recurring Items'!$D$12),0)+(IF(AC364=1,'Debt Tracker'!$P$10&gt;0.01,INDEX('Debt Tracker'!$T$5:$AE$29,6,AC364-1)&gt;0.01))*('Recurring Items'!$H$13&lt;&gt;"Skip")*(DAY(AB364)='Recurring Items'!$F$13)*IFERROR(N('Recurring Items'!$D$13),0)+(IF(AC364=1,'Debt Tracker'!$P$11&gt;0.01,INDEX('Debt Tracker'!$T$5:$AE$29,7,AC364-1)&gt;0.01))*('Recurring Items'!$H$14&lt;&gt;"Skip")*(DAY(AB364)='Recurring Items'!$F$14)*IFERROR(N('Recurring Items'!$D$14),0)+(IF(AC364=1,'Debt Tracker'!$P$12&gt;0.01,INDEX('Debt Tracker'!$T$5:$AE$29,8,AC364-1)&gt;0.01))*('Recurring Items'!$H$15&lt;&gt;"Skip")*(DAY(AB364)='Recurring Items'!$F$15)*IFERROR(N('Recurring Items'!$D$15),0)+(IF(AC364=1,'Debt Tracker'!$P$13&gt;0.01,INDEX('Debt Tracker'!$T$5:$AE$29,9,AC364-1)&gt;0.01))*('Recurring Items'!$H$16&lt;&gt;"Skip")*(DAY(AB364)='Recurring Items'!$F$16)*IFERROR(N('Recurring Items'!$D$16),0)+(IF(AC364=1,'Debt Tracker'!$P$14&gt;0.01,INDEX('Debt Tracker'!$T$5:$AE$29,10,AC364-1)&gt;0.01))*('Recurring Items'!$H$17&lt;&gt;"Skip")*(DAY(AB364)='Recurring Items'!$F$17)*IFERROR(N('Recurring Items'!$D$17),0)+(IF(AC364=1,'Debt Tracker'!$P$15&gt;0.01,INDEX('Debt Tracker'!$T$5:$AE$29,11,AC364-1)&gt;0.01))*('Recurring Items'!$H$18&lt;&gt;"Skip")*(DAY(AB364)='Recurring Items'!$F$18)*IFERROR(N('Recurring Items'!$D$18),0)+(IF(AC364=1,'Debt Tracker'!$P$16&gt;0.01,INDEX('Debt Tracker'!$T$5:$AE$29,12,AC364-1)&gt;0.01))*('Recurring Items'!$H$19&lt;&gt;"Skip")*(DAY(AB364)='Recurring Items'!$F$19)*IFERROR(N('Recurring Items'!$D$19),0)+(IF(AC364=1,'Debt Tracker'!$P$17&gt;0.01,INDEX('Debt Tracker'!$T$5:$AE$29,13,AC364-1)&gt;0.01))*('Recurring Items'!$H$20&lt;&gt;"Skip")*(DAY(AB364)='Recurring Items'!$F$20)*IFERROR(N('Recurring Items'!$D$20),0)+(IF(AC364=1,'Debt Tracker'!$P$18&gt;0.01,INDEX('Debt Tracker'!$T$5:$AE$29,14,AC364-1)&gt;0.01))*('Recurring Items'!$H$21&lt;&gt;"Skip")*(DAY(AB364)='Recurring Items'!$F$21)*IFERROR(N('Recurring Items'!$D$21),0)+(IF(AC364=1,'Debt Tracker'!$P$19&gt;0.01,INDEX('Debt Tracker'!$T$5:$AE$29,15,AC364-1)&gt;0.01))*('Recurring Items'!$H$22&lt;&gt;"Skip")*(DAY(AB364)='Recurring Items'!$F$22)*IFERROR(N('Recurring Items'!$D$22),0)+(IF(AC364=1,'Debt Tracker'!$P$20&gt;0.01,INDEX('Debt Tracker'!$T$5:$AE$29,16,AC364-1)&gt;0.01))*('Recurring Items'!$H$23&lt;&gt;"Skip")*(DAY(AB364)='Recurring Items'!$F$23)*IFERROR(N('Recurring Items'!$D$23),0)+(IF(AC364=1,'Debt Tracker'!$P$21&gt;0.01,INDEX('Debt Tracker'!$T$5:$AE$29,17,AC364-1)&gt;0.01))*('Recurring Items'!$H$24&lt;&gt;"Skip")*(DAY(AB364)='Recurring Items'!$F$24)*IFERROR(N('Recurring Items'!$D$24),0)+(IF(AC364=1,'Debt Tracker'!$P$22&gt;0.01,INDEX('Debt Tracker'!$T$5:$AE$29,18,AC364-1)&gt;0.01))*('Recurring Items'!$H$25&lt;&gt;"Skip")*(DAY(AB364)='Recurring Items'!$F$25)*IFERROR(N('Recurring Items'!$D$25),0)+(IF(AC364=1,'Debt Tracker'!$P$23&gt;0.01,INDEX('Debt Tracker'!$T$5:$AE$29,19,AC364-1)&gt;0.01))*('Recurring Items'!$H$26&lt;&gt;"Skip")*(DAY(AB364)='Recurring Items'!$F$26)*IFERROR(N('Recurring Items'!$D$26),0)+(IF(AC364=1,'Debt Tracker'!$P$24&gt;0.01,INDEX('Debt Tracker'!$T$5:$AE$29,20,AC364-1)&gt;0.01))*('Recurring Items'!$H$27&lt;&gt;"Skip")*(DAY(AB364)='Recurring Items'!$F$27)*IFERROR(N('Recurring Items'!$D$27),0)+(IF(AC364=1,'Debt Tracker'!$P$25&gt;0.01,INDEX('Debt Tracker'!$T$5:$AE$29,21,AC364-1)&gt;0.01))*('Recurring Items'!$H$28&lt;&gt;"Skip")*(DAY(AB364)='Recurring Items'!$F$28)*IFERROR(N('Recurring Items'!$D$28),0)+(IF(AC364=1,'Debt Tracker'!$P$26&gt;0.01,INDEX('Debt Tracker'!$T$5:$AE$29,22,AC364-1)&gt;0.01))*('Recurring Items'!$H$29&lt;&gt;"Skip")*(DAY(AB364)='Recurring Items'!$F$29)*IFERROR(N('Recurring Items'!$D$29),0)+(IF(AC364=1,'Debt Tracker'!$P$27&gt;0.01,INDEX('Debt Tracker'!$T$5:$AE$29,23,AC364-1)&gt;0.01))*('Recurring Items'!$H$30&lt;&gt;"Skip")*(DAY(AB364)='Recurring Items'!$F$30)*IFERROR(N('Recurring Items'!$D$30),0)+(IF(AC364=1,'Debt Tracker'!$P$28&gt;0.01,INDEX('Debt Tracker'!$T$5:$AE$29,24,AC364-1)&gt;0.01))*('Recurring Items'!$H$31&lt;&gt;"Skip")*(DAY(AB364)='Recurring Items'!$F$31)*IFERROR(N('Recurring Items'!$D$31),0)+(IF(AC364=1,'Debt Tracker'!$P$29&gt;0.01,INDEX('Debt Tracker'!$T$5:$AE$29,25,AC364-1)&gt;0.01))*('Recurring Items'!$H$32&lt;&gt;"Skip")*(DAY(AB364)='Recurring Items'!$F$32)*IFERROR(N('Recurring Items'!$D$32),0)</f>
        <v>0</v>
      </c>
      <c r="AG364" s="1" t="n">
        <f aca="false">AD364-AE364-AF364</f>
        <v>-167.68</v>
      </c>
      <c r="AH364" s="1" t="n">
        <f aca="false">AH363+AG364</f>
        <v>11026.17</v>
      </c>
    </row>
    <row r="365" customFormat="false" ht="15" hidden="false" customHeight="true" outlineLevel="0" collapsed="false">
      <c r="AA365" s="1" t="n">
        <v>165</v>
      </c>
      <c r="AB365" s="145" t="n">
        <f aca="false">$D$3+165</f>
        <v>46308</v>
      </c>
      <c r="AC365" s="1" t="n">
        <f aca="false">MIN(12,1+DATEDIF($D$3,AB365,"M"))</f>
        <v>6</v>
      </c>
      <c r="AD365" s="1" t="n">
        <f aca="false">SUMPRODUCT(('Recurring Items'!$C$6:$C$56="Income")*('Recurring Items'!$H$6:$H$56&lt;&gt;"Skip")*IFERROR(N('Recurring Items'!$D$6:$D$56),0)*(('Recurring Items'!$E$6:$E$56="Monthly")*(DAY(AB365)='Recurring Items'!$F$6:$F$56)+('Recurring Items'!$E$6:$E$56="Bi-weekly")*(WEEKDAY(AB365)=IFERROR(WEEKDAY('Recurring Items'!$G$6:$G$56),0))*(MOD(AB365-IFERROR('Recurring Items'!$G$6:$G$56,0),14)=0)*(AB365&gt;=IFERROR('Recurring Items'!$G$6:$G$56,9000000000))+('Recurring Items'!$E$6:$E$56="Weekly")*(WEEKDAY(AB365)=IFERROR(WEEKDAY('Recurring Items'!$G$6:$G$56),0))*(AB365&gt;=IFERROR('Recurring Items'!$G$6:$G$56,9000000000))+('Recurring Items'!$E$6:$E$56="One-time")*(AB365='Recurring Items'!$G$6:$G$56)))</f>
        <v>0</v>
      </c>
      <c r="AE365" s="1" t="n">
        <f aca="false">SUMPRODUCT(('Recurring Items'!$C$6:$C$56="Expense")*('Recurring Items'!$H$6:$H$56&lt;&gt;"Skip")*IFERROR(N('Recurring Items'!$D$6:$D$56),0)*(('Recurring Items'!$E$6:$E$56="Monthly")*(DAY(AB365)='Recurring Items'!$F$6:$F$56)+('Recurring Items'!$E$6:$E$56="Bi-weekly")*(WEEKDAY(AB365)=IFERROR(WEEKDAY('Recurring Items'!$G$6:$G$56),0))*(MOD(AB365-IFERROR('Recurring Items'!$G$6:$G$56,0),14)=0)*(AB365&gt;=IFERROR('Recurring Items'!$G$6:$G$56,9000000000))+('Recurring Items'!$E$6:$E$56="Weekly")*(WEEKDAY(AB365)=IFERROR(WEEKDAY('Recurring Items'!$G$6:$G$56),0))*(AB365&gt;=IFERROR('Recurring Items'!$G$6:$G$56,9000000000))+('Recurring Items'!$E$6:$E$56="One-time")*(AB365='Recurring Items'!$G$6:$G$56)))</f>
        <v>0</v>
      </c>
      <c r="AF365" s="1" t="n">
        <f aca="false">(IF(AC365=1,'Debt Tracker'!$P$5&gt;0.01,INDEX('Debt Tracker'!$T$5:$AE$29,1,AC365-1)&gt;0.01))*('Recurring Items'!$H$8&lt;&gt;"Skip")*(DAY(AB365)='Recurring Items'!$F$8)*IFERROR(N('Recurring Items'!$D$8),0)+(IF(AC365=1,'Debt Tracker'!$P$6&gt;0.01,INDEX('Debt Tracker'!$T$5:$AE$29,2,AC365-1)&gt;0.01))*('Recurring Items'!$H$9&lt;&gt;"Skip")*(DAY(AB365)='Recurring Items'!$F$9)*IFERROR(N('Recurring Items'!$D$9),0)+(IF(AC365=1,'Debt Tracker'!$P$7&gt;0.01,INDEX('Debt Tracker'!$T$5:$AE$29,3,AC365-1)&gt;0.01))*('Recurring Items'!$H$10&lt;&gt;"Skip")*(DAY(AB365)='Recurring Items'!$F$10)*IFERROR(N('Recurring Items'!$D$10),0)+(IF(AC365=1,'Debt Tracker'!$P$8&gt;0.01,INDEX('Debt Tracker'!$T$5:$AE$29,4,AC365-1)&gt;0.01))*('Recurring Items'!$H$11&lt;&gt;"Skip")*(DAY(AB365)='Recurring Items'!$F$11)*IFERROR(N('Recurring Items'!$D$11),0)+(IF(AC365=1,'Debt Tracker'!$P$9&gt;0.01,INDEX('Debt Tracker'!$T$5:$AE$29,5,AC365-1)&gt;0.01))*('Recurring Items'!$H$12&lt;&gt;"Skip")*(DAY(AB365)='Recurring Items'!$F$12)*IFERROR(N('Recurring Items'!$D$12),0)+(IF(AC365=1,'Debt Tracker'!$P$10&gt;0.01,INDEX('Debt Tracker'!$T$5:$AE$29,6,AC365-1)&gt;0.01))*('Recurring Items'!$H$13&lt;&gt;"Skip")*(DAY(AB365)='Recurring Items'!$F$13)*IFERROR(N('Recurring Items'!$D$13),0)+(IF(AC365=1,'Debt Tracker'!$P$11&gt;0.01,INDEX('Debt Tracker'!$T$5:$AE$29,7,AC365-1)&gt;0.01))*('Recurring Items'!$H$14&lt;&gt;"Skip")*(DAY(AB365)='Recurring Items'!$F$14)*IFERROR(N('Recurring Items'!$D$14),0)+(IF(AC365=1,'Debt Tracker'!$P$12&gt;0.01,INDEX('Debt Tracker'!$T$5:$AE$29,8,AC365-1)&gt;0.01))*('Recurring Items'!$H$15&lt;&gt;"Skip")*(DAY(AB365)='Recurring Items'!$F$15)*IFERROR(N('Recurring Items'!$D$15),0)+(IF(AC365=1,'Debt Tracker'!$P$13&gt;0.01,INDEX('Debt Tracker'!$T$5:$AE$29,9,AC365-1)&gt;0.01))*('Recurring Items'!$H$16&lt;&gt;"Skip")*(DAY(AB365)='Recurring Items'!$F$16)*IFERROR(N('Recurring Items'!$D$16),0)+(IF(AC365=1,'Debt Tracker'!$P$14&gt;0.01,INDEX('Debt Tracker'!$T$5:$AE$29,10,AC365-1)&gt;0.01))*('Recurring Items'!$H$17&lt;&gt;"Skip")*(DAY(AB365)='Recurring Items'!$F$17)*IFERROR(N('Recurring Items'!$D$17),0)+(IF(AC365=1,'Debt Tracker'!$P$15&gt;0.01,INDEX('Debt Tracker'!$T$5:$AE$29,11,AC365-1)&gt;0.01))*('Recurring Items'!$H$18&lt;&gt;"Skip")*(DAY(AB365)='Recurring Items'!$F$18)*IFERROR(N('Recurring Items'!$D$18),0)+(IF(AC365=1,'Debt Tracker'!$P$16&gt;0.01,INDEX('Debt Tracker'!$T$5:$AE$29,12,AC365-1)&gt;0.01))*('Recurring Items'!$H$19&lt;&gt;"Skip")*(DAY(AB365)='Recurring Items'!$F$19)*IFERROR(N('Recurring Items'!$D$19),0)+(IF(AC365=1,'Debt Tracker'!$P$17&gt;0.01,INDEX('Debt Tracker'!$T$5:$AE$29,13,AC365-1)&gt;0.01))*('Recurring Items'!$H$20&lt;&gt;"Skip")*(DAY(AB365)='Recurring Items'!$F$20)*IFERROR(N('Recurring Items'!$D$20),0)+(IF(AC365=1,'Debt Tracker'!$P$18&gt;0.01,INDEX('Debt Tracker'!$T$5:$AE$29,14,AC365-1)&gt;0.01))*('Recurring Items'!$H$21&lt;&gt;"Skip")*(DAY(AB365)='Recurring Items'!$F$21)*IFERROR(N('Recurring Items'!$D$21),0)+(IF(AC365=1,'Debt Tracker'!$P$19&gt;0.01,INDEX('Debt Tracker'!$T$5:$AE$29,15,AC365-1)&gt;0.01))*('Recurring Items'!$H$22&lt;&gt;"Skip")*(DAY(AB365)='Recurring Items'!$F$22)*IFERROR(N('Recurring Items'!$D$22),0)+(IF(AC365=1,'Debt Tracker'!$P$20&gt;0.01,INDEX('Debt Tracker'!$T$5:$AE$29,16,AC365-1)&gt;0.01))*('Recurring Items'!$H$23&lt;&gt;"Skip")*(DAY(AB365)='Recurring Items'!$F$23)*IFERROR(N('Recurring Items'!$D$23),0)+(IF(AC365=1,'Debt Tracker'!$P$21&gt;0.01,INDEX('Debt Tracker'!$T$5:$AE$29,17,AC365-1)&gt;0.01))*('Recurring Items'!$H$24&lt;&gt;"Skip")*(DAY(AB365)='Recurring Items'!$F$24)*IFERROR(N('Recurring Items'!$D$24),0)+(IF(AC365=1,'Debt Tracker'!$P$22&gt;0.01,INDEX('Debt Tracker'!$T$5:$AE$29,18,AC365-1)&gt;0.01))*('Recurring Items'!$H$25&lt;&gt;"Skip")*(DAY(AB365)='Recurring Items'!$F$25)*IFERROR(N('Recurring Items'!$D$25),0)+(IF(AC365=1,'Debt Tracker'!$P$23&gt;0.01,INDEX('Debt Tracker'!$T$5:$AE$29,19,AC365-1)&gt;0.01))*('Recurring Items'!$H$26&lt;&gt;"Skip")*(DAY(AB365)='Recurring Items'!$F$26)*IFERROR(N('Recurring Items'!$D$26),0)+(IF(AC365=1,'Debt Tracker'!$P$24&gt;0.01,INDEX('Debt Tracker'!$T$5:$AE$29,20,AC365-1)&gt;0.01))*('Recurring Items'!$H$27&lt;&gt;"Skip")*(DAY(AB365)='Recurring Items'!$F$27)*IFERROR(N('Recurring Items'!$D$27),0)+(IF(AC365=1,'Debt Tracker'!$P$25&gt;0.01,INDEX('Debt Tracker'!$T$5:$AE$29,21,AC365-1)&gt;0.01))*('Recurring Items'!$H$28&lt;&gt;"Skip")*(DAY(AB365)='Recurring Items'!$F$28)*IFERROR(N('Recurring Items'!$D$28),0)+(IF(AC365=1,'Debt Tracker'!$P$26&gt;0.01,INDEX('Debt Tracker'!$T$5:$AE$29,22,AC365-1)&gt;0.01))*('Recurring Items'!$H$29&lt;&gt;"Skip")*(DAY(AB365)='Recurring Items'!$F$29)*IFERROR(N('Recurring Items'!$D$29),0)+(IF(AC365=1,'Debt Tracker'!$P$27&gt;0.01,INDEX('Debt Tracker'!$T$5:$AE$29,23,AC365-1)&gt;0.01))*('Recurring Items'!$H$30&lt;&gt;"Skip")*(DAY(AB365)='Recurring Items'!$F$30)*IFERROR(N('Recurring Items'!$D$30),0)+(IF(AC365=1,'Debt Tracker'!$P$28&gt;0.01,INDEX('Debt Tracker'!$T$5:$AE$29,24,AC365-1)&gt;0.01))*('Recurring Items'!$H$31&lt;&gt;"Skip")*(DAY(AB365)='Recurring Items'!$F$31)*IFERROR(N('Recurring Items'!$D$31),0)+(IF(AC365=1,'Debt Tracker'!$P$29&gt;0.01,INDEX('Debt Tracker'!$T$5:$AE$29,25,AC365-1)&gt;0.01))*('Recurring Items'!$H$32&lt;&gt;"Skip")*(DAY(AB365)='Recurring Items'!$F$32)*IFERROR(N('Recurring Items'!$D$32),0)</f>
        <v>40</v>
      </c>
      <c r="AG365" s="1" t="n">
        <f aca="false">AD365-AE365-AF365</f>
        <v>-40</v>
      </c>
      <c r="AH365" s="1" t="n">
        <f aca="false">AH364+AG365</f>
        <v>10986.17</v>
      </c>
    </row>
    <row r="366" customFormat="false" ht="15" hidden="false" customHeight="true" outlineLevel="0" collapsed="false">
      <c r="AA366" s="1" t="n">
        <v>166</v>
      </c>
      <c r="AB366" s="145" t="n">
        <f aca="false">$D$3+166</f>
        <v>46309</v>
      </c>
      <c r="AC366" s="1" t="n">
        <f aca="false">MIN(12,1+DATEDIF($D$3,AB366,"M"))</f>
        <v>6</v>
      </c>
      <c r="AD366" s="1" t="n">
        <f aca="false">SUMPRODUCT(('Recurring Items'!$C$6:$C$56="Income")*('Recurring Items'!$H$6:$H$56&lt;&gt;"Skip")*IFERROR(N('Recurring Items'!$D$6:$D$56),0)*(('Recurring Items'!$E$6:$E$56="Monthly")*(DAY(AB366)='Recurring Items'!$F$6:$F$56)+('Recurring Items'!$E$6:$E$56="Bi-weekly")*(WEEKDAY(AB366)=IFERROR(WEEKDAY('Recurring Items'!$G$6:$G$56),0))*(MOD(AB366-IFERROR('Recurring Items'!$G$6:$G$56,0),14)=0)*(AB366&gt;=IFERROR('Recurring Items'!$G$6:$G$56,9000000000))+('Recurring Items'!$E$6:$E$56="Weekly")*(WEEKDAY(AB366)=IFERROR(WEEKDAY('Recurring Items'!$G$6:$G$56),0))*(AB366&gt;=IFERROR('Recurring Items'!$G$6:$G$56,9000000000))+('Recurring Items'!$E$6:$E$56="One-time")*(AB366='Recurring Items'!$G$6:$G$56)))</f>
        <v>0</v>
      </c>
      <c r="AE366" s="1" t="n">
        <f aca="false">SUMPRODUCT(('Recurring Items'!$C$6:$C$56="Expense")*('Recurring Items'!$H$6:$H$56&lt;&gt;"Skip")*IFERROR(N('Recurring Items'!$D$6:$D$56),0)*(('Recurring Items'!$E$6:$E$56="Monthly")*(DAY(AB366)='Recurring Items'!$F$6:$F$56)+('Recurring Items'!$E$6:$E$56="Bi-weekly")*(WEEKDAY(AB366)=IFERROR(WEEKDAY('Recurring Items'!$G$6:$G$56),0))*(MOD(AB366-IFERROR('Recurring Items'!$G$6:$G$56,0),14)=0)*(AB366&gt;=IFERROR('Recurring Items'!$G$6:$G$56,9000000000))+('Recurring Items'!$E$6:$E$56="Weekly")*(WEEKDAY(AB366)=IFERROR(WEEKDAY('Recurring Items'!$G$6:$G$56),0))*(AB366&gt;=IFERROR('Recurring Items'!$G$6:$G$56,9000000000))+('Recurring Items'!$E$6:$E$56="One-time")*(AB366='Recurring Items'!$G$6:$G$56)))</f>
        <v>0</v>
      </c>
      <c r="AF366" s="1" t="n">
        <f aca="false">(IF(AC366=1,'Debt Tracker'!$P$5&gt;0.01,INDEX('Debt Tracker'!$T$5:$AE$29,1,AC366-1)&gt;0.01))*('Recurring Items'!$H$8&lt;&gt;"Skip")*(DAY(AB366)='Recurring Items'!$F$8)*IFERROR(N('Recurring Items'!$D$8),0)+(IF(AC366=1,'Debt Tracker'!$P$6&gt;0.01,INDEX('Debt Tracker'!$T$5:$AE$29,2,AC366-1)&gt;0.01))*('Recurring Items'!$H$9&lt;&gt;"Skip")*(DAY(AB366)='Recurring Items'!$F$9)*IFERROR(N('Recurring Items'!$D$9),0)+(IF(AC366=1,'Debt Tracker'!$P$7&gt;0.01,INDEX('Debt Tracker'!$T$5:$AE$29,3,AC366-1)&gt;0.01))*('Recurring Items'!$H$10&lt;&gt;"Skip")*(DAY(AB366)='Recurring Items'!$F$10)*IFERROR(N('Recurring Items'!$D$10),0)+(IF(AC366=1,'Debt Tracker'!$P$8&gt;0.01,INDEX('Debt Tracker'!$T$5:$AE$29,4,AC366-1)&gt;0.01))*('Recurring Items'!$H$11&lt;&gt;"Skip")*(DAY(AB366)='Recurring Items'!$F$11)*IFERROR(N('Recurring Items'!$D$11),0)+(IF(AC366=1,'Debt Tracker'!$P$9&gt;0.01,INDEX('Debt Tracker'!$T$5:$AE$29,5,AC366-1)&gt;0.01))*('Recurring Items'!$H$12&lt;&gt;"Skip")*(DAY(AB366)='Recurring Items'!$F$12)*IFERROR(N('Recurring Items'!$D$12),0)+(IF(AC366=1,'Debt Tracker'!$P$10&gt;0.01,INDEX('Debt Tracker'!$T$5:$AE$29,6,AC366-1)&gt;0.01))*('Recurring Items'!$H$13&lt;&gt;"Skip")*(DAY(AB366)='Recurring Items'!$F$13)*IFERROR(N('Recurring Items'!$D$13),0)+(IF(AC366=1,'Debt Tracker'!$P$11&gt;0.01,INDEX('Debt Tracker'!$T$5:$AE$29,7,AC366-1)&gt;0.01))*('Recurring Items'!$H$14&lt;&gt;"Skip")*(DAY(AB366)='Recurring Items'!$F$14)*IFERROR(N('Recurring Items'!$D$14),0)+(IF(AC366=1,'Debt Tracker'!$P$12&gt;0.01,INDEX('Debt Tracker'!$T$5:$AE$29,8,AC366-1)&gt;0.01))*('Recurring Items'!$H$15&lt;&gt;"Skip")*(DAY(AB366)='Recurring Items'!$F$15)*IFERROR(N('Recurring Items'!$D$15),0)+(IF(AC366=1,'Debt Tracker'!$P$13&gt;0.01,INDEX('Debt Tracker'!$T$5:$AE$29,9,AC366-1)&gt;0.01))*('Recurring Items'!$H$16&lt;&gt;"Skip")*(DAY(AB366)='Recurring Items'!$F$16)*IFERROR(N('Recurring Items'!$D$16),0)+(IF(AC366=1,'Debt Tracker'!$P$14&gt;0.01,INDEX('Debt Tracker'!$T$5:$AE$29,10,AC366-1)&gt;0.01))*('Recurring Items'!$H$17&lt;&gt;"Skip")*(DAY(AB366)='Recurring Items'!$F$17)*IFERROR(N('Recurring Items'!$D$17),0)+(IF(AC366=1,'Debt Tracker'!$P$15&gt;0.01,INDEX('Debt Tracker'!$T$5:$AE$29,11,AC366-1)&gt;0.01))*('Recurring Items'!$H$18&lt;&gt;"Skip")*(DAY(AB366)='Recurring Items'!$F$18)*IFERROR(N('Recurring Items'!$D$18),0)+(IF(AC366=1,'Debt Tracker'!$P$16&gt;0.01,INDEX('Debt Tracker'!$T$5:$AE$29,12,AC366-1)&gt;0.01))*('Recurring Items'!$H$19&lt;&gt;"Skip")*(DAY(AB366)='Recurring Items'!$F$19)*IFERROR(N('Recurring Items'!$D$19),0)+(IF(AC366=1,'Debt Tracker'!$P$17&gt;0.01,INDEX('Debt Tracker'!$T$5:$AE$29,13,AC366-1)&gt;0.01))*('Recurring Items'!$H$20&lt;&gt;"Skip")*(DAY(AB366)='Recurring Items'!$F$20)*IFERROR(N('Recurring Items'!$D$20),0)+(IF(AC366=1,'Debt Tracker'!$P$18&gt;0.01,INDEX('Debt Tracker'!$T$5:$AE$29,14,AC366-1)&gt;0.01))*('Recurring Items'!$H$21&lt;&gt;"Skip")*(DAY(AB366)='Recurring Items'!$F$21)*IFERROR(N('Recurring Items'!$D$21),0)+(IF(AC366=1,'Debt Tracker'!$P$19&gt;0.01,INDEX('Debt Tracker'!$T$5:$AE$29,15,AC366-1)&gt;0.01))*('Recurring Items'!$H$22&lt;&gt;"Skip")*(DAY(AB366)='Recurring Items'!$F$22)*IFERROR(N('Recurring Items'!$D$22),0)+(IF(AC366=1,'Debt Tracker'!$P$20&gt;0.01,INDEX('Debt Tracker'!$T$5:$AE$29,16,AC366-1)&gt;0.01))*('Recurring Items'!$H$23&lt;&gt;"Skip")*(DAY(AB366)='Recurring Items'!$F$23)*IFERROR(N('Recurring Items'!$D$23),0)+(IF(AC366=1,'Debt Tracker'!$P$21&gt;0.01,INDEX('Debt Tracker'!$T$5:$AE$29,17,AC366-1)&gt;0.01))*('Recurring Items'!$H$24&lt;&gt;"Skip")*(DAY(AB366)='Recurring Items'!$F$24)*IFERROR(N('Recurring Items'!$D$24),0)+(IF(AC366=1,'Debt Tracker'!$P$22&gt;0.01,INDEX('Debt Tracker'!$T$5:$AE$29,18,AC366-1)&gt;0.01))*('Recurring Items'!$H$25&lt;&gt;"Skip")*(DAY(AB366)='Recurring Items'!$F$25)*IFERROR(N('Recurring Items'!$D$25),0)+(IF(AC366=1,'Debt Tracker'!$P$23&gt;0.01,INDEX('Debt Tracker'!$T$5:$AE$29,19,AC366-1)&gt;0.01))*('Recurring Items'!$H$26&lt;&gt;"Skip")*(DAY(AB366)='Recurring Items'!$F$26)*IFERROR(N('Recurring Items'!$D$26),0)+(IF(AC366=1,'Debt Tracker'!$P$24&gt;0.01,INDEX('Debt Tracker'!$T$5:$AE$29,20,AC366-1)&gt;0.01))*('Recurring Items'!$H$27&lt;&gt;"Skip")*(DAY(AB366)='Recurring Items'!$F$27)*IFERROR(N('Recurring Items'!$D$27),0)+(IF(AC366=1,'Debt Tracker'!$P$25&gt;0.01,INDEX('Debt Tracker'!$T$5:$AE$29,21,AC366-1)&gt;0.01))*('Recurring Items'!$H$28&lt;&gt;"Skip")*(DAY(AB366)='Recurring Items'!$F$28)*IFERROR(N('Recurring Items'!$D$28),0)+(IF(AC366=1,'Debt Tracker'!$P$26&gt;0.01,INDEX('Debt Tracker'!$T$5:$AE$29,22,AC366-1)&gt;0.01))*('Recurring Items'!$H$29&lt;&gt;"Skip")*(DAY(AB366)='Recurring Items'!$F$29)*IFERROR(N('Recurring Items'!$D$29),0)+(IF(AC366=1,'Debt Tracker'!$P$27&gt;0.01,INDEX('Debt Tracker'!$T$5:$AE$29,23,AC366-1)&gt;0.01))*('Recurring Items'!$H$30&lt;&gt;"Skip")*(DAY(AB366)='Recurring Items'!$F$30)*IFERROR(N('Recurring Items'!$D$30),0)+(IF(AC366=1,'Debt Tracker'!$P$28&gt;0.01,INDEX('Debt Tracker'!$T$5:$AE$29,24,AC366-1)&gt;0.01))*('Recurring Items'!$H$31&lt;&gt;"Skip")*(DAY(AB366)='Recurring Items'!$F$31)*IFERROR(N('Recurring Items'!$D$31),0)+(IF(AC366=1,'Debt Tracker'!$P$29&gt;0.01,INDEX('Debt Tracker'!$T$5:$AE$29,25,AC366-1)&gt;0.01))*('Recurring Items'!$H$32&lt;&gt;"Skip")*(DAY(AB366)='Recurring Items'!$F$32)*IFERROR(N('Recurring Items'!$D$32),0)</f>
        <v>95.51</v>
      </c>
      <c r="AG366" s="1" t="n">
        <f aca="false">AD366-AE366-AF366</f>
        <v>-95.51</v>
      </c>
      <c r="AH366" s="1" t="n">
        <f aca="false">AH365+AG366</f>
        <v>10890.66</v>
      </c>
    </row>
    <row r="367" customFormat="false" ht="15" hidden="false" customHeight="true" outlineLevel="0" collapsed="false">
      <c r="AA367" s="1" t="n">
        <v>167</v>
      </c>
      <c r="AB367" s="145" t="n">
        <f aca="false">$D$3+167</f>
        <v>46310</v>
      </c>
      <c r="AC367" s="1" t="n">
        <f aca="false">MIN(12,1+DATEDIF($D$3,AB367,"M"))</f>
        <v>6</v>
      </c>
      <c r="AD367" s="1" t="n">
        <f aca="false">SUMPRODUCT(('Recurring Items'!$C$6:$C$56="Income")*('Recurring Items'!$H$6:$H$56&lt;&gt;"Skip")*IFERROR(N('Recurring Items'!$D$6:$D$56),0)*(('Recurring Items'!$E$6:$E$56="Monthly")*(DAY(AB367)='Recurring Items'!$F$6:$F$56)+('Recurring Items'!$E$6:$E$56="Bi-weekly")*(WEEKDAY(AB367)=IFERROR(WEEKDAY('Recurring Items'!$G$6:$G$56),0))*(MOD(AB367-IFERROR('Recurring Items'!$G$6:$G$56,0),14)=0)*(AB367&gt;=IFERROR('Recurring Items'!$G$6:$G$56,9000000000))+('Recurring Items'!$E$6:$E$56="Weekly")*(WEEKDAY(AB367)=IFERROR(WEEKDAY('Recurring Items'!$G$6:$G$56),0))*(AB367&gt;=IFERROR('Recurring Items'!$G$6:$G$56,9000000000))+('Recurring Items'!$E$6:$E$56="One-time")*(AB367='Recurring Items'!$G$6:$G$56)))</f>
        <v>0</v>
      </c>
      <c r="AE367" s="1" t="n">
        <f aca="false">SUMPRODUCT(('Recurring Items'!$C$6:$C$56="Expense")*('Recurring Items'!$H$6:$H$56&lt;&gt;"Skip")*IFERROR(N('Recurring Items'!$D$6:$D$56),0)*(('Recurring Items'!$E$6:$E$56="Monthly")*(DAY(AB367)='Recurring Items'!$F$6:$F$56)+('Recurring Items'!$E$6:$E$56="Bi-weekly")*(WEEKDAY(AB367)=IFERROR(WEEKDAY('Recurring Items'!$G$6:$G$56),0))*(MOD(AB367-IFERROR('Recurring Items'!$G$6:$G$56,0),14)=0)*(AB367&gt;=IFERROR('Recurring Items'!$G$6:$G$56,9000000000))+('Recurring Items'!$E$6:$E$56="Weekly")*(WEEKDAY(AB367)=IFERROR(WEEKDAY('Recurring Items'!$G$6:$G$56),0))*(AB367&gt;=IFERROR('Recurring Items'!$G$6:$G$56,9000000000))+('Recurring Items'!$E$6:$E$56="One-time")*(AB367='Recurring Items'!$G$6:$G$56)))</f>
        <v>2990.57</v>
      </c>
      <c r="AF367" s="1" t="n">
        <f aca="false">(IF(AC367=1,'Debt Tracker'!$P$5&gt;0.01,INDEX('Debt Tracker'!$T$5:$AE$29,1,AC367-1)&gt;0.01))*('Recurring Items'!$H$8&lt;&gt;"Skip")*(DAY(AB367)='Recurring Items'!$F$8)*IFERROR(N('Recurring Items'!$D$8),0)+(IF(AC367=1,'Debt Tracker'!$P$6&gt;0.01,INDEX('Debt Tracker'!$T$5:$AE$29,2,AC367-1)&gt;0.01))*('Recurring Items'!$H$9&lt;&gt;"Skip")*(DAY(AB367)='Recurring Items'!$F$9)*IFERROR(N('Recurring Items'!$D$9),0)+(IF(AC367=1,'Debt Tracker'!$P$7&gt;0.01,INDEX('Debt Tracker'!$T$5:$AE$29,3,AC367-1)&gt;0.01))*('Recurring Items'!$H$10&lt;&gt;"Skip")*(DAY(AB367)='Recurring Items'!$F$10)*IFERROR(N('Recurring Items'!$D$10),0)+(IF(AC367=1,'Debt Tracker'!$P$8&gt;0.01,INDEX('Debt Tracker'!$T$5:$AE$29,4,AC367-1)&gt;0.01))*('Recurring Items'!$H$11&lt;&gt;"Skip")*(DAY(AB367)='Recurring Items'!$F$11)*IFERROR(N('Recurring Items'!$D$11),0)+(IF(AC367=1,'Debt Tracker'!$P$9&gt;0.01,INDEX('Debt Tracker'!$T$5:$AE$29,5,AC367-1)&gt;0.01))*('Recurring Items'!$H$12&lt;&gt;"Skip")*(DAY(AB367)='Recurring Items'!$F$12)*IFERROR(N('Recurring Items'!$D$12),0)+(IF(AC367=1,'Debt Tracker'!$P$10&gt;0.01,INDEX('Debt Tracker'!$T$5:$AE$29,6,AC367-1)&gt;0.01))*('Recurring Items'!$H$13&lt;&gt;"Skip")*(DAY(AB367)='Recurring Items'!$F$13)*IFERROR(N('Recurring Items'!$D$13),0)+(IF(AC367=1,'Debt Tracker'!$P$11&gt;0.01,INDEX('Debt Tracker'!$T$5:$AE$29,7,AC367-1)&gt;0.01))*('Recurring Items'!$H$14&lt;&gt;"Skip")*(DAY(AB367)='Recurring Items'!$F$14)*IFERROR(N('Recurring Items'!$D$14),0)+(IF(AC367=1,'Debt Tracker'!$P$12&gt;0.01,INDEX('Debt Tracker'!$T$5:$AE$29,8,AC367-1)&gt;0.01))*('Recurring Items'!$H$15&lt;&gt;"Skip")*(DAY(AB367)='Recurring Items'!$F$15)*IFERROR(N('Recurring Items'!$D$15),0)+(IF(AC367=1,'Debt Tracker'!$P$13&gt;0.01,INDEX('Debt Tracker'!$T$5:$AE$29,9,AC367-1)&gt;0.01))*('Recurring Items'!$H$16&lt;&gt;"Skip")*(DAY(AB367)='Recurring Items'!$F$16)*IFERROR(N('Recurring Items'!$D$16),0)+(IF(AC367=1,'Debt Tracker'!$P$14&gt;0.01,INDEX('Debt Tracker'!$T$5:$AE$29,10,AC367-1)&gt;0.01))*('Recurring Items'!$H$17&lt;&gt;"Skip")*(DAY(AB367)='Recurring Items'!$F$17)*IFERROR(N('Recurring Items'!$D$17),0)+(IF(AC367=1,'Debt Tracker'!$P$15&gt;0.01,INDEX('Debt Tracker'!$T$5:$AE$29,11,AC367-1)&gt;0.01))*('Recurring Items'!$H$18&lt;&gt;"Skip")*(DAY(AB367)='Recurring Items'!$F$18)*IFERROR(N('Recurring Items'!$D$18),0)+(IF(AC367=1,'Debt Tracker'!$P$16&gt;0.01,INDEX('Debt Tracker'!$T$5:$AE$29,12,AC367-1)&gt;0.01))*('Recurring Items'!$H$19&lt;&gt;"Skip")*(DAY(AB367)='Recurring Items'!$F$19)*IFERROR(N('Recurring Items'!$D$19),0)+(IF(AC367=1,'Debt Tracker'!$P$17&gt;0.01,INDEX('Debt Tracker'!$T$5:$AE$29,13,AC367-1)&gt;0.01))*('Recurring Items'!$H$20&lt;&gt;"Skip")*(DAY(AB367)='Recurring Items'!$F$20)*IFERROR(N('Recurring Items'!$D$20),0)+(IF(AC367=1,'Debt Tracker'!$P$18&gt;0.01,INDEX('Debt Tracker'!$T$5:$AE$29,14,AC367-1)&gt;0.01))*('Recurring Items'!$H$21&lt;&gt;"Skip")*(DAY(AB367)='Recurring Items'!$F$21)*IFERROR(N('Recurring Items'!$D$21),0)+(IF(AC367=1,'Debt Tracker'!$P$19&gt;0.01,INDEX('Debt Tracker'!$T$5:$AE$29,15,AC367-1)&gt;0.01))*('Recurring Items'!$H$22&lt;&gt;"Skip")*(DAY(AB367)='Recurring Items'!$F$22)*IFERROR(N('Recurring Items'!$D$22),0)+(IF(AC367=1,'Debt Tracker'!$P$20&gt;0.01,INDEX('Debt Tracker'!$T$5:$AE$29,16,AC367-1)&gt;0.01))*('Recurring Items'!$H$23&lt;&gt;"Skip")*(DAY(AB367)='Recurring Items'!$F$23)*IFERROR(N('Recurring Items'!$D$23),0)+(IF(AC367=1,'Debt Tracker'!$P$21&gt;0.01,INDEX('Debt Tracker'!$T$5:$AE$29,17,AC367-1)&gt;0.01))*('Recurring Items'!$H$24&lt;&gt;"Skip")*(DAY(AB367)='Recurring Items'!$F$24)*IFERROR(N('Recurring Items'!$D$24),0)+(IF(AC367=1,'Debt Tracker'!$P$22&gt;0.01,INDEX('Debt Tracker'!$T$5:$AE$29,18,AC367-1)&gt;0.01))*('Recurring Items'!$H$25&lt;&gt;"Skip")*(DAY(AB367)='Recurring Items'!$F$25)*IFERROR(N('Recurring Items'!$D$25),0)+(IF(AC367=1,'Debt Tracker'!$P$23&gt;0.01,INDEX('Debt Tracker'!$T$5:$AE$29,19,AC367-1)&gt;0.01))*('Recurring Items'!$H$26&lt;&gt;"Skip")*(DAY(AB367)='Recurring Items'!$F$26)*IFERROR(N('Recurring Items'!$D$26),0)+(IF(AC367=1,'Debt Tracker'!$P$24&gt;0.01,INDEX('Debt Tracker'!$T$5:$AE$29,20,AC367-1)&gt;0.01))*('Recurring Items'!$H$27&lt;&gt;"Skip")*(DAY(AB367)='Recurring Items'!$F$27)*IFERROR(N('Recurring Items'!$D$27),0)+(IF(AC367=1,'Debt Tracker'!$P$25&gt;0.01,INDEX('Debt Tracker'!$T$5:$AE$29,21,AC367-1)&gt;0.01))*('Recurring Items'!$H$28&lt;&gt;"Skip")*(DAY(AB367)='Recurring Items'!$F$28)*IFERROR(N('Recurring Items'!$D$28),0)+(IF(AC367=1,'Debt Tracker'!$P$26&gt;0.01,INDEX('Debt Tracker'!$T$5:$AE$29,22,AC367-1)&gt;0.01))*('Recurring Items'!$H$29&lt;&gt;"Skip")*(DAY(AB367)='Recurring Items'!$F$29)*IFERROR(N('Recurring Items'!$D$29),0)+(IF(AC367=1,'Debt Tracker'!$P$27&gt;0.01,INDEX('Debt Tracker'!$T$5:$AE$29,23,AC367-1)&gt;0.01))*('Recurring Items'!$H$30&lt;&gt;"Skip")*(DAY(AB367)='Recurring Items'!$F$30)*IFERROR(N('Recurring Items'!$D$30),0)+(IF(AC367=1,'Debt Tracker'!$P$28&gt;0.01,INDEX('Debt Tracker'!$T$5:$AE$29,24,AC367-1)&gt;0.01))*('Recurring Items'!$H$31&lt;&gt;"Skip")*(DAY(AB367)='Recurring Items'!$F$31)*IFERROR(N('Recurring Items'!$D$31),0)+(IF(AC367=1,'Debt Tracker'!$P$29&gt;0.01,INDEX('Debt Tracker'!$T$5:$AE$29,25,AC367-1)&gt;0.01))*('Recurring Items'!$H$32&lt;&gt;"Skip")*(DAY(AB367)='Recurring Items'!$F$32)*IFERROR(N('Recurring Items'!$D$32),0)</f>
        <v>107.75</v>
      </c>
      <c r="AG367" s="1" t="n">
        <f aca="false">AD367-AE367-AF367</f>
        <v>-3098.32</v>
      </c>
      <c r="AH367" s="1" t="n">
        <f aca="false">AH366+AG367</f>
        <v>7792.34</v>
      </c>
    </row>
    <row r="368" customFormat="false" ht="15" hidden="false" customHeight="true" outlineLevel="0" collapsed="false">
      <c r="AA368" s="1" t="n">
        <v>168</v>
      </c>
      <c r="AB368" s="145" t="n">
        <f aca="false">$D$3+168</f>
        <v>46311</v>
      </c>
      <c r="AC368" s="1" t="n">
        <f aca="false">MIN(12,1+DATEDIF($D$3,AB368,"M"))</f>
        <v>6</v>
      </c>
      <c r="AD368" s="1" t="n">
        <f aca="false">SUMPRODUCT(('Recurring Items'!$C$6:$C$56="Income")*('Recurring Items'!$H$6:$H$56&lt;&gt;"Skip")*IFERROR(N('Recurring Items'!$D$6:$D$56),0)*(('Recurring Items'!$E$6:$E$56="Monthly")*(DAY(AB368)='Recurring Items'!$F$6:$F$56)+('Recurring Items'!$E$6:$E$56="Bi-weekly")*(WEEKDAY(AB368)=IFERROR(WEEKDAY('Recurring Items'!$G$6:$G$56),0))*(MOD(AB368-IFERROR('Recurring Items'!$G$6:$G$56,0),14)=0)*(AB368&gt;=IFERROR('Recurring Items'!$G$6:$G$56,9000000000))+('Recurring Items'!$E$6:$E$56="Weekly")*(WEEKDAY(AB368)=IFERROR(WEEKDAY('Recurring Items'!$G$6:$G$56),0))*(AB368&gt;=IFERROR('Recurring Items'!$G$6:$G$56,9000000000))+('Recurring Items'!$E$6:$E$56="One-time")*(AB368='Recurring Items'!$G$6:$G$56)))</f>
        <v>3819.79</v>
      </c>
      <c r="AE368" s="1" t="n">
        <f aca="false">SUMPRODUCT(('Recurring Items'!$C$6:$C$56="Expense")*('Recurring Items'!$H$6:$H$56&lt;&gt;"Skip")*IFERROR(N('Recurring Items'!$D$6:$D$56),0)*(('Recurring Items'!$E$6:$E$56="Monthly")*(DAY(AB368)='Recurring Items'!$F$6:$F$56)+('Recurring Items'!$E$6:$E$56="Bi-weekly")*(WEEKDAY(AB368)=IFERROR(WEEKDAY('Recurring Items'!$G$6:$G$56),0))*(MOD(AB368-IFERROR('Recurring Items'!$G$6:$G$56,0),14)=0)*(AB368&gt;=IFERROR('Recurring Items'!$G$6:$G$56,9000000000))+('Recurring Items'!$E$6:$E$56="Weekly")*(WEEKDAY(AB368)=IFERROR(WEEKDAY('Recurring Items'!$G$6:$G$56),0))*(AB368&gt;=IFERROR('Recurring Items'!$G$6:$G$56,9000000000))+('Recurring Items'!$E$6:$E$56="One-time")*(AB368='Recurring Items'!$G$6:$G$56)))</f>
        <v>802</v>
      </c>
      <c r="AF368" s="1" t="n">
        <f aca="false">(IF(AC368=1,'Debt Tracker'!$P$5&gt;0.01,INDEX('Debt Tracker'!$T$5:$AE$29,1,AC368-1)&gt;0.01))*('Recurring Items'!$H$8&lt;&gt;"Skip")*(DAY(AB368)='Recurring Items'!$F$8)*IFERROR(N('Recurring Items'!$D$8),0)+(IF(AC368=1,'Debt Tracker'!$P$6&gt;0.01,INDEX('Debt Tracker'!$T$5:$AE$29,2,AC368-1)&gt;0.01))*('Recurring Items'!$H$9&lt;&gt;"Skip")*(DAY(AB368)='Recurring Items'!$F$9)*IFERROR(N('Recurring Items'!$D$9),0)+(IF(AC368=1,'Debt Tracker'!$P$7&gt;0.01,INDEX('Debt Tracker'!$T$5:$AE$29,3,AC368-1)&gt;0.01))*('Recurring Items'!$H$10&lt;&gt;"Skip")*(DAY(AB368)='Recurring Items'!$F$10)*IFERROR(N('Recurring Items'!$D$10),0)+(IF(AC368=1,'Debt Tracker'!$P$8&gt;0.01,INDEX('Debt Tracker'!$T$5:$AE$29,4,AC368-1)&gt;0.01))*('Recurring Items'!$H$11&lt;&gt;"Skip")*(DAY(AB368)='Recurring Items'!$F$11)*IFERROR(N('Recurring Items'!$D$11),0)+(IF(AC368=1,'Debt Tracker'!$P$9&gt;0.01,INDEX('Debt Tracker'!$T$5:$AE$29,5,AC368-1)&gt;0.01))*('Recurring Items'!$H$12&lt;&gt;"Skip")*(DAY(AB368)='Recurring Items'!$F$12)*IFERROR(N('Recurring Items'!$D$12),0)+(IF(AC368=1,'Debt Tracker'!$P$10&gt;0.01,INDEX('Debt Tracker'!$T$5:$AE$29,6,AC368-1)&gt;0.01))*('Recurring Items'!$H$13&lt;&gt;"Skip")*(DAY(AB368)='Recurring Items'!$F$13)*IFERROR(N('Recurring Items'!$D$13),0)+(IF(AC368=1,'Debt Tracker'!$P$11&gt;0.01,INDEX('Debt Tracker'!$T$5:$AE$29,7,AC368-1)&gt;0.01))*('Recurring Items'!$H$14&lt;&gt;"Skip")*(DAY(AB368)='Recurring Items'!$F$14)*IFERROR(N('Recurring Items'!$D$14),0)+(IF(AC368=1,'Debt Tracker'!$P$12&gt;0.01,INDEX('Debt Tracker'!$T$5:$AE$29,8,AC368-1)&gt;0.01))*('Recurring Items'!$H$15&lt;&gt;"Skip")*(DAY(AB368)='Recurring Items'!$F$15)*IFERROR(N('Recurring Items'!$D$15),0)+(IF(AC368=1,'Debt Tracker'!$P$13&gt;0.01,INDEX('Debt Tracker'!$T$5:$AE$29,9,AC368-1)&gt;0.01))*('Recurring Items'!$H$16&lt;&gt;"Skip")*(DAY(AB368)='Recurring Items'!$F$16)*IFERROR(N('Recurring Items'!$D$16),0)+(IF(AC368=1,'Debt Tracker'!$P$14&gt;0.01,INDEX('Debt Tracker'!$T$5:$AE$29,10,AC368-1)&gt;0.01))*('Recurring Items'!$H$17&lt;&gt;"Skip")*(DAY(AB368)='Recurring Items'!$F$17)*IFERROR(N('Recurring Items'!$D$17),0)+(IF(AC368=1,'Debt Tracker'!$P$15&gt;0.01,INDEX('Debt Tracker'!$T$5:$AE$29,11,AC368-1)&gt;0.01))*('Recurring Items'!$H$18&lt;&gt;"Skip")*(DAY(AB368)='Recurring Items'!$F$18)*IFERROR(N('Recurring Items'!$D$18),0)+(IF(AC368=1,'Debt Tracker'!$P$16&gt;0.01,INDEX('Debt Tracker'!$T$5:$AE$29,12,AC368-1)&gt;0.01))*('Recurring Items'!$H$19&lt;&gt;"Skip")*(DAY(AB368)='Recurring Items'!$F$19)*IFERROR(N('Recurring Items'!$D$19),0)+(IF(AC368=1,'Debt Tracker'!$P$17&gt;0.01,INDEX('Debt Tracker'!$T$5:$AE$29,13,AC368-1)&gt;0.01))*('Recurring Items'!$H$20&lt;&gt;"Skip")*(DAY(AB368)='Recurring Items'!$F$20)*IFERROR(N('Recurring Items'!$D$20),0)+(IF(AC368=1,'Debt Tracker'!$P$18&gt;0.01,INDEX('Debt Tracker'!$T$5:$AE$29,14,AC368-1)&gt;0.01))*('Recurring Items'!$H$21&lt;&gt;"Skip")*(DAY(AB368)='Recurring Items'!$F$21)*IFERROR(N('Recurring Items'!$D$21),0)+(IF(AC368=1,'Debt Tracker'!$P$19&gt;0.01,INDEX('Debt Tracker'!$T$5:$AE$29,15,AC368-1)&gt;0.01))*('Recurring Items'!$H$22&lt;&gt;"Skip")*(DAY(AB368)='Recurring Items'!$F$22)*IFERROR(N('Recurring Items'!$D$22),0)+(IF(AC368=1,'Debt Tracker'!$P$20&gt;0.01,INDEX('Debt Tracker'!$T$5:$AE$29,16,AC368-1)&gt;0.01))*('Recurring Items'!$H$23&lt;&gt;"Skip")*(DAY(AB368)='Recurring Items'!$F$23)*IFERROR(N('Recurring Items'!$D$23),0)+(IF(AC368=1,'Debt Tracker'!$P$21&gt;0.01,INDEX('Debt Tracker'!$T$5:$AE$29,17,AC368-1)&gt;0.01))*('Recurring Items'!$H$24&lt;&gt;"Skip")*(DAY(AB368)='Recurring Items'!$F$24)*IFERROR(N('Recurring Items'!$D$24),0)+(IF(AC368=1,'Debt Tracker'!$P$22&gt;0.01,INDEX('Debt Tracker'!$T$5:$AE$29,18,AC368-1)&gt;0.01))*('Recurring Items'!$H$25&lt;&gt;"Skip")*(DAY(AB368)='Recurring Items'!$F$25)*IFERROR(N('Recurring Items'!$D$25),0)+(IF(AC368=1,'Debt Tracker'!$P$23&gt;0.01,INDEX('Debt Tracker'!$T$5:$AE$29,19,AC368-1)&gt;0.01))*('Recurring Items'!$H$26&lt;&gt;"Skip")*(DAY(AB368)='Recurring Items'!$F$26)*IFERROR(N('Recurring Items'!$D$26),0)+(IF(AC368=1,'Debt Tracker'!$P$24&gt;0.01,INDEX('Debt Tracker'!$T$5:$AE$29,20,AC368-1)&gt;0.01))*('Recurring Items'!$H$27&lt;&gt;"Skip")*(DAY(AB368)='Recurring Items'!$F$27)*IFERROR(N('Recurring Items'!$D$27),0)+(IF(AC368=1,'Debt Tracker'!$P$25&gt;0.01,INDEX('Debt Tracker'!$T$5:$AE$29,21,AC368-1)&gt;0.01))*('Recurring Items'!$H$28&lt;&gt;"Skip")*(DAY(AB368)='Recurring Items'!$F$28)*IFERROR(N('Recurring Items'!$D$28),0)+(IF(AC368=1,'Debt Tracker'!$P$26&gt;0.01,INDEX('Debt Tracker'!$T$5:$AE$29,22,AC368-1)&gt;0.01))*('Recurring Items'!$H$29&lt;&gt;"Skip")*(DAY(AB368)='Recurring Items'!$F$29)*IFERROR(N('Recurring Items'!$D$29),0)+(IF(AC368=1,'Debt Tracker'!$P$27&gt;0.01,INDEX('Debt Tracker'!$T$5:$AE$29,23,AC368-1)&gt;0.01))*('Recurring Items'!$H$30&lt;&gt;"Skip")*(DAY(AB368)='Recurring Items'!$F$30)*IFERROR(N('Recurring Items'!$D$30),0)+(IF(AC368=1,'Debt Tracker'!$P$28&gt;0.01,INDEX('Debt Tracker'!$T$5:$AE$29,24,AC368-1)&gt;0.01))*('Recurring Items'!$H$31&lt;&gt;"Skip")*(DAY(AB368)='Recurring Items'!$F$31)*IFERROR(N('Recurring Items'!$D$31),0)+(IF(AC368=1,'Debt Tracker'!$P$29&gt;0.01,INDEX('Debt Tracker'!$T$5:$AE$29,25,AC368-1)&gt;0.01))*('Recurring Items'!$H$32&lt;&gt;"Skip")*(DAY(AB368)='Recurring Items'!$F$32)*IFERROR(N('Recurring Items'!$D$32),0)</f>
        <v>143</v>
      </c>
      <c r="AG368" s="1" t="n">
        <f aca="false">AD368-AE368-AF368</f>
        <v>2874.79</v>
      </c>
      <c r="AH368" s="1" t="n">
        <f aca="false">AH367+AG368</f>
        <v>10667.13</v>
      </c>
    </row>
    <row r="369" customFormat="false" ht="15" hidden="false" customHeight="true" outlineLevel="0" collapsed="false">
      <c r="AA369" s="1" t="n">
        <v>169</v>
      </c>
      <c r="AB369" s="145" t="n">
        <f aca="false">$D$3+169</f>
        <v>46312</v>
      </c>
      <c r="AC369" s="1" t="n">
        <f aca="false">MIN(12,1+DATEDIF($D$3,AB369,"M"))</f>
        <v>6</v>
      </c>
      <c r="AD369" s="1" t="n">
        <f aca="false">SUMPRODUCT(('Recurring Items'!$C$6:$C$56="Income")*('Recurring Items'!$H$6:$H$56&lt;&gt;"Skip")*IFERROR(N('Recurring Items'!$D$6:$D$56),0)*(('Recurring Items'!$E$6:$E$56="Monthly")*(DAY(AB369)='Recurring Items'!$F$6:$F$56)+('Recurring Items'!$E$6:$E$56="Bi-weekly")*(WEEKDAY(AB369)=IFERROR(WEEKDAY('Recurring Items'!$G$6:$G$56),0))*(MOD(AB369-IFERROR('Recurring Items'!$G$6:$G$56,0),14)=0)*(AB369&gt;=IFERROR('Recurring Items'!$G$6:$G$56,9000000000))+('Recurring Items'!$E$6:$E$56="Weekly")*(WEEKDAY(AB369)=IFERROR(WEEKDAY('Recurring Items'!$G$6:$G$56),0))*(AB369&gt;=IFERROR('Recurring Items'!$G$6:$G$56,9000000000))+('Recurring Items'!$E$6:$E$56="One-time")*(AB369='Recurring Items'!$G$6:$G$56)))</f>
        <v>0</v>
      </c>
      <c r="AE369" s="1" t="n">
        <f aca="false">SUMPRODUCT(('Recurring Items'!$C$6:$C$56="Expense")*('Recurring Items'!$H$6:$H$56&lt;&gt;"Skip")*IFERROR(N('Recurring Items'!$D$6:$D$56),0)*(('Recurring Items'!$E$6:$E$56="Monthly")*(DAY(AB369)='Recurring Items'!$F$6:$F$56)+('Recurring Items'!$E$6:$E$56="Bi-weekly")*(WEEKDAY(AB369)=IFERROR(WEEKDAY('Recurring Items'!$G$6:$G$56),0))*(MOD(AB369-IFERROR('Recurring Items'!$G$6:$G$56,0),14)=0)*(AB369&gt;=IFERROR('Recurring Items'!$G$6:$G$56,9000000000))+('Recurring Items'!$E$6:$E$56="Weekly")*(WEEKDAY(AB369)=IFERROR(WEEKDAY('Recurring Items'!$G$6:$G$56),0))*(AB369&gt;=IFERROR('Recurring Items'!$G$6:$G$56,9000000000))+('Recurring Items'!$E$6:$E$56="One-time")*(AB369='Recurring Items'!$G$6:$G$56)))</f>
        <v>0</v>
      </c>
      <c r="AF369" s="1" t="n">
        <f aca="false">(IF(AC369=1,'Debt Tracker'!$P$5&gt;0.01,INDEX('Debt Tracker'!$T$5:$AE$29,1,AC369-1)&gt;0.01))*('Recurring Items'!$H$8&lt;&gt;"Skip")*(DAY(AB369)='Recurring Items'!$F$8)*IFERROR(N('Recurring Items'!$D$8),0)+(IF(AC369=1,'Debt Tracker'!$P$6&gt;0.01,INDEX('Debt Tracker'!$T$5:$AE$29,2,AC369-1)&gt;0.01))*('Recurring Items'!$H$9&lt;&gt;"Skip")*(DAY(AB369)='Recurring Items'!$F$9)*IFERROR(N('Recurring Items'!$D$9),0)+(IF(AC369=1,'Debt Tracker'!$P$7&gt;0.01,INDEX('Debt Tracker'!$T$5:$AE$29,3,AC369-1)&gt;0.01))*('Recurring Items'!$H$10&lt;&gt;"Skip")*(DAY(AB369)='Recurring Items'!$F$10)*IFERROR(N('Recurring Items'!$D$10),0)+(IF(AC369=1,'Debt Tracker'!$P$8&gt;0.01,INDEX('Debt Tracker'!$T$5:$AE$29,4,AC369-1)&gt;0.01))*('Recurring Items'!$H$11&lt;&gt;"Skip")*(DAY(AB369)='Recurring Items'!$F$11)*IFERROR(N('Recurring Items'!$D$11),0)+(IF(AC369=1,'Debt Tracker'!$P$9&gt;0.01,INDEX('Debt Tracker'!$T$5:$AE$29,5,AC369-1)&gt;0.01))*('Recurring Items'!$H$12&lt;&gt;"Skip")*(DAY(AB369)='Recurring Items'!$F$12)*IFERROR(N('Recurring Items'!$D$12),0)+(IF(AC369=1,'Debt Tracker'!$P$10&gt;0.01,INDEX('Debt Tracker'!$T$5:$AE$29,6,AC369-1)&gt;0.01))*('Recurring Items'!$H$13&lt;&gt;"Skip")*(DAY(AB369)='Recurring Items'!$F$13)*IFERROR(N('Recurring Items'!$D$13),0)+(IF(AC369=1,'Debt Tracker'!$P$11&gt;0.01,INDEX('Debt Tracker'!$T$5:$AE$29,7,AC369-1)&gt;0.01))*('Recurring Items'!$H$14&lt;&gt;"Skip")*(DAY(AB369)='Recurring Items'!$F$14)*IFERROR(N('Recurring Items'!$D$14),0)+(IF(AC369=1,'Debt Tracker'!$P$12&gt;0.01,INDEX('Debt Tracker'!$T$5:$AE$29,8,AC369-1)&gt;0.01))*('Recurring Items'!$H$15&lt;&gt;"Skip")*(DAY(AB369)='Recurring Items'!$F$15)*IFERROR(N('Recurring Items'!$D$15),0)+(IF(AC369=1,'Debt Tracker'!$P$13&gt;0.01,INDEX('Debt Tracker'!$T$5:$AE$29,9,AC369-1)&gt;0.01))*('Recurring Items'!$H$16&lt;&gt;"Skip")*(DAY(AB369)='Recurring Items'!$F$16)*IFERROR(N('Recurring Items'!$D$16),0)+(IF(AC369=1,'Debt Tracker'!$P$14&gt;0.01,INDEX('Debt Tracker'!$T$5:$AE$29,10,AC369-1)&gt;0.01))*('Recurring Items'!$H$17&lt;&gt;"Skip")*(DAY(AB369)='Recurring Items'!$F$17)*IFERROR(N('Recurring Items'!$D$17),0)+(IF(AC369=1,'Debt Tracker'!$P$15&gt;0.01,INDEX('Debt Tracker'!$T$5:$AE$29,11,AC369-1)&gt;0.01))*('Recurring Items'!$H$18&lt;&gt;"Skip")*(DAY(AB369)='Recurring Items'!$F$18)*IFERROR(N('Recurring Items'!$D$18),0)+(IF(AC369=1,'Debt Tracker'!$P$16&gt;0.01,INDEX('Debt Tracker'!$T$5:$AE$29,12,AC369-1)&gt;0.01))*('Recurring Items'!$H$19&lt;&gt;"Skip")*(DAY(AB369)='Recurring Items'!$F$19)*IFERROR(N('Recurring Items'!$D$19),0)+(IF(AC369=1,'Debt Tracker'!$P$17&gt;0.01,INDEX('Debt Tracker'!$T$5:$AE$29,13,AC369-1)&gt;0.01))*('Recurring Items'!$H$20&lt;&gt;"Skip")*(DAY(AB369)='Recurring Items'!$F$20)*IFERROR(N('Recurring Items'!$D$20),0)+(IF(AC369=1,'Debt Tracker'!$P$18&gt;0.01,INDEX('Debt Tracker'!$T$5:$AE$29,14,AC369-1)&gt;0.01))*('Recurring Items'!$H$21&lt;&gt;"Skip")*(DAY(AB369)='Recurring Items'!$F$21)*IFERROR(N('Recurring Items'!$D$21),0)+(IF(AC369=1,'Debt Tracker'!$P$19&gt;0.01,INDEX('Debt Tracker'!$T$5:$AE$29,15,AC369-1)&gt;0.01))*('Recurring Items'!$H$22&lt;&gt;"Skip")*(DAY(AB369)='Recurring Items'!$F$22)*IFERROR(N('Recurring Items'!$D$22),0)+(IF(AC369=1,'Debt Tracker'!$P$20&gt;0.01,INDEX('Debt Tracker'!$T$5:$AE$29,16,AC369-1)&gt;0.01))*('Recurring Items'!$H$23&lt;&gt;"Skip")*(DAY(AB369)='Recurring Items'!$F$23)*IFERROR(N('Recurring Items'!$D$23),0)+(IF(AC369=1,'Debt Tracker'!$P$21&gt;0.01,INDEX('Debt Tracker'!$T$5:$AE$29,17,AC369-1)&gt;0.01))*('Recurring Items'!$H$24&lt;&gt;"Skip")*(DAY(AB369)='Recurring Items'!$F$24)*IFERROR(N('Recurring Items'!$D$24),0)+(IF(AC369=1,'Debt Tracker'!$P$22&gt;0.01,INDEX('Debt Tracker'!$T$5:$AE$29,18,AC369-1)&gt;0.01))*('Recurring Items'!$H$25&lt;&gt;"Skip")*(DAY(AB369)='Recurring Items'!$F$25)*IFERROR(N('Recurring Items'!$D$25),0)+(IF(AC369=1,'Debt Tracker'!$P$23&gt;0.01,INDEX('Debt Tracker'!$T$5:$AE$29,19,AC369-1)&gt;0.01))*('Recurring Items'!$H$26&lt;&gt;"Skip")*(DAY(AB369)='Recurring Items'!$F$26)*IFERROR(N('Recurring Items'!$D$26),0)+(IF(AC369=1,'Debt Tracker'!$P$24&gt;0.01,INDEX('Debt Tracker'!$T$5:$AE$29,20,AC369-1)&gt;0.01))*('Recurring Items'!$H$27&lt;&gt;"Skip")*(DAY(AB369)='Recurring Items'!$F$27)*IFERROR(N('Recurring Items'!$D$27),0)+(IF(AC369=1,'Debt Tracker'!$P$25&gt;0.01,INDEX('Debt Tracker'!$T$5:$AE$29,21,AC369-1)&gt;0.01))*('Recurring Items'!$H$28&lt;&gt;"Skip")*(DAY(AB369)='Recurring Items'!$F$28)*IFERROR(N('Recurring Items'!$D$28),0)+(IF(AC369=1,'Debt Tracker'!$P$26&gt;0.01,INDEX('Debt Tracker'!$T$5:$AE$29,22,AC369-1)&gt;0.01))*('Recurring Items'!$H$29&lt;&gt;"Skip")*(DAY(AB369)='Recurring Items'!$F$29)*IFERROR(N('Recurring Items'!$D$29),0)+(IF(AC369=1,'Debt Tracker'!$P$27&gt;0.01,INDEX('Debt Tracker'!$T$5:$AE$29,23,AC369-1)&gt;0.01))*('Recurring Items'!$H$30&lt;&gt;"Skip")*(DAY(AB369)='Recurring Items'!$F$30)*IFERROR(N('Recurring Items'!$D$30),0)+(IF(AC369=1,'Debt Tracker'!$P$28&gt;0.01,INDEX('Debt Tracker'!$T$5:$AE$29,24,AC369-1)&gt;0.01))*('Recurring Items'!$H$31&lt;&gt;"Skip")*(DAY(AB369)='Recurring Items'!$F$31)*IFERROR(N('Recurring Items'!$D$31),0)+(IF(AC369=1,'Debt Tracker'!$P$29&gt;0.01,INDEX('Debt Tracker'!$T$5:$AE$29,25,AC369-1)&gt;0.01))*('Recurring Items'!$H$32&lt;&gt;"Skip")*(DAY(AB369)='Recurring Items'!$F$32)*IFERROR(N('Recurring Items'!$D$32),0)</f>
        <v>0</v>
      </c>
      <c r="AG369" s="1" t="n">
        <f aca="false">AD369-AE369-AF369</f>
        <v>0</v>
      </c>
      <c r="AH369" s="1" t="n">
        <f aca="false">AH368+AG369</f>
        <v>10667.13</v>
      </c>
    </row>
    <row r="370" customFormat="false" ht="15" hidden="false" customHeight="true" outlineLevel="0" collapsed="false">
      <c r="AA370" s="1" t="n">
        <v>170</v>
      </c>
      <c r="AB370" s="145" t="n">
        <f aca="false">$D$3+170</f>
        <v>46313</v>
      </c>
      <c r="AC370" s="1" t="n">
        <f aca="false">MIN(12,1+DATEDIF($D$3,AB370,"M"))</f>
        <v>6</v>
      </c>
      <c r="AD370" s="1" t="n">
        <f aca="false">SUMPRODUCT(('Recurring Items'!$C$6:$C$56="Income")*('Recurring Items'!$H$6:$H$56&lt;&gt;"Skip")*IFERROR(N('Recurring Items'!$D$6:$D$56),0)*(('Recurring Items'!$E$6:$E$56="Monthly")*(DAY(AB370)='Recurring Items'!$F$6:$F$56)+('Recurring Items'!$E$6:$E$56="Bi-weekly")*(WEEKDAY(AB370)=IFERROR(WEEKDAY('Recurring Items'!$G$6:$G$56),0))*(MOD(AB370-IFERROR('Recurring Items'!$G$6:$G$56,0),14)=0)*(AB370&gt;=IFERROR('Recurring Items'!$G$6:$G$56,9000000000))+('Recurring Items'!$E$6:$E$56="Weekly")*(WEEKDAY(AB370)=IFERROR(WEEKDAY('Recurring Items'!$G$6:$G$56),0))*(AB370&gt;=IFERROR('Recurring Items'!$G$6:$G$56,9000000000))+('Recurring Items'!$E$6:$E$56="One-time")*(AB370='Recurring Items'!$G$6:$G$56)))</f>
        <v>0</v>
      </c>
      <c r="AE370" s="1" t="n">
        <f aca="false">SUMPRODUCT(('Recurring Items'!$C$6:$C$56="Expense")*('Recurring Items'!$H$6:$H$56&lt;&gt;"Skip")*IFERROR(N('Recurring Items'!$D$6:$D$56),0)*(('Recurring Items'!$E$6:$E$56="Monthly")*(DAY(AB370)='Recurring Items'!$F$6:$F$56)+('Recurring Items'!$E$6:$E$56="Bi-weekly")*(WEEKDAY(AB370)=IFERROR(WEEKDAY('Recurring Items'!$G$6:$G$56),0))*(MOD(AB370-IFERROR('Recurring Items'!$G$6:$G$56,0),14)=0)*(AB370&gt;=IFERROR('Recurring Items'!$G$6:$G$56,9000000000))+('Recurring Items'!$E$6:$E$56="Weekly")*(WEEKDAY(AB370)=IFERROR(WEEKDAY('Recurring Items'!$G$6:$G$56),0))*(AB370&gt;=IFERROR('Recurring Items'!$G$6:$G$56,9000000000))+('Recurring Items'!$E$6:$E$56="One-time")*(AB370='Recurring Items'!$G$6:$G$56)))</f>
        <v>0</v>
      </c>
      <c r="AF370" s="1" t="n">
        <f aca="false">(IF(AC370=1,'Debt Tracker'!$P$5&gt;0.01,INDEX('Debt Tracker'!$T$5:$AE$29,1,AC370-1)&gt;0.01))*('Recurring Items'!$H$8&lt;&gt;"Skip")*(DAY(AB370)='Recurring Items'!$F$8)*IFERROR(N('Recurring Items'!$D$8),0)+(IF(AC370=1,'Debt Tracker'!$P$6&gt;0.01,INDEX('Debt Tracker'!$T$5:$AE$29,2,AC370-1)&gt;0.01))*('Recurring Items'!$H$9&lt;&gt;"Skip")*(DAY(AB370)='Recurring Items'!$F$9)*IFERROR(N('Recurring Items'!$D$9),0)+(IF(AC370=1,'Debt Tracker'!$P$7&gt;0.01,INDEX('Debt Tracker'!$T$5:$AE$29,3,AC370-1)&gt;0.01))*('Recurring Items'!$H$10&lt;&gt;"Skip")*(DAY(AB370)='Recurring Items'!$F$10)*IFERROR(N('Recurring Items'!$D$10),0)+(IF(AC370=1,'Debt Tracker'!$P$8&gt;0.01,INDEX('Debt Tracker'!$T$5:$AE$29,4,AC370-1)&gt;0.01))*('Recurring Items'!$H$11&lt;&gt;"Skip")*(DAY(AB370)='Recurring Items'!$F$11)*IFERROR(N('Recurring Items'!$D$11),0)+(IF(AC370=1,'Debt Tracker'!$P$9&gt;0.01,INDEX('Debt Tracker'!$T$5:$AE$29,5,AC370-1)&gt;0.01))*('Recurring Items'!$H$12&lt;&gt;"Skip")*(DAY(AB370)='Recurring Items'!$F$12)*IFERROR(N('Recurring Items'!$D$12),0)+(IF(AC370=1,'Debt Tracker'!$P$10&gt;0.01,INDEX('Debt Tracker'!$T$5:$AE$29,6,AC370-1)&gt;0.01))*('Recurring Items'!$H$13&lt;&gt;"Skip")*(DAY(AB370)='Recurring Items'!$F$13)*IFERROR(N('Recurring Items'!$D$13),0)+(IF(AC370=1,'Debt Tracker'!$P$11&gt;0.01,INDEX('Debt Tracker'!$T$5:$AE$29,7,AC370-1)&gt;0.01))*('Recurring Items'!$H$14&lt;&gt;"Skip")*(DAY(AB370)='Recurring Items'!$F$14)*IFERROR(N('Recurring Items'!$D$14),0)+(IF(AC370=1,'Debt Tracker'!$P$12&gt;0.01,INDEX('Debt Tracker'!$T$5:$AE$29,8,AC370-1)&gt;0.01))*('Recurring Items'!$H$15&lt;&gt;"Skip")*(DAY(AB370)='Recurring Items'!$F$15)*IFERROR(N('Recurring Items'!$D$15),0)+(IF(AC370=1,'Debt Tracker'!$P$13&gt;0.01,INDEX('Debt Tracker'!$T$5:$AE$29,9,AC370-1)&gt;0.01))*('Recurring Items'!$H$16&lt;&gt;"Skip")*(DAY(AB370)='Recurring Items'!$F$16)*IFERROR(N('Recurring Items'!$D$16),0)+(IF(AC370=1,'Debt Tracker'!$P$14&gt;0.01,INDEX('Debt Tracker'!$T$5:$AE$29,10,AC370-1)&gt;0.01))*('Recurring Items'!$H$17&lt;&gt;"Skip")*(DAY(AB370)='Recurring Items'!$F$17)*IFERROR(N('Recurring Items'!$D$17),0)+(IF(AC370=1,'Debt Tracker'!$P$15&gt;0.01,INDEX('Debt Tracker'!$T$5:$AE$29,11,AC370-1)&gt;0.01))*('Recurring Items'!$H$18&lt;&gt;"Skip")*(DAY(AB370)='Recurring Items'!$F$18)*IFERROR(N('Recurring Items'!$D$18),0)+(IF(AC370=1,'Debt Tracker'!$P$16&gt;0.01,INDEX('Debt Tracker'!$T$5:$AE$29,12,AC370-1)&gt;0.01))*('Recurring Items'!$H$19&lt;&gt;"Skip")*(DAY(AB370)='Recurring Items'!$F$19)*IFERROR(N('Recurring Items'!$D$19),0)+(IF(AC370=1,'Debt Tracker'!$P$17&gt;0.01,INDEX('Debt Tracker'!$T$5:$AE$29,13,AC370-1)&gt;0.01))*('Recurring Items'!$H$20&lt;&gt;"Skip")*(DAY(AB370)='Recurring Items'!$F$20)*IFERROR(N('Recurring Items'!$D$20),0)+(IF(AC370=1,'Debt Tracker'!$P$18&gt;0.01,INDEX('Debt Tracker'!$T$5:$AE$29,14,AC370-1)&gt;0.01))*('Recurring Items'!$H$21&lt;&gt;"Skip")*(DAY(AB370)='Recurring Items'!$F$21)*IFERROR(N('Recurring Items'!$D$21),0)+(IF(AC370=1,'Debt Tracker'!$P$19&gt;0.01,INDEX('Debt Tracker'!$T$5:$AE$29,15,AC370-1)&gt;0.01))*('Recurring Items'!$H$22&lt;&gt;"Skip")*(DAY(AB370)='Recurring Items'!$F$22)*IFERROR(N('Recurring Items'!$D$22),0)+(IF(AC370=1,'Debt Tracker'!$P$20&gt;0.01,INDEX('Debt Tracker'!$T$5:$AE$29,16,AC370-1)&gt;0.01))*('Recurring Items'!$H$23&lt;&gt;"Skip")*(DAY(AB370)='Recurring Items'!$F$23)*IFERROR(N('Recurring Items'!$D$23),0)+(IF(AC370=1,'Debt Tracker'!$P$21&gt;0.01,INDEX('Debt Tracker'!$T$5:$AE$29,17,AC370-1)&gt;0.01))*('Recurring Items'!$H$24&lt;&gt;"Skip")*(DAY(AB370)='Recurring Items'!$F$24)*IFERROR(N('Recurring Items'!$D$24),0)+(IF(AC370=1,'Debt Tracker'!$P$22&gt;0.01,INDEX('Debt Tracker'!$T$5:$AE$29,18,AC370-1)&gt;0.01))*('Recurring Items'!$H$25&lt;&gt;"Skip")*(DAY(AB370)='Recurring Items'!$F$25)*IFERROR(N('Recurring Items'!$D$25),0)+(IF(AC370=1,'Debt Tracker'!$P$23&gt;0.01,INDEX('Debt Tracker'!$T$5:$AE$29,19,AC370-1)&gt;0.01))*('Recurring Items'!$H$26&lt;&gt;"Skip")*(DAY(AB370)='Recurring Items'!$F$26)*IFERROR(N('Recurring Items'!$D$26),0)+(IF(AC370=1,'Debt Tracker'!$P$24&gt;0.01,INDEX('Debt Tracker'!$T$5:$AE$29,20,AC370-1)&gt;0.01))*('Recurring Items'!$H$27&lt;&gt;"Skip")*(DAY(AB370)='Recurring Items'!$F$27)*IFERROR(N('Recurring Items'!$D$27),0)+(IF(AC370=1,'Debt Tracker'!$P$25&gt;0.01,INDEX('Debt Tracker'!$T$5:$AE$29,21,AC370-1)&gt;0.01))*('Recurring Items'!$H$28&lt;&gt;"Skip")*(DAY(AB370)='Recurring Items'!$F$28)*IFERROR(N('Recurring Items'!$D$28),0)+(IF(AC370=1,'Debt Tracker'!$P$26&gt;0.01,INDEX('Debt Tracker'!$T$5:$AE$29,22,AC370-1)&gt;0.01))*('Recurring Items'!$H$29&lt;&gt;"Skip")*(DAY(AB370)='Recurring Items'!$F$29)*IFERROR(N('Recurring Items'!$D$29),0)+(IF(AC370=1,'Debt Tracker'!$P$27&gt;0.01,INDEX('Debt Tracker'!$T$5:$AE$29,23,AC370-1)&gt;0.01))*('Recurring Items'!$H$30&lt;&gt;"Skip")*(DAY(AB370)='Recurring Items'!$F$30)*IFERROR(N('Recurring Items'!$D$30),0)+(IF(AC370=1,'Debt Tracker'!$P$28&gt;0.01,INDEX('Debt Tracker'!$T$5:$AE$29,24,AC370-1)&gt;0.01))*('Recurring Items'!$H$31&lt;&gt;"Skip")*(DAY(AB370)='Recurring Items'!$F$31)*IFERROR(N('Recurring Items'!$D$31),0)+(IF(AC370=1,'Debt Tracker'!$P$29&gt;0.01,INDEX('Debt Tracker'!$T$5:$AE$29,25,AC370-1)&gt;0.01))*('Recurring Items'!$H$32&lt;&gt;"Skip")*(DAY(AB370)='Recurring Items'!$F$32)*IFERROR(N('Recurring Items'!$D$32),0)</f>
        <v>0</v>
      </c>
      <c r="AG370" s="1" t="n">
        <f aca="false">AD370-AE370-AF370</f>
        <v>0</v>
      </c>
      <c r="AH370" s="1" t="n">
        <f aca="false">AH369+AG370</f>
        <v>10667.13</v>
      </c>
    </row>
    <row r="371" customFormat="false" ht="15" hidden="false" customHeight="true" outlineLevel="0" collapsed="false">
      <c r="AA371" s="1" t="n">
        <v>171</v>
      </c>
      <c r="AB371" s="145" t="n">
        <f aca="false">$D$3+171</f>
        <v>46314</v>
      </c>
      <c r="AC371" s="1" t="n">
        <f aca="false">MIN(12,1+DATEDIF($D$3,AB371,"M"))</f>
        <v>6</v>
      </c>
      <c r="AD371" s="1" t="n">
        <f aca="false">SUMPRODUCT(('Recurring Items'!$C$6:$C$56="Income")*('Recurring Items'!$H$6:$H$56&lt;&gt;"Skip")*IFERROR(N('Recurring Items'!$D$6:$D$56),0)*(('Recurring Items'!$E$6:$E$56="Monthly")*(DAY(AB371)='Recurring Items'!$F$6:$F$56)+('Recurring Items'!$E$6:$E$56="Bi-weekly")*(WEEKDAY(AB371)=IFERROR(WEEKDAY('Recurring Items'!$G$6:$G$56),0))*(MOD(AB371-IFERROR('Recurring Items'!$G$6:$G$56,0),14)=0)*(AB371&gt;=IFERROR('Recurring Items'!$G$6:$G$56,9000000000))+('Recurring Items'!$E$6:$E$56="Weekly")*(WEEKDAY(AB371)=IFERROR(WEEKDAY('Recurring Items'!$G$6:$G$56),0))*(AB371&gt;=IFERROR('Recurring Items'!$G$6:$G$56,9000000000))+('Recurring Items'!$E$6:$E$56="One-time")*(AB371='Recurring Items'!$G$6:$G$56)))</f>
        <v>0</v>
      </c>
      <c r="AE371" s="1" t="n">
        <f aca="false">SUMPRODUCT(('Recurring Items'!$C$6:$C$56="Expense")*('Recurring Items'!$H$6:$H$56&lt;&gt;"Skip")*IFERROR(N('Recurring Items'!$D$6:$D$56),0)*(('Recurring Items'!$E$6:$E$56="Monthly")*(DAY(AB371)='Recurring Items'!$F$6:$F$56)+('Recurring Items'!$E$6:$E$56="Bi-weekly")*(WEEKDAY(AB371)=IFERROR(WEEKDAY('Recurring Items'!$G$6:$G$56),0))*(MOD(AB371-IFERROR('Recurring Items'!$G$6:$G$56,0),14)=0)*(AB371&gt;=IFERROR('Recurring Items'!$G$6:$G$56,9000000000))+('Recurring Items'!$E$6:$E$56="Weekly")*(WEEKDAY(AB371)=IFERROR(WEEKDAY('Recurring Items'!$G$6:$G$56),0))*(AB371&gt;=IFERROR('Recurring Items'!$G$6:$G$56,9000000000))+('Recurring Items'!$E$6:$E$56="One-time")*(AB371='Recurring Items'!$G$6:$G$56)))</f>
        <v>0</v>
      </c>
      <c r="AF371" s="1" t="n">
        <f aca="false">(IF(AC371=1,'Debt Tracker'!$P$5&gt;0.01,INDEX('Debt Tracker'!$T$5:$AE$29,1,AC371-1)&gt;0.01))*('Recurring Items'!$H$8&lt;&gt;"Skip")*(DAY(AB371)='Recurring Items'!$F$8)*IFERROR(N('Recurring Items'!$D$8),0)+(IF(AC371=1,'Debt Tracker'!$P$6&gt;0.01,INDEX('Debt Tracker'!$T$5:$AE$29,2,AC371-1)&gt;0.01))*('Recurring Items'!$H$9&lt;&gt;"Skip")*(DAY(AB371)='Recurring Items'!$F$9)*IFERROR(N('Recurring Items'!$D$9),0)+(IF(AC371=1,'Debt Tracker'!$P$7&gt;0.01,INDEX('Debt Tracker'!$T$5:$AE$29,3,AC371-1)&gt;0.01))*('Recurring Items'!$H$10&lt;&gt;"Skip")*(DAY(AB371)='Recurring Items'!$F$10)*IFERROR(N('Recurring Items'!$D$10),0)+(IF(AC371=1,'Debt Tracker'!$P$8&gt;0.01,INDEX('Debt Tracker'!$T$5:$AE$29,4,AC371-1)&gt;0.01))*('Recurring Items'!$H$11&lt;&gt;"Skip")*(DAY(AB371)='Recurring Items'!$F$11)*IFERROR(N('Recurring Items'!$D$11),0)+(IF(AC371=1,'Debt Tracker'!$P$9&gt;0.01,INDEX('Debt Tracker'!$T$5:$AE$29,5,AC371-1)&gt;0.01))*('Recurring Items'!$H$12&lt;&gt;"Skip")*(DAY(AB371)='Recurring Items'!$F$12)*IFERROR(N('Recurring Items'!$D$12),0)+(IF(AC371=1,'Debt Tracker'!$P$10&gt;0.01,INDEX('Debt Tracker'!$T$5:$AE$29,6,AC371-1)&gt;0.01))*('Recurring Items'!$H$13&lt;&gt;"Skip")*(DAY(AB371)='Recurring Items'!$F$13)*IFERROR(N('Recurring Items'!$D$13),0)+(IF(AC371=1,'Debt Tracker'!$P$11&gt;0.01,INDEX('Debt Tracker'!$T$5:$AE$29,7,AC371-1)&gt;0.01))*('Recurring Items'!$H$14&lt;&gt;"Skip")*(DAY(AB371)='Recurring Items'!$F$14)*IFERROR(N('Recurring Items'!$D$14),0)+(IF(AC371=1,'Debt Tracker'!$P$12&gt;0.01,INDEX('Debt Tracker'!$T$5:$AE$29,8,AC371-1)&gt;0.01))*('Recurring Items'!$H$15&lt;&gt;"Skip")*(DAY(AB371)='Recurring Items'!$F$15)*IFERROR(N('Recurring Items'!$D$15),0)+(IF(AC371=1,'Debt Tracker'!$P$13&gt;0.01,INDEX('Debt Tracker'!$T$5:$AE$29,9,AC371-1)&gt;0.01))*('Recurring Items'!$H$16&lt;&gt;"Skip")*(DAY(AB371)='Recurring Items'!$F$16)*IFERROR(N('Recurring Items'!$D$16),0)+(IF(AC371=1,'Debt Tracker'!$P$14&gt;0.01,INDEX('Debt Tracker'!$T$5:$AE$29,10,AC371-1)&gt;0.01))*('Recurring Items'!$H$17&lt;&gt;"Skip")*(DAY(AB371)='Recurring Items'!$F$17)*IFERROR(N('Recurring Items'!$D$17),0)+(IF(AC371=1,'Debt Tracker'!$P$15&gt;0.01,INDEX('Debt Tracker'!$T$5:$AE$29,11,AC371-1)&gt;0.01))*('Recurring Items'!$H$18&lt;&gt;"Skip")*(DAY(AB371)='Recurring Items'!$F$18)*IFERROR(N('Recurring Items'!$D$18),0)+(IF(AC371=1,'Debt Tracker'!$P$16&gt;0.01,INDEX('Debt Tracker'!$T$5:$AE$29,12,AC371-1)&gt;0.01))*('Recurring Items'!$H$19&lt;&gt;"Skip")*(DAY(AB371)='Recurring Items'!$F$19)*IFERROR(N('Recurring Items'!$D$19),0)+(IF(AC371=1,'Debt Tracker'!$P$17&gt;0.01,INDEX('Debt Tracker'!$T$5:$AE$29,13,AC371-1)&gt;0.01))*('Recurring Items'!$H$20&lt;&gt;"Skip")*(DAY(AB371)='Recurring Items'!$F$20)*IFERROR(N('Recurring Items'!$D$20),0)+(IF(AC371=1,'Debt Tracker'!$P$18&gt;0.01,INDEX('Debt Tracker'!$T$5:$AE$29,14,AC371-1)&gt;0.01))*('Recurring Items'!$H$21&lt;&gt;"Skip")*(DAY(AB371)='Recurring Items'!$F$21)*IFERROR(N('Recurring Items'!$D$21),0)+(IF(AC371=1,'Debt Tracker'!$P$19&gt;0.01,INDEX('Debt Tracker'!$T$5:$AE$29,15,AC371-1)&gt;0.01))*('Recurring Items'!$H$22&lt;&gt;"Skip")*(DAY(AB371)='Recurring Items'!$F$22)*IFERROR(N('Recurring Items'!$D$22),0)+(IF(AC371=1,'Debt Tracker'!$P$20&gt;0.01,INDEX('Debt Tracker'!$T$5:$AE$29,16,AC371-1)&gt;0.01))*('Recurring Items'!$H$23&lt;&gt;"Skip")*(DAY(AB371)='Recurring Items'!$F$23)*IFERROR(N('Recurring Items'!$D$23),0)+(IF(AC371=1,'Debt Tracker'!$P$21&gt;0.01,INDEX('Debt Tracker'!$T$5:$AE$29,17,AC371-1)&gt;0.01))*('Recurring Items'!$H$24&lt;&gt;"Skip")*(DAY(AB371)='Recurring Items'!$F$24)*IFERROR(N('Recurring Items'!$D$24),0)+(IF(AC371=1,'Debt Tracker'!$P$22&gt;0.01,INDEX('Debt Tracker'!$T$5:$AE$29,18,AC371-1)&gt;0.01))*('Recurring Items'!$H$25&lt;&gt;"Skip")*(DAY(AB371)='Recurring Items'!$F$25)*IFERROR(N('Recurring Items'!$D$25),0)+(IF(AC371=1,'Debt Tracker'!$P$23&gt;0.01,INDEX('Debt Tracker'!$T$5:$AE$29,19,AC371-1)&gt;0.01))*('Recurring Items'!$H$26&lt;&gt;"Skip")*(DAY(AB371)='Recurring Items'!$F$26)*IFERROR(N('Recurring Items'!$D$26),0)+(IF(AC371=1,'Debt Tracker'!$P$24&gt;0.01,INDEX('Debt Tracker'!$T$5:$AE$29,20,AC371-1)&gt;0.01))*('Recurring Items'!$H$27&lt;&gt;"Skip")*(DAY(AB371)='Recurring Items'!$F$27)*IFERROR(N('Recurring Items'!$D$27),0)+(IF(AC371=1,'Debt Tracker'!$P$25&gt;0.01,INDEX('Debt Tracker'!$T$5:$AE$29,21,AC371-1)&gt;0.01))*('Recurring Items'!$H$28&lt;&gt;"Skip")*(DAY(AB371)='Recurring Items'!$F$28)*IFERROR(N('Recurring Items'!$D$28),0)+(IF(AC371=1,'Debt Tracker'!$P$26&gt;0.01,INDEX('Debt Tracker'!$T$5:$AE$29,22,AC371-1)&gt;0.01))*('Recurring Items'!$H$29&lt;&gt;"Skip")*(DAY(AB371)='Recurring Items'!$F$29)*IFERROR(N('Recurring Items'!$D$29),0)+(IF(AC371=1,'Debt Tracker'!$P$27&gt;0.01,INDEX('Debt Tracker'!$T$5:$AE$29,23,AC371-1)&gt;0.01))*('Recurring Items'!$H$30&lt;&gt;"Skip")*(DAY(AB371)='Recurring Items'!$F$30)*IFERROR(N('Recurring Items'!$D$30),0)+(IF(AC371=1,'Debt Tracker'!$P$28&gt;0.01,INDEX('Debt Tracker'!$T$5:$AE$29,24,AC371-1)&gt;0.01))*('Recurring Items'!$H$31&lt;&gt;"Skip")*(DAY(AB371)='Recurring Items'!$F$31)*IFERROR(N('Recurring Items'!$D$31),0)+(IF(AC371=1,'Debt Tracker'!$P$29&gt;0.01,INDEX('Debt Tracker'!$T$5:$AE$29,25,AC371-1)&gt;0.01))*('Recurring Items'!$H$32&lt;&gt;"Skip")*(DAY(AB371)='Recurring Items'!$F$32)*IFERROR(N('Recurring Items'!$D$32),0)</f>
        <v>0</v>
      </c>
      <c r="AG371" s="1" t="n">
        <f aca="false">AD371-AE371-AF371</f>
        <v>0</v>
      </c>
      <c r="AH371" s="1" t="n">
        <f aca="false">AH370+AG371</f>
        <v>10667.13</v>
      </c>
    </row>
    <row r="372" customFormat="false" ht="15" hidden="false" customHeight="true" outlineLevel="0" collapsed="false">
      <c r="AA372" s="1" t="n">
        <v>172</v>
      </c>
      <c r="AB372" s="145" t="n">
        <f aca="false">$D$3+172</f>
        <v>46315</v>
      </c>
      <c r="AC372" s="1" t="n">
        <f aca="false">MIN(12,1+DATEDIF($D$3,AB372,"M"))</f>
        <v>6</v>
      </c>
      <c r="AD372" s="1" t="n">
        <f aca="false">SUMPRODUCT(('Recurring Items'!$C$6:$C$56="Income")*('Recurring Items'!$H$6:$H$56&lt;&gt;"Skip")*IFERROR(N('Recurring Items'!$D$6:$D$56),0)*(('Recurring Items'!$E$6:$E$56="Monthly")*(DAY(AB372)='Recurring Items'!$F$6:$F$56)+('Recurring Items'!$E$6:$E$56="Bi-weekly")*(WEEKDAY(AB372)=IFERROR(WEEKDAY('Recurring Items'!$G$6:$G$56),0))*(MOD(AB372-IFERROR('Recurring Items'!$G$6:$G$56,0),14)=0)*(AB372&gt;=IFERROR('Recurring Items'!$G$6:$G$56,9000000000))+('Recurring Items'!$E$6:$E$56="Weekly")*(WEEKDAY(AB372)=IFERROR(WEEKDAY('Recurring Items'!$G$6:$G$56),0))*(AB372&gt;=IFERROR('Recurring Items'!$G$6:$G$56,9000000000))+('Recurring Items'!$E$6:$E$56="One-time")*(AB372='Recurring Items'!$G$6:$G$56)))</f>
        <v>0</v>
      </c>
      <c r="AE372" s="1" t="n">
        <f aca="false">SUMPRODUCT(('Recurring Items'!$C$6:$C$56="Expense")*('Recurring Items'!$H$6:$H$56&lt;&gt;"Skip")*IFERROR(N('Recurring Items'!$D$6:$D$56),0)*(('Recurring Items'!$E$6:$E$56="Monthly")*(DAY(AB372)='Recurring Items'!$F$6:$F$56)+('Recurring Items'!$E$6:$E$56="Bi-weekly")*(WEEKDAY(AB372)=IFERROR(WEEKDAY('Recurring Items'!$G$6:$G$56),0))*(MOD(AB372-IFERROR('Recurring Items'!$G$6:$G$56,0),14)=0)*(AB372&gt;=IFERROR('Recurring Items'!$G$6:$G$56,9000000000))+('Recurring Items'!$E$6:$E$56="Weekly")*(WEEKDAY(AB372)=IFERROR(WEEKDAY('Recurring Items'!$G$6:$G$56),0))*(AB372&gt;=IFERROR('Recurring Items'!$G$6:$G$56,9000000000))+('Recurring Items'!$E$6:$E$56="One-time")*(AB372='Recurring Items'!$G$6:$G$56)))</f>
        <v>0</v>
      </c>
      <c r="AF372" s="1" t="n">
        <f aca="false">(IF(AC372=1,'Debt Tracker'!$P$5&gt;0.01,INDEX('Debt Tracker'!$T$5:$AE$29,1,AC372-1)&gt;0.01))*('Recurring Items'!$H$8&lt;&gt;"Skip")*(DAY(AB372)='Recurring Items'!$F$8)*IFERROR(N('Recurring Items'!$D$8),0)+(IF(AC372=1,'Debt Tracker'!$P$6&gt;0.01,INDEX('Debt Tracker'!$T$5:$AE$29,2,AC372-1)&gt;0.01))*('Recurring Items'!$H$9&lt;&gt;"Skip")*(DAY(AB372)='Recurring Items'!$F$9)*IFERROR(N('Recurring Items'!$D$9),0)+(IF(AC372=1,'Debt Tracker'!$P$7&gt;0.01,INDEX('Debt Tracker'!$T$5:$AE$29,3,AC372-1)&gt;0.01))*('Recurring Items'!$H$10&lt;&gt;"Skip")*(DAY(AB372)='Recurring Items'!$F$10)*IFERROR(N('Recurring Items'!$D$10),0)+(IF(AC372=1,'Debt Tracker'!$P$8&gt;0.01,INDEX('Debt Tracker'!$T$5:$AE$29,4,AC372-1)&gt;0.01))*('Recurring Items'!$H$11&lt;&gt;"Skip")*(DAY(AB372)='Recurring Items'!$F$11)*IFERROR(N('Recurring Items'!$D$11),0)+(IF(AC372=1,'Debt Tracker'!$P$9&gt;0.01,INDEX('Debt Tracker'!$T$5:$AE$29,5,AC372-1)&gt;0.01))*('Recurring Items'!$H$12&lt;&gt;"Skip")*(DAY(AB372)='Recurring Items'!$F$12)*IFERROR(N('Recurring Items'!$D$12),0)+(IF(AC372=1,'Debt Tracker'!$P$10&gt;0.01,INDEX('Debt Tracker'!$T$5:$AE$29,6,AC372-1)&gt;0.01))*('Recurring Items'!$H$13&lt;&gt;"Skip")*(DAY(AB372)='Recurring Items'!$F$13)*IFERROR(N('Recurring Items'!$D$13),0)+(IF(AC372=1,'Debt Tracker'!$P$11&gt;0.01,INDEX('Debt Tracker'!$T$5:$AE$29,7,AC372-1)&gt;0.01))*('Recurring Items'!$H$14&lt;&gt;"Skip")*(DAY(AB372)='Recurring Items'!$F$14)*IFERROR(N('Recurring Items'!$D$14),0)+(IF(AC372=1,'Debt Tracker'!$P$12&gt;0.01,INDEX('Debt Tracker'!$T$5:$AE$29,8,AC372-1)&gt;0.01))*('Recurring Items'!$H$15&lt;&gt;"Skip")*(DAY(AB372)='Recurring Items'!$F$15)*IFERROR(N('Recurring Items'!$D$15),0)+(IF(AC372=1,'Debt Tracker'!$P$13&gt;0.01,INDEX('Debt Tracker'!$T$5:$AE$29,9,AC372-1)&gt;0.01))*('Recurring Items'!$H$16&lt;&gt;"Skip")*(DAY(AB372)='Recurring Items'!$F$16)*IFERROR(N('Recurring Items'!$D$16),0)+(IF(AC372=1,'Debt Tracker'!$P$14&gt;0.01,INDEX('Debt Tracker'!$T$5:$AE$29,10,AC372-1)&gt;0.01))*('Recurring Items'!$H$17&lt;&gt;"Skip")*(DAY(AB372)='Recurring Items'!$F$17)*IFERROR(N('Recurring Items'!$D$17),0)+(IF(AC372=1,'Debt Tracker'!$P$15&gt;0.01,INDEX('Debt Tracker'!$T$5:$AE$29,11,AC372-1)&gt;0.01))*('Recurring Items'!$H$18&lt;&gt;"Skip")*(DAY(AB372)='Recurring Items'!$F$18)*IFERROR(N('Recurring Items'!$D$18),0)+(IF(AC372=1,'Debt Tracker'!$P$16&gt;0.01,INDEX('Debt Tracker'!$T$5:$AE$29,12,AC372-1)&gt;0.01))*('Recurring Items'!$H$19&lt;&gt;"Skip")*(DAY(AB372)='Recurring Items'!$F$19)*IFERROR(N('Recurring Items'!$D$19),0)+(IF(AC372=1,'Debt Tracker'!$P$17&gt;0.01,INDEX('Debt Tracker'!$T$5:$AE$29,13,AC372-1)&gt;0.01))*('Recurring Items'!$H$20&lt;&gt;"Skip")*(DAY(AB372)='Recurring Items'!$F$20)*IFERROR(N('Recurring Items'!$D$20),0)+(IF(AC372=1,'Debt Tracker'!$P$18&gt;0.01,INDEX('Debt Tracker'!$T$5:$AE$29,14,AC372-1)&gt;0.01))*('Recurring Items'!$H$21&lt;&gt;"Skip")*(DAY(AB372)='Recurring Items'!$F$21)*IFERROR(N('Recurring Items'!$D$21),0)+(IF(AC372=1,'Debt Tracker'!$P$19&gt;0.01,INDEX('Debt Tracker'!$T$5:$AE$29,15,AC372-1)&gt;0.01))*('Recurring Items'!$H$22&lt;&gt;"Skip")*(DAY(AB372)='Recurring Items'!$F$22)*IFERROR(N('Recurring Items'!$D$22),0)+(IF(AC372=1,'Debt Tracker'!$P$20&gt;0.01,INDEX('Debt Tracker'!$T$5:$AE$29,16,AC372-1)&gt;0.01))*('Recurring Items'!$H$23&lt;&gt;"Skip")*(DAY(AB372)='Recurring Items'!$F$23)*IFERROR(N('Recurring Items'!$D$23),0)+(IF(AC372=1,'Debt Tracker'!$P$21&gt;0.01,INDEX('Debt Tracker'!$T$5:$AE$29,17,AC372-1)&gt;0.01))*('Recurring Items'!$H$24&lt;&gt;"Skip")*(DAY(AB372)='Recurring Items'!$F$24)*IFERROR(N('Recurring Items'!$D$24),0)+(IF(AC372=1,'Debt Tracker'!$P$22&gt;0.01,INDEX('Debt Tracker'!$T$5:$AE$29,18,AC372-1)&gt;0.01))*('Recurring Items'!$H$25&lt;&gt;"Skip")*(DAY(AB372)='Recurring Items'!$F$25)*IFERROR(N('Recurring Items'!$D$25),0)+(IF(AC372=1,'Debt Tracker'!$P$23&gt;0.01,INDEX('Debt Tracker'!$T$5:$AE$29,19,AC372-1)&gt;0.01))*('Recurring Items'!$H$26&lt;&gt;"Skip")*(DAY(AB372)='Recurring Items'!$F$26)*IFERROR(N('Recurring Items'!$D$26),0)+(IF(AC372=1,'Debt Tracker'!$P$24&gt;0.01,INDEX('Debt Tracker'!$T$5:$AE$29,20,AC372-1)&gt;0.01))*('Recurring Items'!$H$27&lt;&gt;"Skip")*(DAY(AB372)='Recurring Items'!$F$27)*IFERROR(N('Recurring Items'!$D$27),0)+(IF(AC372=1,'Debt Tracker'!$P$25&gt;0.01,INDEX('Debt Tracker'!$T$5:$AE$29,21,AC372-1)&gt;0.01))*('Recurring Items'!$H$28&lt;&gt;"Skip")*(DAY(AB372)='Recurring Items'!$F$28)*IFERROR(N('Recurring Items'!$D$28),0)+(IF(AC372=1,'Debt Tracker'!$P$26&gt;0.01,INDEX('Debt Tracker'!$T$5:$AE$29,22,AC372-1)&gt;0.01))*('Recurring Items'!$H$29&lt;&gt;"Skip")*(DAY(AB372)='Recurring Items'!$F$29)*IFERROR(N('Recurring Items'!$D$29),0)+(IF(AC372=1,'Debt Tracker'!$P$27&gt;0.01,INDEX('Debt Tracker'!$T$5:$AE$29,23,AC372-1)&gt;0.01))*('Recurring Items'!$H$30&lt;&gt;"Skip")*(DAY(AB372)='Recurring Items'!$F$30)*IFERROR(N('Recurring Items'!$D$30),0)+(IF(AC372=1,'Debt Tracker'!$P$28&gt;0.01,INDEX('Debt Tracker'!$T$5:$AE$29,24,AC372-1)&gt;0.01))*('Recurring Items'!$H$31&lt;&gt;"Skip")*(DAY(AB372)='Recurring Items'!$F$31)*IFERROR(N('Recurring Items'!$D$31),0)+(IF(AC372=1,'Debt Tracker'!$P$29&gt;0.01,INDEX('Debt Tracker'!$T$5:$AE$29,25,AC372-1)&gt;0.01))*('Recurring Items'!$H$32&lt;&gt;"Skip")*(DAY(AB372)='Recurring Items'!$F$32)*IFERROR(N('Recurring Items'!$D$32),0)</f>
        <v>207.23</v>
      </c>
      <c r="AG372" s="1" t="n">
        <f aca="false">AD372-AE372-AF372</f>
        <v>-207.23</v>
      </c>
      <c r="AH372" s="1" t="n">
        <f aca="false">AH371+AG372</f>
        <v>10459.9</v>
      </c>
    </row>
    <row r="373" customFormat="false" ht="15" hidden="false" customHeight="true" outlineLevel="0" collapsed="false">
      <c r="AA373" s="1" t="n">
        <v>173</v>
      </c>
      <c r="AB373" s="145" t="n">
        <f aca="false">$D$3+173</f>
        <v>46316</v>
      </c>
      <c r="AC373" s="1" t="n">
        <f aca="false">MIN(12,1+DATEDIF($D$3,AB373,"M"))</f>
        <v>6</v>
      </c>
      <c r="AD373" s="1" t="n">
        <f aca="false">SUMPRODUCT(('Recurring Items'!$C$6:$C$56="Income")*('Recurring Items'!$H$6:$H$56&lt;&gt;"Skip")*IFERROR(N('Recurring Items'!$D$6:$D$56),0)*(('Recurring Items'!$E$6:$E$56="Monthly")*(DAY(AB373)='Recurring Items'!$F$6:$F$56)+('Recurring Items'!$E$6:$E$56="Bi-weekly")*(WEEKDAY(AB373)=IFERROR(WEEKDAY('Recurring Items'!$G$6:$G$56),0))*(MOD(AB373-IFERROR('Recurring Items'!$G$6:$G$56,0),14)=0)*(AB373&gt;=IFERROR('Recurring Items'!$G$6:$G$56,9000000000))+('Recurring Items'!$E$6:$E$56="Weekly")*(WEEKDAY(AB373)=IFERROR(WEEKDAY('Recurring Items'!$G$6:$G$56),0))*(AB373&gt;=IFERROR('Recurring Items'!$G$6:$G$56,9000000000))+('Recurring Items'!$E$6:$E$56="One-time")*(AB373='Recurring Items'!$G$6:$G$56)))</f>
        <v>0</v>
      </c>
      <c r="AE373" s="1" t="n">
        <f aca="false">SUMPRODUCT(('Recurring Items'!$C$6:$C$56="Expense")*('Recurring Items'!$H$6:$H$56&lt;&gt;"Skip")*IFERROR(N('Recurring Items'!$D$6:$D$56),0)*(('Recurring Items'!$E$6:$E$56="Monthly")*(DAY(AB373)='Recurring Items'!$F$6:$F$56)+('Recurring Items'!$E$6:$E$56="Bi-weekly")*(WEEKDAY(AB373)=IFERROR(WEEKDAY('Recurring Items'!$G$6:$G$56),0))*(MOD(AB373-IFERROR('Recurring Items'!$G$6:$G$56,0),14)=0)*(AB373&gt;=IFERROR('Recurring Items'!$G$6:$G$56,9000000000))+('Recurring Items'!$E$6:$E$56="Weekly")*(WEEKDAY(AB373)=IFERROR(WEEKDAY('Recurring Items'!$G$6:$G$56),0))*(AB373&gt;=IFERROR('Recurring Items'!$G$6:$G$56,9000000000))+('Recurring Items'!$E$6:$E$56="One-time")*(AB373='Recurring Items'!$G$6:$G$56)))</f>
        <v>241</v>
      </c>
      <c r="AF373" s="1" t="n">
        <f aca="false">(IF(AC373=1,'Debt Tracker'!$P$5&gt;0.01,INDEX('Debt Tracker'!$T$5:$AE$29,1,AC373-1)&gt;0.01))*('Recurring Items'!$H$8&lt;&gt;"Skip")*(DAY(AB373)='Recurring Items'!$F$8)*IFERROR(N('Recurring Items'!$D$8),0)+(IF(AC373=1,'Debt Tracker'!$P$6&gt;0.01,INDEX('Debt Tracker'!$T$5:$AE$29,2,AC373-1)&gt;0.01))*('Recurring Items'!$H$9&lt;&gt;"Skip")*(DAY(AB373)='Recurring Items'!$F$9)*IFERROR(N('Recurring Items'!$D$9),0)+(IF(AC373=1,'Debt Tracker'!$P$7&gt;0.01,INDEX('Debt Tracker'!$T$5:$AE$29,3,AC373-1)&gt;0.01))*('Recurring Items'!$H$10&lt;&gt;"Skip")*(DAY(AB373)='Recurring Items'!$F$10)*IFERROR(N('Recurring Items'!$D$10),0)+(IF(AC373=1,'Debt Tracker'!$P$8&gt;0.01,INDEX('Debt Tracker'!$T$5:$AE$29,4,AC373-1)&gt;0.01))*('Recurring Items'!$H$11&lt;&gt;"Skip")*(DAY(AB373)='Recurring Items'!$F$11)*IFERROR(N('Recurring Items'!$D$11),0)+(IF(AC373=1,'Debt Tracker'!$P$9&gt;0.01,INDEX('Debt Tracker'!$T$5:$AE$29,5,AC373-1)&gt;0.01))*('Recurring Items'!$H$12&lt;&gt;"Skip")*(DAY(AB373)='Recurring Items'!$F$12)*IFERROR(N('Recurring Items'!$D$12),0)+(IF(AC373=1,'Debt Tracker'!$P$10&gt;0.01,INDEX('Debt Tracker'!$T$5:$AE$29,6,AC373-1)&gt;0.01))*('Recurring Items'!$H$13&lt;&gt;"Skip")*(DAY(AB373)='Recurring Items'!$F$13)*IFERROR(N('Recurring Items'!$D$13),0)+(IF(AC373=1,'Debt Tracker'!$P$11&gt;0.01,INDEX('Debt Tracker'!$T$5:$AE$29,7,AC373-1)&gt;0.01))*('Recurring Items'!$H$14&lt;&gt;"Skip")*(DAY(AB373)='Recurring Items'!$F$14)*IFERROR(N('Recurring Items'!$D$14),0)+(IF(AC373=1,'Debt Tracker'!$P$12&gt;0.01,INDEX('Debt Tracker'!$T$5:$AE$29,8,AC373-1)&gt;0.01))*('Recurring Items'!$H$15&lt;&gt;"Skip")*(DAY(AB373)='Recurring Items'!$F$15)*IFERROR(N('Recurring Items'!$D$15),0)+(IF(AC373=1,'Debt Tracker'!$P$13&gt;0.01,INDEX('Debt Tracker'!$T$5:$AE$29,9,AC373-1)&gt;0.01))*('Recurring Items'!$H$16&lt;&gt;"Skip")*(DAY(AB373)='Recurring Items'!$F$16)*IFERROR(N('Recurring Items'!$D$16),0)+(IF(AC373=1,'Debt Tracker'!$P$14&gt;0.01,INDEX('Debt Tracker'!$T$5:$AE$29,10,AC373-1)&gt;0.01))*('Recurring Items'!$H$17&lt;&gt;"Skip")*(DAY(AB373)='Recurring Items'!$F$17)*IFERROR(N('Recurring Items'!$D$17),0)+(IF(AC373=1,'Debt Tracker'!$P$15&gt;0.01,INDEX('Debt Tracker'!$T$5:$AE$29,11,AC373-1)&gt;0.01))*('Recurring Items'!$H$18&lt;&gt;"Skip")*(DAY(AB373)='Recurring Items'!$F$18)*IFERROR(N('Recurring Items'!$D$18),0)+(IF(AC373=1,'Debt Tracker'!$P$16&gt;0.01,INDEX('Debt Tracker'!$T$5:$AE$29,12,AC373-1)&gt;0.01))*('Recurring Items'!$H$19&lt;&gt;"Skip")*(DAY(AB373)='Recurring Items'!$F$19)*IFERROR(N('Recurring Items'!$D$19),0)+(IF(AC373=1,'Debt Tracker'!$P$17&gt;0.01,INDEX('Debt Tracker'!$T$5:$AE$29,13,AC373-1)&gt;0.01))*('Recurring Items'!$H$20&lt;&gt;"Skip")*(DAY(AB373)='Recurring Items'!$F$20)*IFERROR(N('Recurring Items'!$D$20),0)+(IF(AC373=1,'Debt Tracker'!$P$18&gt;0.01,INDEX('Debt Tracker'!$T$5:$AE$29,14,AC373-1)&gt;0.01))*('Recurring Items'!$H$21&lt;&gt;"Skip")*(DAY(AB373)='Recurring Items'!$F$21)*IFERROR(N('Recurring Items'!$D$21),0)+(IF(AC373=1,'Debt Tracker'!$P$19&gt;0.01,INDEX('Debt Tracker'!$T$5:$AE$29,15,AC373-1)&gt;0.01))*('Recurring Items'!$H$22&lt;&gt;"Skip")*(DAY(AB373)='Recurring Items'!$F$22)*IFERROR(N('Recurring Items'!$D$22),0)+(IF(AC373=1,'Debt Tracker'!$P$20&gt;0.01,INDEX('Debt Tracker'!$T$5:$AE$29,16,AC373-1)&gt;0.01))*('Recurring Items'!$H$23&lt;&gt;"Skip")*(DAY(AB373)='Recurring Items'!$F$23)*IFERROR(N('Recurring Items'!$D$23),0)+(IF(AC373=1,'Debt Tracker'!$P$21&gt;0.01,INDEX('Debt Tracker'!$T$5:$AE$29,17,AC373-1)&gt;0.01))*('Recurring Items'!$H$24&lt;&gt;"Skip")*(DAY(AB373)='Recurring Items'!$F$24)*IFERROR(N('Recurring Items'!$D$24),0)+(IF(AC373=1,'Debt Tracker'!$P$22&gt;0.01,INDEX('Debt Tracker'!$T$5:$AE$29,18,AC373-1)&gt;0.01))*('Recurring Items'!$H$25&lt;&gt;"Skip")*(DAY(AB373)='Recurring Items'!$F$25)*IFERROR(N('Recurring Items'!$D$25),0)+(IF(AC373=1,'Debt Tracker'!$P$23&gt;0.01,INDEX('Debt Tracker'!$T$5:$AE$29,19,AC373-1)&gt;0.01))*('Recurring Items'!$H$26&lt;&gt;"Skip")*(DAY(AB373)='Recurring Items'!$F$26)*IFERROR(N('Recurring Items'!$D$26),0)+(IF(AC373=1,'Debt Tracker'!$P$24&gt;0.01,INDEX('Debt Tracker'!$T$5:$AE$29,20,AC373-1)&gt;0.01))*('Recurring Items'!$H$27&lt;&gt;"Skip")*(DAY(AB373)='Recurring Items'!$F$27)*IFERROR(N('Recurring Items'!$D$27),0)+(IF(AC373=1,'Debt Tracker'!$P$25&gt;0.01,INDEX('Debt Tracker'!$T$5:$AE$29,21,AC373-1)&gt;0.01))*('Recurring Items'!$H$28&lt;&gt;"Skip")*(DAY(AB373)='Recurring Items'!$F$28)*IFERROR(N('Recurring Items'!$D$28),0)+(IF(AC373=1,'Debt Tracker'!$P$26&gt;0.01,INDEX('Debt Tracker'!$T$5:$AE$29,22,AC373-1)&gt;0.01))*('Recurring Items'!$H$29&lt;&gt;"Skip")*(DAY(AB373)='Recurring Items'!$F$29)*IFERROR(N('Recurring Items'!$D$29),0)+(IF(AC373=1,'Debt Tracker'!$P$27&gt;0.01,INDEX('Debt Tracker'!$T$5:$AE$29,23,AC373-1)&gt;0.01))*('Recurring Items'!$H$30&lt;&gt;"Skip")*(DAY(AB373)='Recurring Items'!$F$30)*IFERROR(N('Recurring Items'!$D$30),0)+(IF(AC373=1,'Debt Tracker'!$P$28&gt;0.01,INDEX('Debt Tracker'!$T$5:$AE$29,24,AC373-1)&gt;0.01))*('Recurring Items'!$H$31&lt;&gt;"Skip")*(DAY(AB373)='Recurring Items'!$F$31)*IFERROR(N('Recurring Items'!$D$31),0)+(IF(AC373=1,'Debt Tracker'!$P$29&gt;0.01,INDEX('Debt Tracker'!$T$5:$AE$29,25,AC373-1)&gt;0.01))*('Recurring Items'!$H$32&lt;&gt;"Skip")*(DAY(AB373)='Recurring Items'!$F$32)*IFERROR(N('Recurring Items'!$D$32),0)</f>
        <v>80</v>
      </c>
      <c r="AG373" s="1" t="n">
        <f aca="false">AD373-AE373-AF373</f>
        <v>-321</v>
      </c>
      <c r="AH373" s="1" t="n">
        <f aca="false">AH372+AG373</f>
        <v>10138.9</v>
      </c>
    </row>
    <row r="374" customFormat="false" ht="15" hidden="false" customHeight="true" outlineLevel="0" collapsed="false">
      <c r="AA374" s="1" t="n">
        <v>174</v>
      </c>
      <c r="AB374" s="145" t="n">
        <f aca="false">$D$3+174</f>
        <v>46317</v>
      </c>
      <c r="AC374" s="1" t="n">
        <f aca="false">MIN(12,1+DATEDIF($D$3,AB374,"M"))</f>
        <v>6</v>
      </c>
      <c r="AD374" s="1" t="n">
        <f aca="false">SUMPRODUCT(('Recurring Items'!$C$6:$C$56="Income")*('Recurring Items'!$H$6:$H$56&lt;&gt;"Skip")*IFERROR(N('Recurring Items'!$D$6:$D$56),0)*(('Recurring Items'!$E$6:$E$56="Monthly")*(DAY(AB374)='Recurring Items'!$F$6:$F$56)+('Recurring Items'!$E$6:$E$56="Bi-weekly")*(WEEKDAY(AB374)=IFERROR(WEEKDAY('Recurring Items'!$G$6:$G$56),0))*(MOD(AB374-IFERROR('Recurring Items'!$G$6:$G$56,0),14)=0)*(AB374&gt;=IFERROR('Recurring Items'!$G$6:$G$56,9000000000))+('Recurring Items'!$E$6:$E$56="Weekly")*(WEEKDAY(AB374)=IFERROR(WEEKDAY('Recurring Items'!$G$6:$G$56),0))*(AB374&gt;=IFERROR('Recurring Items'!$G$6:$G$56,9000000000))+('Recurring Items'!$E$6:$E$56="One-time")*(AB374='Recurring Items'!$G$6:$G$56)))</f>
        <v>2274.42</v>
      </c>
      <c r="AE374" s="1" t="n">
        <f aca="false">SUMPRODUCT(('Recurring Items'!$C$6:$C$56="Expense")*('Recurring Items'!$H$6:$H$56&lt;&gt;"Skip")*IFERROR(N('Recurring Items'!$D$6:$D$56),0)*(('Recurring Items'!$E$6:$E$56="Monthly")*(DAY(AB374)='Recurring Items'!$F$6:$F$56)+('Recurring Items'!$E$6:$E$56="Bi-weekly")*(WEEKDAY(AB374)=IFERROR(WEEKDAY('Recurring Items'!$G$6:$G$56),0))*(MOD(AB374-IFERROR('Recurring Items'!$G$6:$G$56,0),14)=0)*(AB374&gt;=IFERROR('Recurring Items'!$G$6:$G$56,9000000000))+('Recurring Items'!$E$6:$E$56="Weekly")*(WEEKDAY(AB374)=IFERROR(WEEKDAY('Recurring Items'!$G$6:$G$56),0))*(AB374&gt;=IFERROR('Recurring Items'!$G$6:$G$56,9000000000))+('Recurring Items'!$E$6:$E$56="One-time")*(AB374='Recurring Items'!$G$6:$G$56)))</f>
        <v>0</v>
      </c>
      <c r="AF374" s="1" t="n">
        <f aca="false">(IF(AC374=1,'Debt Tracker'!$P$5&gt;0.01,INDEX('Debt Tracker'!$T$5:$AE$29,1,AC374-1)&gt;0.01))*('Recurring Items'!$H$8&lt;&gt;"Skip")*(DAY(AB374)='Recurring Items'!$F$8)*IFERROR(N('Recurring Items'!$D$8),0)+(IF(AC374=1,'Debt Tracker'!$P$6&gt;0.01,INDEX('Debt Tracker'!$T$5:$AE$29,2,AC374-1)&gt;0.01))*('Recurring Items'!$H$9&lt;&gt;"Skip")*(DAY(AB374)='Recurring Items'!$F$9)*IFERROR(N('Recurring Items'!$D$9),0)+(IF(AC374=1,'Debt Tracker'!$P$7&gt;0.01,INDEX('Debt Tracker'!$T$5:$AE$29,3,AC374-1)&gt;0.01))*('Recurring Items'!$H$10&lt;&gt;"Skip")*(DAY(AB374)='Recurring Items'!$F$10)*IFERROR(N('Recurring Items'!$D$10),0)+(IF(AC374=1,'Debt Tracker'!$P$8&gt;0.01,INDEX('Debt Tracker'!$T$5:$AE$29,4,AC374-1)&gt;0.01))*('Recurring Items'!$H$11&lt;&gt;"Skip")*(DAY(AB374)='Recurring Items'!$F$11)*IFERROR(N('Recurring Items'!$D$11),0)+(IF(AC374=1,'Debt Tracker'!$P$9&gt;0.01,INDEX('Debt Tracker'!$T$5:$AE$29,5,AC374-1)&gt;0.01))*('Recurring Items'!$H$12&lt;&gt;"Skip")*(DAY(AB374)='Recurring Items'!$F$12)*IFERROR(N('Recurring Items'!$D$12),0)+(IF(AC374=1,'Debt Tracker'!$P$10&gt;0.01,INDEX('Debt Tracker'!$T$5:$AE$29,6,AC374-1)&gt;0.01))*('Recurring Items'!$H$13&lt;&gt;"Skip")*(DAY(AB374)='Recurring Items'!$F$13)*IFERROR(N('Recurring Items'!$D$13),0)+(IF(AC374=1,'Debt Tracker'!$P$11&gt;0.01,INDEX('Debt Tracker'!$T$5:$AE$29,7,AC374-1)&gt;0.01))*('Recurring Items'!$H$14&lt;&gt;"Skip")*(DAY(AB374)='Recurring Items'!$F$14)*IFERROR(N('Recurring Items'!$D$14),0)+(IF(AC374=1,'Debt Tracker'!$P$12&gt;0.01,INDEX('Debt Tracker'!$T$5:$AE$29,8,AC374-1)&gt;0.01))*('Recurring Items'!$H$15&lt;&gt;"Skip")*(DAY(AB374)='Recurring Items'!$F$15)*IFERROR(N('Recurring Items'!$D$15),0)+(IF(AC374=1,'Debt Tracker'!$P$13&gt;0.01,INDEX('Debt Tracker'!$T$5:$AE$29,9,AC374-1)&gt;0.01))*('Recurring Items'!$H$16&lt;&gt;"Skip")*(DAY(AB374)='Recurring Items'!$F$16)*IFERROR(N('Recurring Items'!$D$16),0)+(IF(AC374=1,'Debt Tracker'!$P$14&gt;0.01,INDEX('Debt Tracker'!$T$5:$AE$29,10,AC374-1)&gt;0.01))*('Recurring Items'!$H$17&lt;&gt;"Skip")*(DAY(AB374)='Recurring Items'!$F$17)*IFERROR(N('Recurring Items'!$D$17),0)+(IF(AC374=1,'Debt Tracker'!$P$15&gt;0.01,INDEX('Debt Tracker'!$T$5:$AE$29,11,AC374-1)&gt;0.01))*('Recurring Items'!$H$18&lt;&gt;"Skip")*(DAY(AB374)='Recurring Items'!$F$18)*IFERROR(N('Recurring Items'!$D$18),0)+(IF(AC374=1,'Debt Tracker'!$P$16&gt;0.01,INDEX('Debt Tracker'!$T$5:$AE$29,12,AC374-1)&gt;0.01))*('Recurring Items'!$H$19&lt;&gt;"Skip")*(DAY(AB374)='Recurring Items'!$F$19)*IFERROR(N('Recurring Items'!$D$19),0)+(IF(AC374=1,'Debt Tracker'!$P$17&gt;0.01,INDEX('Debt Tracker'!$T$5:$AE$29,13,AC374-1)&gt;0.01))*('Recurring Items'!$H$20&lt;&gt;"Skip")*(DAY(AB374)='Recurring Items'!$F$20)*IFERROR(N('Recurring Items'!$D$20),0)+(IF(AC374=1,'Debt Tracker'!$P$18&gt;0.01,INDEX('Debt Tracker'!$T$5:$AE$29,14,AC374-1)&gt;0.01))*('Recurring Items'!$H$21&lt;&gt;"Skip")*(DAY(AB374)='Recurring Items'!$F$21)*IFERROR(N('Recurring Items'!$D$21),0)+(IF(AC374=1,'Debt Tracker'!$P$19&gt;0.01,INDEX('Debt Tracker'!$T$5:$AE$29,15,AC374-1)&gt;0.01))*('Recurring Items'!$H$22&lt;&gt;"Skip")*(DAY(AB374)='Recurring Items'!$F$22)*IFERROR(N('Recurring Items'!$D$22),0)+(IF(AC374=1,'Debt Tracker'!$P$20&gt;0.01,INDEX('Debt Tracker'!$T$5:$AE$29,16,AC374-1)&gt;0.01))*('Recurring Items'!$H$23&lt;&gt;"Skip")*(DAY(AB374)='Recurring Items'!$F$23)*IFERROR(N('Recurring Items'!$D$23),0)+(IF(AC374=1,'Debt Tracker'!$P$21&gt;0.01,INDEX('Debt Tracker'!$T$5:$AE$29,17,AC374-1)&gt;0.01))*('Recurring Items'!$H$24&lt;&gt;"Skip")*(DAY(AB374)='Recurring Items'!$F$24)*IFERROR(N('Recurring Items'!$D$24),0)+(IF(AC374=1,'Debt Tracker'!$P$22&gt;0.01,INDEX('Debt Tracker'!$T$5:$AE$29,18,AC374-1)&gt;0.01))*('Recurring Items'!$H$25&lt;&gt;"Skip")*(DAY(AB374)='Recurring Items'!$F$25)*IFERROR(N('Recurring Items'!$D$25),0)+(IF(AC374=1,'Debt Tracker'!$P$23&gt;0.01,INDEX('Debt Tracker'!$T$5:$AE$29,19,AC374-1)&gt;0.01))*('Recurring Items'!$H$26&lt;&gt;"Skip")*(DAY(AB374)='Recurring Items'!$F$26)*IFERROR(N('Recurring Items'!$D$26),0)+(IF(AC374=1,'Debt Tracker'!$P$24&gt;0.01,INDEX('Debt Tracker'!$T$5:$AE$29,20,AC374-1)&gt;0.01))*('Recurring Items'!$H$27&lt;&gt;"Skip")*(DAY(AB374)='Recurring Items'!$F$27)*IFERROR(N('Recurring Items'!$D$27),0)+(IF(AC374=1,'Debt Tracker'!$P$25&gt;0.01,INDEX('Debt Tracker'!$T$5:$AE$29,21,AC374-1)&gt;0.01))*('Recurring Items'!$H$28&lt;&gt;"Skip")*(DAY(AB374)='Recurring Items'!$F$28)*IFERROR(N('Recurring Items'!$D$28),0)+(IF(AC374=1,'Debt Tracker'!$P$26&gt;0.01,INDEX('Debt Tracker'!$T$5:$AE$29,22,AC374-1)&gt;0.01))*('Recurring Items'!$H$29&lt;&gt;"Skip")*(DAY(AB374)='Recurring Items'!$F$29)*IFERROR(N('Recurring Items'!$D$29),0)+(IF(AC374=1,'Debt Tracker'!$P$27&gt;0.01,INDEX('Debt Tracker'!$T$5:$AE$29,23,AC374-1)&gt;0.01))*('Recurring Items'!$H$30&lt;&gt;"Skip")*(DAY(AB374)='Recurring Items'!$F$30)*IFERROR(N('Recurring Items'!$D$30),0)+(IF(AC374=1,'Debt Tracker'!$P$28&gt;0.01,INDEX('Debt Tracker'!$T$5:$AE$29,24,AC374-1)&gt;0.01))*('Recurring Items'!$H$31&lt;&gt;"Skip")*(DAY(AB374)='Recurring Items'!$F$31)*IFERROR(N('Recurring Items'!$D$31),0)+(IF(AC374=1,'Debt Tracker'!$P$29&gt;0.01,INDEX('Debt Tracker'!$T$5:$AE$29,25,AC374-1)&gt;0.01))*('Recurring Items'!$H$32&lt;&gt;"Skip")*(DAY(AB374)='Recurring Items'!$F$32)*IFERROR(N('Recurring Items'!$D$32),0)</f>
        <v>0</v>
      </c>
      <c r="AG374" s="1" t="n">
        <f aca="false">AD374-AE374-AF374</f>
        <v>2274.42</v>
      </c>
      <c r="AH374" s="1" t="n">
        <f aca="false">AH373+AG374</f>
        <v>12413.32</v>
      </c>
    </row>
    <row r="375" customFormat="false" ht="15" hidden="false" customHeight="true" outlineLevel="0" collapsed="false">
      <c r="AA375" s="1" t="n">
        <v>175</v>
      </c>
      <c r="AB375" s="145" t="n">
        <f aca="false">$D$3+175</f>
        <v>46318</v>
      </c>
      <c r="AC375" s="1" t="n">
        <f aca="false">MIN(12,1+DATEDIF($D$3,AB375,"M"))</f>
        <v>6</v>
      </c>
      <c r="AD375" s="1" t="n">
        <f aca="false">SUMPRODUCT(('Recurring Items'!$C$6:$C$56="Income")*('Recurring Items'!$H$6:$H$56&lt;&gt;"Skip")*IFERROR(N('Recurring Items'!$D$6:$D$56),0)*(('Recurring Items'!$E$6:$E$56="Monthly")*(DAY(AB375)='Recurring Items'!$F$6:$F$56)+('Recurring Items'!$E$6:$E$56="Bi-weekly")*(WEEKDAY(AB375)=IFERROR(WEEKDAY('Recurring Items'!$G$6:$G$56),0))*(MOD(AB375-IFERROR('Recurring Items'!$G$6:$G$56,0),14)=0)*(AB375&gt;=IFERROR('Recurring Items'!$G$6:$G$56,9000000000))+('Recurring Items'!$E$6:$E$56="Weekly")*(WEEKDAY(AB375)=IFERROR(WEEKDAY('Recurring Items'!$G$6:$G$56),0))*(AB375&gt;=IFERROR('Recurring Items'!$G$6:$G$56,9000000000))+('Recurring Items'!$E$6:$E$56="One-time")*(AB375='Recurring Items'!$G$6:$G$56)))</f>
        <v>0</v>
      </c>
      <c r="AE375" s="1" t="n">
        <f aca="false">SUMPRODUCT(('Recurring Items'!$C$6:$C$56="Expense")*('Recurring Items'!$H$6:$H$56&lt;&gt;"Skip")*IFERROR(N('Recurring Items'!$D$6:$D$56),0)*(('Recurring Items'!$E$6:$E$56="Monthly")*(DAY(AB375)='Recurring Items'!$F$6:$F$56)+('Recurring Items'!$E$6:$E$56="Bi-weekly")*(WEEKDAY(AB375)=IFERROR(WEEKDAY('Recurring Items'!$G$6:$G$56),0))*(MOD(AB375-IFERROR('Recurring Items'!$G$6:$G$56,0),14)=0)*(AB375&gt;=IFERROR('Recurring Items'!$G$6:$G$56,9000000000))+('Recurring Items'!$E$6:$E$56="Weekly")*(WEEKDAY(AB375)=IFERROR(WEEKDAY('Recurring Items'!$G$6:$G$56),0))*(AB375&gt;=IFERROR('Recurring Items'!$G$6:$G$56,9000000000))+('Recurring Items'!$E$6:$E$56="One-time")*(AB375='Recurring Items'!$G$6:$G$56)))</f>
        <v>460</v>
      </c>
      <c r="AF375" s="1" t="n">
        <f aca="false">(IF(AC375=1,'Debt Tracker'!$P$5&gt;0.01,INDEX('Debt Tracker'!$T$5:$AE$29,1,AC375-1)&gt;0.01))*('Recurring Items'!$H$8&lt;&gt;"Skip")*(DAY(AB375)='Recurring Items'!$F$8)*IFERROR(N('Recurring Items'!$D$8),0)+(IF(AC375=1,'Debt Tracker'!$P$6&gt;0.01,INDEX('Debt Tracker'!$T$5:$AE$29,2,AC375-1)&gt;0.01))*('Recurring Items'!$H$9&lt;&gt;"Skip")*(DAY(AB375)='Recurring Items'!$F$9)*IFERROR(N('Recurring Items'!$D$9),0)+(IF(AC375=1,'Debt Tracker'!$P$7&gt;0.01,INDEX('Debt Tracker'!$T$5:$AE$29,3,AC375-1)&gt;0.01))*('Recurring Items'!$H$10&lt;&gt;"Skip")*(DAY(AB375)='Recurring Items'!$F$10)*IFERROR(N('Recurring Items'!$D$10),0)+(IF(AC375=1,'Debt Tracker'!$P$8&gt;0.01,INDEX('Debt Tracker'!$T$5:$AE$29,4,AC375-1)&gt;0.01))*('Recurring Items'!$H$11&lt;&gt;"Skip")*(DAY(AB375)='Recurring Items'!$F$11)*IFERROR(N('Recurring Items'!$D$11),0)+(IF(AC375=1,'Debt Tracker'!$P$9&gt;0.01,INDEX('Debt Tracker'!$T$5:$AE$29,5,AC375-1)&gt;0.01))*('Recurring Items'!$H$12&lt;&gt;"Skip")*(DAY(AB375)='Recurring Items'!$F$12)*IFERROR(N('Recurring Items'!$D$12),0)+(IF(AC375=1,'Debt Tracker'!$P$10&gt;0.01,INDEX('Debt Tracker'!$T$5:$AE$29,6,AC375-1)&gt;0.01))*('Recurring Items'!$H$13&lt;&gt;"Skip")*(DAY(AB375)='Recurring Items'!$F$13)*IFERROR(N('Recurring Items'!$D$13),0)+(IF(AC375=1,'Debt Tracker'!$P$11&gt;0.01,INDEX('Debt Tracker'!$T$5:$AE$29,7,AC375-1)&gt;0.01))*('Recurring Items'!$H$14&lt;&gt;"Skip")*(DAY(AB375)='Recurring Items'!$F$14)*IFERROR(N('Recurring Items'!$D$14),0)+(IF(AC375=1,'Debt Tracker'!$P$12&gt;0.01,INDEX('Debt Tracker'!$T$5:$AE$29,8,AC375-1)&gt;0.01))*('Recurring Items'!$H$15&lt;&gt;"Skip")*(DAY(AB375)='Recurring Items'!$F$15)*IFERROR(N('Recurring Items'!$D$15),0)+(IF(AC375=1,'Debt Tracker'!$P$13&gt;0.01,INDEX('Debt Tracker'!$T$5:$AE$29,9,AC375-1)&gt;0.01))*('Recurring Items'!$H$16&lt;&gt;"Skip")*(DAY(AB375)='Recurring Items'!$F$16)*IFERROR(N('Recurring Items'!$D$16),0)+(IF(AC375=1,'Debt Tracker'!$P$14&gt;0.01,INDEX('Debt Tracker'!$T$5:$AE$29,10,AC375-1)&gt;0.01))*('Recurring Items'!$H$17&lt;&gt;"Skip")*(DAY(AB375)='Recurring Items'!$F$17)*IFERROR(N('Recurring Items'!$D$17),0)+(IF(AC375=1,'Debt Tracker'!$P$15&gt;0.01,INDEX('Debt Tracker'!$T$5:$AE$29,11,AC375-1)&gt;0.01))*('Recurring Items'!$H$18&lt;&gt;"Skip")*(DAY(AB375)='Recurring Items'!$F$18)*IFERROR(N('Recurring Items'!$D$18),0)+(IF(AC375=1,'Debt Tracker'!$P$16&gt;0.01,INDEX('Debt Tracker'!$T$5:$AE$29,12,AC375-1)&gt;0.01))*('Recurring Items'!$H$19&lt;&gt;"Skip")*(DAY(AB375)='Recurring Items'!$F$19)*IFERROR(N('Recurring Items'!$D$19),0)+(IF(AC375=1,'Debt Tracker'!$P$17&gt;0.01,INDEX('Debt Tracker'!$T$5:$AE$29,13,AC375-1)&gt;0.01))*('Recurring Items'!$H$20&lt;&gt;"Skip")*(DAY(AB375)='Recurring Items'!$F$20)*IFERROR(N('Recurring Items'!$D$20),0)+(IF(AC375=1,'Debt Tracker'!$P$18&gt;0.01,INDEX('Debt Tracker'!$T$5:$AE$29,14,AC375-1)&gt;0.01))*('Recurring Items'!$H$21&lt;&gt;"Skip")*(DAY(AB375)='Recurring Items'!$F$21)*IFERROR(N('Recurring Items'!$D$21),0)+(IF(AC375=1,'Debt Tracker'!$P$19&gt;0.01,INDEX('Debt Tracker'!$T$5:$AE$29,15,AC375-1)&gt;0.01))*('Recurring Items'!$H$22&lt;&gt;"Skip")*(DAY(AB375)='Recurring Items'!$F$22)*IFERROR(N('Recurring Items'!$D$22),0)+(IF(AC375=1,'Debt Tracker'!$P$20&gt;0.01,INDEX('Debt Tracker'!$T$5:$AE$29,16,AC375-1)&gt;0.01))*('Recurring Items'!$H$23&lt;&gt;"Skip")*(DAY(AB375)='Recurring Items'!$F$23)*IFERROR(N('Recurring Items'!$D$23),0)+(IF(AC375=1,'Debt Tracker'!$P$21&gt;0.01,INDEX('Debt Tracker'!$T$5:$AE$29,17,AC375-1)&gt;0.01))*('Recurring Items'!$H$24&lt;&gt;"Skip")*(DAY(AB375)='Recurring Items'!$F$24)*IFERROR(N('Recurring Items'!$D$24),0)+(IF(AC375=1,'Debt Tracker'!$P$22&gt;0.01,INDEX('Debt Tracker'!$T$5:$AE$29,18,AC375-1)&gt;0.01))*('Recurring Items'!$H$25&lt;&gt;"Skip")*(DAY(AB375)='Recurring Items'!$F$25)*IFERROR(N('Recurring Items'!$D$25),0)+(IF(AC375=1,'Debt Tracker'!$P$23&gt;0.01,INDEX('Debt Tracker'!$T$5:$AE$29,19,AC375-1)&gt;0.01))*('Recurring Items'!$H$26&lt;&gt;"Skip")*(DAY(AB375)='Recurring Items'!$F$26)*IFERROR(N('Recurring Items'!$D$26),0)+(IF(AC375=1,'Debt Tracker'!$P$24&gt;0.01,INDEX('Debt Tracker'!$T$5:$AE$29,20,AC375-1)&gt;0.01))*('Recurring Items'!$H$27&lt;&gt;"Skip")*(DAY(AB375)='Recurring Items'!$F$27)*IFERROR(N('Recurring Items'!$D$27),0)+(IF(AC375=1,'Debt Tracker'!$P$25&gt;0.01,INDEX('Debt Tracker'!$T$5:$AE$29,21,AC375-1)&gt;0.01))*('Recurring Items'!$H$28&lt;&gt;"Skip")*(DAY(AB375)='Recurring Items'!$F$28)*IFERROR(N('Recurring Items'!$D$28),0)+(IF(AC375=1,'Debt Tracker'!$P$26&gt;0.01,INDEX('Debt Tracker'!$T$5:$AE$29,22,AC375-1)&gt;0.01))*('Recurring Items'!$H$29&lt;&gt;"Skip")*(DAY(AB375)='Recurring Items'!$F$29)*IFERROR(N('Recurring Items'!$D$29),0)+(IF(AC375=1,'Debt Tracker'!$P$27&gt;0.01,INDEX('Debt Tracker'!$T$5:$AE$29,23,AC375-1)&gt;0.01))*('Recurring Items'!$H$30&lt;&gt;"Skip")*(DAY(AB375)='Recurring Items'!$F$30)*IFERROR(N('Recurring Items'!$D$30),0)+(IF(AC375=1,'Debt Tracker'!$P$28&gt;0.01,INDEX('Debt Tracker'!$T$5:$AE$29,24,AC375-1)&gt;0.01))*('Recurring Items'!$H$31&lt;&gt;"Skip")*(DAY(AB375)='Recurring Items'!$F$31)*IFERROR(N('Recurring Items'!$D$31),0)+(IF(AC375=1,'Debt Tracker'!$P$29&gt;0.01,INDEX('Debt Tracker'!$T$5:$AE$29,25,AC375-1)&gt;0.01))*('Recurring Items'!$H$32&lt;&gt;"Skip")*(DAY(AB375)='Recurring Items'!$F$32)*IFERROR(N('Recurring Items'!$D$32),0)</f>
        <v>0</v>
      </c>
      <c r="AG375" s="1" t="n">
        <f aca="false">AD375-AE375-AF375</f>
        <v>-460</v>
      </c>
      <c r="AH375" s="1" t="n">
        <f aca="false">AH374+AG375</f>
        <v>11953.32</v>
      </c>
    </row>
    <row r="376" customFormat="false" ht="15" hidden="false" customHeight="true" outlineLevel="0" collapsed="false">
      <c r="AA376" s="1" t="n">
        <v>176</v>
      </c>
      <c r="AB376" s="145" t="n">
        <f aca="false">$D$3+176</f>
        <v>46319</v>
      </c>
      <c r="AC376" s="1" t="n">
        <f aca="false">MIN(12,1+DATEDIF($D$3,AB376,"M"))</f>
        <v>6</v>
      </c>
      <c r="AD376" s="1" t="n">
        <f aca="false">SUMPRODUCT(('Recurring Items'!$C$6:$C$56="Income")*('Recurring Items'!$H$6:$H$56&lt;&gt;"Skip")*IFERROR(N('Recurring Items'!$D$6:$D$56),0)*(('Recurring Items'!$E$6:$E$56="Monthly")*(DAY(AB376)='Recurring Items'!$F$6:$F$56)+('Recurring Items'!$E$6:$E$56="Bi-weekly")*(WEEKDAY(AB376)=IFERROR(WEEKDAY('Recurring Items'!$G$6:$G$56),0))*(MOD(AB376-IFERROR('Recurring Items'!$G$6:$G$56,0),14)=0)*(AB376&gt;=IFERROR('Recurring Items'!$G$6:$G$56,9000000000))+('Recurring Items'!$E$6:$E$56="Weekly")*(WEEKDAY(AB376)=IFERROR(WEEKDAY('Recurring Items'!$G$6:$G$56),0))*(AB376&gt;=IFERROR('Recurring Items'!$G$6:$G$56,9000000000))+('Recurring Items'!$E$6:$E$56="One-time")*(AB376='Recurring Items'!$G$6:$G$56)))</f>
        <v>0</v>
      </c>
      <c r="AE376" s="1" t="n">
        <f aca="false">SUMPRODUCT(('Recurring Items'!$C$6:$C$56="Expense")*('Recurring Items'!$H$6:$H$56&lt;&gt;"Skip")*IFERROR(N('Recurring Items'!$D$6:$D$56),0)*(('Recurring Items'!$E$6:$E$56="Monthly")*(DAY(AB376)='Recurring Items'!$F$6:$F$56)+('Recurring Items'!$E$6:$E$56="Bi-weekly")*(WEEKDAY(AB376)=IFERROR(WEEKDAY('Recurring Items'!$G$6:$G$56),0))*(MOD(AB376-IFERROR('Recurring Items'!$G$6:$G$56,0),14)=0)*(AB376&gt;=IFERROR('Recurring Items'!$G$6:$G$56,9000000000))+('Recurring Items'!$E$6:$E$56="Weekly")*(WEEKDAY(AB376)=IFERROR(WEEKDAY('Recurring Items'!$G$6:$G$56),0))*(AB376&gt;=IFERROR('Recurring Items'!$G$6:$G$56,9000000000))+('Recurring Items'!$E$6:$E$56="One-time")*(AB376='Recurring Items'!$G$6:$G$56)))</f>
        <v>101.02</v>
      </c>
      <c r="AF376" s="1" t="n">
        <f aca="false">(IF(AC376=1,'Debt Tracker'!$P$5&gt;0.01,INDEX('Debt Tracker'!$T$5:$AE$29,1,AC376-1)&gt;0.01))*('Recurring Items'!$H$8&lt;&gt;"Skip")*(DAY(AB376)='Recurring Items'!$F$8)*IFERROR(N('Recurring Items'!$D$8),0)+(IF(AC376=1,'Debt Tracker'!$P$6&gt;0.01,INDEX('Debt Tracker'!$T$5:$AE$29,2,AC376-1)&gt;0.01))*('Recurring Items'!$H$9&lt;&gt;"Skip")*(DAY(AB376)='Recurring Items'!$F$9)*IFERROR(N('Recurring Items'!$D$9),0)+(IF(AC376=1,'Debt Tracker'!$P$7&gt;0.01,INDEX('Debt Tracker'!$T$5:$AE$29,3,AC376-1)&gt;0.01))*('Recurring Items'!$H$10&lt;&gt;"Skip")*(DAY(AB376)='Recurring Items'!$F$10)*IFERROR(N('Recurring Items'!$D$10),0)+(IF(AC376=1,'Debt Tracker'!$P$8&gt;0.01,INDEX('Debt Tracker'!$T$5:$AE$29,4,AC376-1)&gt;0.01))*('Recurring Items'!$H$11&lt;&gt;"Skip")*(DAY(AB376)='Recurring Items'!$F$11)*IFERROR(N('Recurring Items'!$D$11),0)+(IF(AC376=1,'Debt Tracker'!$P$9&gt;0.01,INDEX('Debt Tracker'!$T$5:$AE$29,5,AC376-1)&gt;0.01))*('Recurring Items'!$H$12&lt;&gt;"Skip")*(DAY(AB376)='Recurring Items'!$F$12)*IFERROR(N('Recurring Items'!$D$12),0)+(IF(AC376=1,'Debt Tracker'!$P$10&gt;0.01,INDEX('Debt Tracker'!$T$5:$AE$29,6,AC376-1)&gt;0.01))*('Recurring Items'!$H$13&lt;&gt;"Skip")*(DAY(AB376)='Recurring Items'!$F$13)*IFERROR(N('Recurring Items'!$D$13),0)+(IF(AC376=1,'Debt Tracker'!$P$11&gt;0.01,INDEX('Debt Tracker'!$T$5:$AE$29,7,AC376-1)&gt;0.01))*('Recurring Items'!$H$14&lt;&gt;"Skip")*(DAY(AB376)='Recurring Items'!$F$14)*IFERROR(N('Recurring Items'!$D$14),0)+(IF(AC376=1,'Debt Tracker'!$P$12&gt;0.01,INDEX('Debt Tracker'!$T$5:$AE$29,8,AC376-1)&gt;0.01))*('Recurring Items'!$H$15&lt;&gt;"Skip")*(DAY(AB376)='Recurring Items'!$F$15)*IFERROR(N('Recurring Items'!$D$15),0)+(IF(AC376=1,'Debt Tracker'!$P$13&gt;0.01,INDEX('Debt Tracker'!$T$5:$AE$29,9,AC376-1)&gt;0.01))*('Recurring Items'!$H$16&lt;&gt;"Skip")*(DAY(AB376)='Recurring Items'!$F$16)*IFERROR(N('Recurring Items'!$D$16),0)+(IF(AC376=1,'Debt Tracker'!$P$14&gt;0.01,INDEX('Debt Tracker'!$T$5:$AE$29,10,AC376-1)&gt;0.01))*('Recurring Items'!$H$17&lt;&gt;"Skip")*(DAY(AB376)='Recurring Items'!$F$17)*IFERROR(N('Recurring Items'!$D$17),0)+(IF(AC376=1,'Debt Tracker'!$P$15&gt;0.01,INDEX('Debt Tracker'!$T$5:$AE$29,11,AC376-1)&gt;0.01))*('Recurring Items'!$H$18&lt;&gt;"Skip")*(DAY(AB376)='Recurring Items'!$F$18)*IFERROR(N('Recurring Items'!$D$18),0)+(IF(AC376=1,'Debt Tracker'!$P$16&gt;0.01,INDEX('Debt Tracker'!$T$5:$AE$29,12,AC376-1)&gt;0.01))*('Recurring Items'!$H$19&lt;&gt;"Skip")*(DAY(AB376)='Recurring Items'!$F$19)*IFERROR(N('Recurring Items'!$D$19),0)+(IF(AC376=1,'Debt Tracker'!$P$17&gt;0.01,INDEX('Debt Tracker'!$T$5:$AE$29,13,AC376-1)&gt;0.01))*('Recurring Items'!$H$20&lt;&gt;"Skip")*(DAY(AB376)='Recurring Items'!$F$20)*IFERROR(N('Recurring Items'!$D$20),0)+(IF(AC376=1,'Debt Tracker'!$P$18&gt;0.01,INDEX('Debt Tracker'!$T$5:$AE$29,14,AC376-1)&gt;0.01))*('Recurring Items'!$H$21&lt;&gt;"Skip")*(DAY(AB376)='Recurring Items'!$F$21)*IFERROR(N('Recurring Items'!$D$21),0)+(IF(AC376=1,'Debt Tracker'!$P$19&gt;0.01,INDEX('Debt Tracker'!$T$5:$AE$29,15,AC376-1)&gt;0.01))*('Recurring Items'!$H$22&lt;&gt;"Skip")*(DAY(AB376)='Recurring Items'!$F$22)*IFERROR(N('Recurring Items'!$D$22),0)+(IF(AC376=1,'Debt Tracker'!$P$20&gt;0.01,INDEX('Debt Tracker'!$T$5:$AE$29,16,AC376-1)&gt;0.01))*('Recurring Items'!$H$23&lt;&gt;"Skip")*(DAY(AB376)='Recurring Items'!$F$23)*IFERROR(N('Recurring Items'!$D$23),0)+(IF(AC376=1,'Debt Tracker'!$P$21&gt;0.01,INDEX('Debt Tracker'!$T$5:$AE$29,17,AC376-1)&gt;0.01))*('Recurring Items'!$H$24&lt;&gt;"Skip")*(DAY(AB376)='Recurring Items'!$F$24)*IFERROR(N('Recurring Items'!$D$24),0)+(IF(AC376=1,'Debt Tracker'!$P$22&gt;0.01,INDEX('Debt Tracker'!$T$5:$AE$29,18,AC376-1)&gt;0.01))*('Recurring Items'!$H$25&lt;&gt;"Skip")*(DAY(AB376)='Recurring Items'!$F$25)*IFERROR(N('Recurring Items'!$D$25),0)+(IF(AC376=1,'Debt Tracker'!$P$23&gt;0.01,INDEX('Debt Tracker'!$T$5:$AE$29,19,AC376-1)&gt;0.01))*('Recurring Items'!$H$26&lt;&gt;"Skip")*(DAY(AB376)='Recurring Items'!$F$26)*IFERROR(N('Recurring Items'!$D$26),0)+(IF(AC376=1,'Debt Tracker'!$P$24&gt;0.01,INDEX('Debt Tracker'!$T$5:$AE$29,20,AC376-1)&gt;0.01))*('Recurring Items'!$H$27&lt;&gt;"Skip")*(DAY(AB376)='Recurring Items'!$F$27)*IFERROR(N('Recurring Items'!$D$27),0)+(IF(AC376=1,'Debt Tracker'!$P$25&gt;0.01,INDEX('Debt Tracker'!$T$5:$AE$29,21,AC376-1)&gt;0.01))*('Recurring Items'!$H$28&lt;&gt;"Skip")*(DAY(AB376)='Recurring Items'!$F$28)*IFERROR(N('Recurring Items'!$D$28),0)+(IF(AC376=1,'Debt Tracker'!$P$26&gt;0.01,INDEX('Debt Tracker'!$T$5:$AE$29,22,AC376-1)&gt;0.01))*('Recurring Items'!$H$29&lt;&gt;"Skip")*(DAY(AB376)='Recurring Items'!$F$29)*IFERROR(N('Recurring Items'!$D$29),0)+(IF(AC376=1,'Debt Tracker'!$P$27&gt;0.01,INDEX('Debt Tracker'!$T$5:$AE$29,23,AC376-1)&gt;0.01))*('Recurring Items'!$H$30&lt;&gt;"Skip")*(DAY(AB376)='Recurring Items'!$F$30)*IFERROR(N('Recurring Items'!$D$30),0)+(IF(AC376=1,'Debt Tracker'!$P$28&gt;0.01,INDEX('Debt Tracker'!$T$5:$AE$29,24,AC376-1)&gt;0.01))*('Recurring Items'!$H$31&lt;&gt;"Skip")*(DAY(AB376)='Recurring Items'!$F$31)*IFERROR(N('Recurring Items'!$D$31),0)+(IF(AC376=1,'Debt Tracker'!$P$29&gt;0.01,INDEX('Debt Tracker'!$T$5:$AE$29,25,AC376-1)&gt;0.01))*('Recurring Items'!$H$32&lt;&gt;"Skip")*(DAY(AB376)='Recurring Items'!$F$32)*IFERROR(N('Recurring Items'!$D$32),0)</f>
        <v>0</v>
      </c>
      <c r="AG376" s="1" t="n">
        <f aca="false">AD376-AE376-AF376</f>
        <v>-101.02</v>
      </c>
      <c r="AH376" s="1" t="n">
        <f aca="false">AH375+AG376</f>
        <v>11852.3</v>
      </c>
    </row>
    <row r="377" customFormat="false" ht="15" hidden="false" customHeight="true" outlineLevel="0" collapsed="false">
      <c r="AA377" s="1" t="n">
        <v>177</v>
      </c>
      <c r="AB377" s="145" t="n">
        <f aca="false">$D$3+177</f>
        <v>46320</v>
      </c>
      <c r="AC377" s="1" t="n">
        <f aca="false">MIN(12,1+DATEDIF($D$3,AB377,"M"))</f>
        <v>6</v>
      </c>
      <c r="AD377" s="1" t="n">
        <f aca="false">SUMPRODUCT(('Recurring Items'!$C$6:$C$56="Income")*('Recurring Items'!$H$6:$H$56&lt;&gt;"Skip")*IFERROR(N('Recurring Items'!$D$6:$D$56),0)*(('Recurring Items'!$E$6:$E$56="Monthly")*(DAY(AB377)='Recurring Items'!$F$6:$F$56)+('Recurring Items'!$E$6:$E$56="Bi-weekly")*(WEEKDAY(AB377)=IFERROR(WEEKDAY('Recurring Items'!$G$6:$G$56),0))*(MOD(AB377-IFERROR('Recurring Items'!$G$6:$G$56,0),14)=0)*(AB377&gt;=IFERROR('Recurring Items'!$G$6:$G$56,9000000000))+('Recurring Items'!$E$6:$E$56="Weekly")*(WEEKDAY(AB377)=IFERROR(WEEKDAY('Recurring Items'!$G$6:$G$56),0))*(AB377&gt;=IFERROR('Recurring Items'!$G$6:$G$56,9000000000))+('Recurring Items'!$E$6:$E$56="One-time")*(AB377='Recurring Items'!$G$6:$G$56)))</f>
        <v>0</v>
      </c>
      <c r="AE377" s="1" t="n">
        <f aca="false">SUMPRODUCT(('Recurring Items'!$C$6:$C$56="Expense")*('Recurring Items'!$H$6:$H$56&lt;&gt;"Skip")*IFERROR(N('Recurring Items'!$D$6:$D$56),0)*(('Recurring Items'!$E$6:$E$56="Monthly")*(DAY(AB377)='Recurring Items'!$F$6:$F$56)+('Recurring Items'!$E$6:$E$56="Bi-weekly")*(WEEKDAY(AB377)=IFERROR(WEEKDAY('Recurring Items'!$G$6:$G$56),0))*(MOD(AB377-IFERROR('Recurring Items'!$G$6:$G$56,0),14)=0)*(AB377&gt;=IFERROR('Recurring Items'!$G$6:$G$56,9000000000))+('Recurring Items'!$E$6:$E$56="Weekly")*(WEEKDAY(AB377)=IFERROR(WEEKDAY('Recurring Items'!$G$6:$G$56),0))*(AB377&gt;=IFERROR('Recurring Items'!$G$6:$G$56,9000000000))+('Recurring Items'!$E$6:$E$56="One-time")*(AB377='Recurring Items'!$G$6:$G$56)))</f>
        <v>0</v>
      </c>
      <c r="AF377" s="1" t="n">
        <f aca="false">(IF(AC377=1,'Debt Tracker'!$P$5&gt;0.01,INDEX('Debt Tracker'!$T$5:$AE$29,1,AC377-1)&gt;0.01))*('Recurring Items'!$H$8&lt;&gt;"Skip")*(DAY(AB377)='Recurring Items'!$F$8)*IFERROR(N('Recurring Items'!$D$8),0)+(IF(AC377=1,'Debt Tracker'!$P$6&gt;0.01,INDEX('Debt Tracker'!$T$5:$AE$29,2,AC377-1)&gt;0.01))*('Recurring Items'!$H$9&lt;&gt;"Skip")*(DAY(AB377)='Recurring Items'!$F$9)*IFERROR(N('Recurring Items'!$D$9),0)+(IF(AC377=1,'Debt Tracker'!$P$7&gt;0.01,INDEX('Debt Tracker'!$T$5:$AE$29,3,AC377-1)&gt;0.01))*('Recurring Items'!$H$10&lt;&gt;"Skip")*(DAY(AB377)='Recurring Items'!$F$10)*IFERROR(N('Recurring Items'!$D$10),0)+(IF(AC377=1,'Debt Tracker'!$P$8&gt;0.01,INDEX('Debt Tracker'!$T$5:$AE$29,4,AC377-1)&gt;0.01))*('Recurring Items'!$H$11&lt;&gt;"Skip")*(DAY(AB377)='Recurring Items'!$F$11)*IFERROR(N('Recurring Items'!$D$11),0)+(IF(AC377=1,'Debt Tracker'!$P$9&gt;0.01,INDEX('Debt Tracker'!$T$5:$AE$29,5,AC377-1)&gt;0.01))*('Recurring Items'!$H$12&lt;&gt;"Skip")*(DAY(AB377)='Recurring Items'!$F$12)*IFERROR(N('Recurring Items'!$D$12),0)+(IF(AC377=1,'Debt Tracker'!$P$10&gt;0.01,INDEX('Debt Tracker'!$T$5:$AE$29,6,AC377-1)&gt;0.01))*('Recurring Items'!$H$13&lt;&gt;"Skip")*(DAY(AB377)='Recurring Items'!$F$13)*IFERROR(N('Recurring Items'!$D$13),0)+(IF(AC377=1,'Debt Tracker'!$P$11&gt;0.01,INDEX('Debt Tracker'!$T$5:$AE$29,7,AC377-1)&gt;0.01))*('Recurring Items'!$H$14&lt;&gt;"Skip")*(DAY(AB377)='Recurring Items'!$F$14)*IFERROR(N('Recurring Items'!$D$14),0)+(IF(AC377=1,'Debt Tracker'!$P$12&gt;0.01,INDEX('Debt Tracker'!$T$5:$AE$29,8,AC377-1)&gt;0.01))*('Recurring Items'!$H$15&lt;&gt;"Skip")*(DAY(AB377)='Recurring Items'!$F$15)*IFERROR(N('Recurring Items'!$D$15),0)+(IF(AC377=1,'Debt Tracker'!$P$13&gt;0.01,INDEX('Debt Tracker'!$T$5:$AE$29,9,AC377-1)&gt;0.01))*('Recurring Items'!$H$16&lt;&gt;"Skip")*(DAY(AB377)='Recurring Items'!$F$16)*IFERROR(N('Recurring Items'!$D$16),0)+(IF(AC377=1,'Debt Tracker'!$P$14&gt;0.01,INDEX('Debt Tracker'!$T$5:$AE$29,10,AC377-1)&gt;0.01))*('Recurring Items'!$H$17&lt;&gt;"Skip")*(DAY(AB377)='Recurring Items'!$F$17)*IFERROR(N('Recurring Items'!$D$17),0)+(IF(AC377=1,'Debt Tracker'!$P$15&gt;0.01,INDEX('Debt Tracker'!$T$5:$AE$29,11,AC377-1)&gt;0.01))*('Recurring Items'!$H$18&lt;&gt;"Skip")*(DAY(AB377)='Recurring Items'!$F$18)*IFERROR(N('Recurring Items'!$D$18),0)+(IF(AC377=1,'Debt Tracker'!$P$16&gt;0.01,INDEX('Debt Tracker'!$T$5:$AE$29,12,AC377-1)&gt;0.01))*('Recurring Items'!$H$19&lt;&gt;"Skip")*(DAY(AB377)='Recurring Items'!$F$19)*IFERROR(N('Recurring Items'!$D$19),0)+(IF(AC377=1,'Debt Tracker'!$P$17&gt;0.01,INDEX('Debt Tracker'!$T$5:$AE$29,13,AC377-1)&gt;0.01))*('Recurring Items'!$H$20&lt;&gt;"Skip")*(DAY(AB377)='Recurring Items'!$F$20)*IFERROR(N('Recurring Items'!$D$20),0)+(IF(AC377=1,'Debt Tracker'!$P$18&gt;0.01,INDEX('Debt Tracker'!$T$5:$AE$29,14,AC377-1)&gt;0.01))*('Recurring Items'!$H$21&lt;&gt;"Skip")*(DAY(AB377)='Recurring Items'!$F$21)*IFERROR(N('Recurring Items'!$D$21),0)+(IF(AC377=1,'Debt Tracker'!$P$19&gt;0.01,INDEX('Debt Tracker'!$T$5:$AE$29,15,AC377-1)&gt;0.01))*('Recurring Items'!$H$22&lt;&gt;"Skip")*(DAY(AB377)='Recurring Items'!$F$22)*IFERROR(N('Recurring Items'!$D$22),0)+(IF(AC377=1,'Debt Tracker'!$P$20&gt;0.01,INDEX('Debt Tracker'!$T$5:$AE$29,16,AC377-1)&gt;0.01))*('Recurring Items'!$H$23&lt;&gt;"Skip")*(DAY(AB377)='Recurring Items'!$F$23)*IFERROR(N('Recurring Items'!$D$23),0)+(IF(AC377=1,'Debt Tracker'!$P$21&gt;0.01,INDEX('Debt Tracker'!$T$5:$AE$29,17,AC377-1)&gt;0.01))*('Recurring Items'!$H$24&lt;&gt;"Skip")*(DAY(AB377)='Recurring Items'!$F$24)*IFERROR(N('Recurring Items'!$D$24),0)+(IF(AC377=1,'Debt Tracker'!$P$22&gt;0.01,INDEX('Debt Tracker'!$T$5:$AE$29,18,AC377-1)&gt;0.01))*('Recurring Items'!$H$25&lt;&gt;"Skip")*(DAY(AB377)='Recurring Items'!$F$25)*IFERROR(N('Recurring Items'!$D$25),0)+(IF(AC377=1,'Debt Tracker'!$P$23&gt;0.01,INDEX('Debt Tracker'!$T$5:$AE$29,19,AC377-1)&gt;0.01))*('Recurring Items'!$H$26&lt;&gt;"Skip")*(DAY(AB377)='Recurring Items'!$F$26)*IFERROR(N('Recurring Items'!$D$26),0)+(IF(AC377=1,'Debt Tracker'!$P$24&gt;0.01,INDEX('Debt Tracker'!$T$5:$AE$29,20,AC377-1)&gt;0.01))*('Recurring Items'!$H$27&lt;&gt;"Skip")*(DAY(AB377)='Recurring Items'!$F$27)*IFERROR(N('Recurring Items'!$D$27),0)+(IF(AC377=1,'Debt Tracker'!$P$25&gt;0.01,INDEX('Debt Tracker'!$T$5:$AE$29,21,AC377-1)&gt;0.01))*('Recurring Items'!$H$28&lt;&gt;"Skip")*(DAY(AB377)='Recurring Items'!$F$28)*IFERROR(N('Recurring Items'!$D$28),0)+(IF(AC377=1,'Debt Tracker'!$P$26&gt;0.01,INDEX('Debt Tracker'!$T$5:$AE$29,22,AC377-1)&gt;0.01))*('Recurring Items'!$H$29&lt;&gt;"Skip")*(DAY(AB377)='Recurring Items'!$F$29)*IFERROR(N('Recurring Items'!$D$29),0)+(IF(AC377=1,'Debt Tracker'!$P$27&gt;0.01,INDEX('Debt Tracker'!$T$5:$AE$29,23,AC377-1)&gt;0.01))*('Recurring Items'!$H$30&lt;&gt;"Skip")*(DAY(AB377)='Recurring Items'!$F$30)*IFERROR(N('Recurring Items'!$D$30),0)+(IF(AC377=1,'Debt Tracker'!$P$28&gt;0.01,INDEX('Debt Tracker'!$T$5:$AE$29,24,AC377-1)&gt;0.01))*('Recurring Items'!$H$31&lt;&gt;"Skip")*(DAY(AB377)='Recurring Items'!$F$31)*IFERROR(N('Recurring Items'!$D$31),0)+(IF(AC377=1,'Debt Tracker'!$P$29&gt;0.01,INDEX('Debt Tracker'!$T$5:$AE$29,25,AC377-1)&gt;0.01))*('Recurring Items'!$H$32&lt;&gt;"Skip")*(DAY(AB377)='Recurring Items'!$F$32)*IFERROR(N('Recurring Items'!$D$32),0)</f>
        <v>0</v>
      </c>
      <c r="AG377" s="1" t="n">
        <f aca="false">AD377-AE377-AF377</f>
        <v>0</v>
      </c>
      <c r="AH377" s="1" t="n">
        <f aca="false">AH376+AG377</f>
        <v>11852.3</v>
      </c>
    </row>
    <row r="378" customFormat="false" ht="15" hidden="false" customHeight="true" outlineLevel="0" collapsed="false">
      <c r="AA378" s="1" t="n">
        <v>178</v>
      </c>
      <c r="AB378" s="145" t="n">
        <f aca="false">$D$3+178</f>
        <v>46321</v>
      </c>
      <c r="AC378" s="1" t="n">
        <f aca="false">MIN(12,1+DATEDIF($D$3,AB378,"M"))</f>
        <v>6</v>
      </c>
      <c r="AD378" s="1" t="n">
        <f aca="false">SUMPRODUCT(('Recurring Items'!$C$6:$C$56="Income")*('Recurring Items'!$H$6:$H$56&lt;&gt;"Skip")*IFERROR(N('Recurring Items'!$D$6:$D$56),0)*(('Recurring Items'!$E$6:$E$56="Monthly")*(DAY(AB378)='Recurring Items'!$F$6:$F$56)+('Recurring Items'!$E$6:$E$56="Bi-weekly")*(WEEKDAY(AB378)=IFERROR(WEEKDAY('Recurring Items'!$G$6:$G$56),0))*(MOD(AB378-IFERROR('Recurring Items'!$G$6:$G$56,0),14)=0)*(AB378&gt;=IFERROR('Recurring Items'!$G$6:$G$56,9000000000))+('Recurring Items'!$E$6:$E$56="Weekly")*(WEEKDAY(AB378)=IFERROR(WEEKDAY('Recurring Items'!$G$6:$G$56),0))*(AB378&gt;=IFERROR('Recurring Items'!$G$6:$G$56,9000000000))+('Recurring Items'!$E$6:$E$56="One-time")*(AB378='Recurring Items'!$G$6:$G$56)))</f>
        <v>0</v>
      </c>
      <c r="AE378" s="1" t="n">
        <f aca="false">SUMPRODUCT(('Recurring Items'!$C$6:$C$56="Expense")*('Recurring Items'!$H$6:$H$56&lt;&gt;"Skip")*IFERROR(N('Recurring Items'!$D$6:$D$56),0)*(('Recurring Items'!$E$6:$E$56="Monthly")*(DAY(AB378)='Recurring Items'!$F$6:$F$56)+('Recurring Items'!$E$6:$E$56="Bi-weekly")*(WEEKDAY(AB378)=IFERROR(WEEKDAY('Recurring Items'!$G$6:$G$56),0))*(MOD(AB378-IFERROR('Recurring Items'!$G$6:$G$56,0),14)=0)*(AB378&gt;=IFERROR('Recurring Items'!$G$6:$G$56,9000000000))+('Recurring Items'!$E$6:$E$56="Weekly")*(WEEKDAY(AB378)=IFERROR(WEEKDAY('Recurring Items'!$G$6:$G$56),0))*(AB378&gt;=IFERROR('Recurring Items'!$G$6:$G$56,9000000000))+('Recurring Items'!$E$6:$E$56="One-time")*(AB378='Recurring Items'!$G$6:$G$56)))</f>
        <v>0</v>
      </c>
      <c r="AF378" s="1" t="n">
        <f aca="false">(IF(AC378=1,'Debt Tracker'!$P$5&gt;0.01,INDEX('Debt Tracker'!$T$5:$AE$29,1,AC378-1)&gt;0.01))*('Recurring Items'!$H$8&lt;&gt;"Skip")*(DAY(AB378)='Recurring Items'!$F$8)*IFERROR(N('Recurring Items'!$D$8),0)+(IF(AC378=1,'Debt Tracker'!$P$6&gt;0.01,INDEX('Debt Tracker'!$T$5:$AE$29,2,AC378-1)&gt;0.01))*('Recurring Items'!$H$9&lt;&gt;"Skip")*(DAY(AB378)='Recurring Items'!$F$9)*IFERROR(N('Recurring Items'!$D$9),0)+(IF(AC378=1,'Debt Tracker'!$P$7&gt;0.01,INDEX('Debt Tracker'!$T$5:$AE$29,3,AC378-1)&gt;0.01))*('Recurring Items'!$H$10&lt;&gt;"Skip")*(DAY(AB378)='Recurring Items'!$F$10)*IFERROR(N('Recurring Items'!$D$10),0)+(IF(AC378=1,'Debt Tracker'!$P$8&gt;0.01,INDEX('Debt Tracker'!$T$5:$AE$29,4,AC378-1)&gt;0.01))*('Recurring Items'!$H$11&lt;&gt;"Skip")*(DAY(AB378)='Recurring Items'!$F$11)*IFERROR(N('Recurring Items'!$D$11),0)+(IF(AC378=1,'Debt Tracker'!$P$9&gt;0.01,INDEX('Debt Tracker'!$T$5:$AE$29,5,AC378-1)&gt;0.01))*('Recurring Items'!$H$12&lt;&gt;"Skip")*(DAY(AB378)='Recurring Items'!$F$12)*IFERROR(N('Recurring Items'!$D$12),0)+(IF(AC378=1,'Debt Tracker'!$P$10&gt;0.01,INDEX('Debt Tracker'!$T$5:$AE$29,6,AC378-1)&gt;0.01))*('Recurring Items'!$H$13&lt;&gt;"Skip")*(DAY(AB378)='Recurring Items'!$F$13)*IFERROR(N('Recurring Items'!$D$13),0)+(IF(AC378=1,'Debt Tracker'!$P$11&gt;0.01,INDEX('Debt Tracker'!$T$5:$AE$29,7,AC378-1)&gt;0.01))*('Recurring Items'!$H$14&lt;&gt;"Skip")*(DAY(AB378)='Recurring Items'!$F$14)*IFERROR(N('Recurring Items'!$D$14),0)+(IF(AC378=1,'Debt Tracker'!$P$12&gt;0.01,INDEX('Debt Tracker'!$T$5:$AE$29,8,AC378-1)&gt;0.01))*('Recurring Items'!$H$15&lt;&gt;"Skip")*(DAY(AB378)='Recurring Items'!$F$15)*IFERROR(N('Recurring Items'!$D$15),0)+(IF(AC378=1,'Debt Tracker'!$P$13&gt;0.01,INDEX('Debt Tracker'!$T$5:$AE$29,9,AC378-1)&gt;0.01))*('Recurring Items'!$H$16&lt;&gt;"Skip")*(DAY(AB378)='Recurring Items'!$F$16)*IFERROR(N('Recurring Items'!$D$16),0)+(IF(AC378=1,'Debt Tracker'!$P$14&gt;0.01,INDEX('Debt Tracker'!$T$5:$AE$29,10,AC378-1)&gt;0.01))*('Recurring Items'!$H$17&lt;&gt;"Skip")*(DAY(AB378)='Recurring Items'!$F$17)*IFERROR(N('Recurring Items'!$D$17),0)+(IF(AC378=1,'Debt Tracker'!$P$15&gt;0.01,INDEX('Debt Tracker'!$T$5:$AE$29,11,AC378-1)&gt;0.01))*('Recurring Items'!$H$18&lt;&gt;"Skip")*(DAY(AB378)='Recurring Items'!$F$18)*IFERROR(N('Recurring Items'!$D$18),0)+(IF(AC378=1,'Debt Tracker'!$P$16&gt;0.01,INDEX('Debt Tracker'!$T$5:$AE$29,12,AC378-1)&gt;0.01))*('Recurring Items'!$H$19&lt;&gt;"Skip")*(DAY(AB378)='Recurring Items'!$F$19)*IFERROR(N('Recurring Items'!$D$19),0)+(IF(AC378=1,'Debt Tracker'!$P$17&gt;0.01,INDEX('Debt Tracker'!$T$5:$AE$29,13,AC378-1)&gt;0.01))*('Recurring Items'!$H$20&lt;&gt;"Skip")*(DAY(AB378)='Recurring Items'!$F$20)*IFERROR(N('Recurring Items'!$D$20),0)+(IF(AC378=1,'Debt Tracker'!$P$18&gt;0.01,INDEX('Debt Tracker'!$T$5:$AE$29,14,AC378-1)&gt;0.01))*('Recurring Items'!$H$21&lt;&gt;"Skip")*(DAY(AB378)='Recurring Items'!$F$21)*IFERROR(N('Recurring Items'!$D$21),0)+(IF(AC378=1,'Debt Tracker'!$P$19&gt;0.01,INDEX('Debt Tracker'!$T$5:$AE$29,15,AC378-1)&gt;0.01))*('Recurring Items'!$H$22&lt;&gt;"Skip")*(DAY(AB378)='Recurring Items'!$F$22)*IFERROR(N('Recurring Items'!$D$22),0)+(IF(AC378=1,'Debt Tracker'!$P$20&gt;0.01,INDEX('Debt Tracker'!$T$5:$AE$29,16,AC378-1)&gt;0.01))*('Recurring Items'!$H$23&lt;&gt;"Skip")*(DAY(AB378)='Recurring Items'!$F$23)*IFERROR(N('Recurring Items'!$D$23),0)+(IF(AC378=1,'Debt Tracker'!$P$21&gt;0.01,INDEX('Debt Tracker'!$T$5:$AE$29,17,AC378-1)&gt;0.01))*('Recurring Items'!$H$24&lt;&gt;"Skip")*(DAY(AB378)='Recurring Items'!$F$24)*IFERROR(N('Recurring Items'!$D$24),0)+(IF(AC378=1,'Debt Tracker'!$P$22&gt;0.01,INDEX('Debt Tracker'!$T$5:$AE$29,18,AC378-1)&gt;0.01))*('Recurring Items'!$H$25&lt;&gt;"Skip")*(DAY(AB378)='Recurring Items'!$F$25)*IFERROR(N('Recurring Items'!$D$25),0)+(IF(AC378=1,'Debt Tracker'!$P$23&gt;0.01,INDEX('Debt Tracker'!$T$5:$AE$29,19,AC378-1)&gt;0.01))*('Recurring Items'!$H$26&lt;&gt;"Skip")*(DAY(AB378)='Recurring Items'!$F$26)*IFERROR(N('Recurring Items'!$D$26),0)+(IF(AC378=1,'Debt Tracker'!$P$24&gt;0.01,INDEX('Debt Tracker'!$T$5:$AE$29,20,AC378-1)&gt;0.01))*('Recurring Items'!$H$27&lt;&gt;"Skip")*(DAY(AB378)='Recurring Items'!$F$27)*IFERROR(N('Recurring Items'!$D$27),0)+(IF(AC378=1,'Debt Tracker'!$P$25&gt;0.01,INDEX('Debt Tracker'!$T$5:$AE$29,21,AC378-1)&gt;0.01))*('Recurring Items'!$H$28&lt;&gt;"Skip")*(DAY(AB378)='Recurring Items'!$F$28)*IFERROR(N('Recurring Items'!$D$28),0)+(IF(AC378=1,'Debt Tracker'!$P$26&gt;0.01,INDEX('Debt Tracker'!$T$5:$AE$29,22,AC378-1)&gt;0.01))*('Recurring Items'!$H$29&lt;&gt;"Skip")*(DAY(AB378)='Recurring Items'!$F$29)*IFERROR(N('Recurring Items'!$D$29),0)+(IF(AC378=1,'Debt Tracker'!$P$27&gt;0.01,INDEX('Debt Tracker'!$T$5:$AE$29,23,AC378-1)&gt;0.01))*('Recurring Items'!$H$30&lt;&gt;"Skip")*(DAY(AB378)='Recurring Items'!$F$30)*IFERROR(N('Recurring Items'!$D$30),0)+(IF(AC378=1,'Debt Tracker'!$P$28&gt;0.01,INDEX('Debt Tracker'!$T$5:$AE$29,24,AC378-1)&gt;0.01))*('Recurring Items'!$H$31&lt;&gt;"Skip")*(DAY(AB378)='Recurring Items'!$F$31)*IFERROR(N('Recurring Items'!$D$31),0)+(IF(AC378=1,'Debt Tracker'!$P$29&gt;0.01,INDEX('Debt Tracker'!$T$5:$AE$29,25,AC378-1)&gt;0.01))*('Recurring Items'!$H$32&lt;&gt;"Skip")*(DAY(AB378)='Recurring Items'!$F$32)*IFERROR(N('Recurring Items'!$D$32),0)</f>
        <v>0</v>
      </c>
      <c r="AG378" s="1" t="n">
        <f aca="false">AD378-AE378-AF378</f>
        <v>0</v>
      </c>
      <c r="AH378" s="1" t="n">
        <f aca="false">AH377+AG378</f>
        <v>11852.3</v>
      </c>
    </row>
    <row r="379" customFormat="false" ht="15" hidden="false" customHeight="true" outlineLevel="0" collapsed="false">
      <c r="AA379" s="1" t="n">
        <v>179</v>
      </c>
      <c r="AB379" s="145" t="n">
        <f aca="false">$D$3+179</f>
        <v>46322</v>
      </c>
      <c r="AC379" s="1" t="n">
        <f aca="false">MIN(12,1+DATEDIF($D$3,AB379,"M"))</f>
        <v>6</v>
      </c>
      <c r="AD379" s="1" t="n">
        <f aca="false">SUMPRODUCT(('Recurring Items'!$C$6:$C$56="Income")*('Recurring Items'!$H$6:$H$56&lt;&gt;"Skip")*IFERROR(N('Recurring Items'!$D$6:$D$56),0)*(('Recurring Items'!$E$6:$E$56="Monthly")*(DAY(AB379)='Recurring Items'!$F$6:$F$56)+('Recurring Items'!$E$6:$E$56="Bi-weekly")*(WEEKDAY(AB379)=IFERROR(WEEKDAY('Recurring Items'!$G$6:$G$56),0))*(MOD(AB379-IFERROR('Recurring Items'!$G$6:$G$56,0),14)=0)*(AB379&gt;=IFERROR('Recurring Items'!$G$6:$G$56,9000000000))+('Recurring Items'!$E$6:$E$56="Weekly")*(WEEKDAY(AB379)=IFERROR(WEEKDAY('Recurring Items'!$G$6:$G$56),0))*(AB379&gt;=IFERROR('Recurring Items'!$G$6:$G$56,9000000000))+('Recurring Items'!$E$6:$E$56="One-time")*(AB379='Recurring Items'!$G$6:$G$56)))</f>
        <v>0</v>
      </c>
      <c r="AE379" s="1" t="n">
        <f aca="false">SUMPRODUCT(('Recurring Items'!$C$6:$C$56="Expense")*('Recurring Items'!$H$6:$H$56&lt;&gt;"Skip")*IFERROR(N('Recurring Items'!$D$6:$D$56),0)*(('Recurring Items'!$E$6:$E$56="Monthly")*(DAY(AB379)='Recurring Items'!$F$6:$F$56)+('Recurring Items'!$E$6:$E$56="Bi-weekly")*(WEEKDAY(AB379)=IFERROR(WEEKDAY('Recurring Items'!$G$6:$G$56),0))*(MOD(AB379-IFERROR('Recurring Items'!$G$6:$G$56,0),14)=0)*(AB379&gt;=IFERROR('Recurring Items'!$G$6:$G$56,9000000000))+('Recurring Items'!$E$6:$E$56="Weekly")*(WEEKDAY(AB379)=IFERROR(WEEKDAY('Recurring Items'!$G$6:$G$56),0))*(AB379&gt;=IFERROR('Recurring Items'!$G$6:$G$56,9000000000))+('Recurring Items'!$E$6:$E$56="One-time")*(AB379='Recurring Items'!$G$6:$G$56)))</f>
        <v>0</v>
      </c>
      <c r="AF379" s="1" t="n">
        <f aca="false">(IF(AC379=1,'Debt Tracker'!$P$5&gt;0.01,INDEX('Debt Tracker'!$T$5:$AE$29,1,AC379-1)&gt;0.01))*('Recurring Items'!$H$8&lt;&gt;"Skip")*(DAY(AB379)='Recurring Items'!$F$8)*IFERROR(N('Recurring Items'!$D$8),0)+(IF(AC379=1,'Debt Tracker'!$P$6&gt;0.01,INDEX('Debt Tracker'!$T$5:$AE$29,2,AC379-1)&gt;0.01))*('Recurring Items'!$H$9&lt;&gt;"Skip")*(DAY(AB379)='Recurring Items'!$F$9)*IFERROR(N('Recurring Items'!$D$9),0)+(IF(AC379=1,'Debt Tracker'!$P$7&gt;0.01,INDEX('Debt Tracker'!$T$5:$AE$29,3,AC379-1)&gt;0.01))*('Recurring Items'!$H$10&lt;&gt;"Skip")*(DAY(AB379)='Recurring Items'!$F$10)*IFERROR(N('Recurring Items'!$D$10),0)+(IF(AC379=1,'Debt Tracker'!$P$8&gt;0.01,INDEX('Debt Tracker'!$T$5:$AE$29,4,AC379-1)&gt;0.01))*('Recurring Items'!$H$11&lt;&gt;"Skip")*(DAY(AB379)='Recurring Items'!$F$11)*IFERROR(N('Recurring Items'!$D$11),0)+(IF(AC379=1,'Debt Tracker'!$P$9&gt;0.01,INDEX('Debt Tracker'!$T$5:$AE$29,5,AC379-1)&gt;0.01))*('Recurring Items'!$H$12&lt;&gt;"Skip")*(DAY(AB379)='Recurring Items'!$F$12)*IFERROR(N('Recurring Items'!$D$12),0)+(IF(AC379=1,'Debt Tracker'!$P$10&gt;0.01,INDEX('Debt Tracker'!$T$5:$AE$29,6,AC379-1)&gt;0.01))*('Recurring Items'!$H$13&lt;&gt;"Skip")*(DAY(AB379)='Recurring Items'!$F$13)*IFERROR(N('Recurring Items'!$D$13),0)+(IF(AC379=1,'Debt Tracker'!$P$11&gt;0.01,INDEX('Debt Tracker'!$T$5:$AE$29,7,AC379-1)&gt;0.01))*('Recurring Items'!$H$14&lt;&gt;"Skip")*(DAY(AB379)='Recurring Items'!$F$14)*IFERROR(N('Recurring Items'!$D$14),0)+(IF(AC379=1,'Debt Tracker'!$P$12&gt;0.01,INDEX('Debt Tracker'!$T$5:$AE$29,8,AC379-1)&gt;0.01))*('Recurring Items'!$H$15&lt;&gt;"Skip")*(DAY(AB379)='Recurring Items'!$F$15)*IFERROR(N('Recurring Items'!$D$15),0)+(IF(AC379=1,'Debt Tracker'!$P$13&gt;0.01,INDEX('Debt Tracker'!$T$5:$AE$29,9,AC379-1)&gt;0.01))*('Recurring Items'!$H$16&lt;&gt;"Skip")*(DAY(AB379)='Recurring Items'!$F$16)*IFERROR(N('Recurring Items'!$D$16),0)+(IF(AC379=1,'Debt Tracker'!$P$14&gt;0.01,INDEX('Debt Tracker'!$T$5:$AE$29,10,AC379-1)&gt;0.01))*('Recurring Items'!$H$17&lt;&gt;"Skip")*(DAY(AB379)='Recurring Items'!$F$17)*IFERROR(N('Recurring Items'!$D$17),0)+(IF(AC379=1,'Debt Tracker'!$P$15&gt;0.01,INDEX('Debt Tracker'!$T$5:$AE$29,11,AC379-1)&gt;0.01))*('Recurring Items'!$H$18&lt;&gt;"Skip")*(DAY(AB379)='Recurring Items'!$F$18)*IFERROR(N('Recurring Items'!$D$18),0)+(IF(AC379=1,'Debt Tracker'!$P$16&gt;0.01,INDEX('Debt Tracker'!$T$5:$AE$29,12,AC379-1)&gt;0.01))*('Recurring Items'!$H$19&lt;&gt;"Skip")*(DAY(AB379)='Recurring Items'!$F$19)*IFERROR(N('Recurring Items'!$D$19),0)+(IF(AC379=1,'Debt Tracker'!$P$17&gt;0.01,INDEX('Debt Tracker'!$T$5:$AE$29,13,AC379-1)&gt;0.01))*('Recurring Items'!$H$20&lt;&gt;"Skip")*(DAY(AB379)='Recurring Items'!$F$20)*IFERROR(N('Recurring Items'!$D$20),0)+(IF(AC379=1,'Debt Tracker'!$P$18&gt;0.01,INDEX('Debt Tracker'!$T$5:$AE$29,14,AC379-1)&gt;0.01))*('Recurring Items'!$H$21&lt;&gt;"Skip")*(DAY(AB379)='Recurring Items'!$F$21)*IFERROR(N('Recurring Items'!$D$21),0)+(IF(AC379=1,'Debt Tracker'!$P$19&gt;0.01,INDEX('Debt Tracker'!$T$5:$AE$29,15,AC379-1)&gt;0.01))*('Recurring Items'!$H$22&lt;&gt;"Skip")*(DAY(AB379)='Recurring Items'!$F$22)*IFERROR(N('Recurring Items'!$D$22),0)+(IF(AC379=1,'Debt Tracker'!$P$20&gt;0.01,INDEX('Debt Tracker'!$T$5:$AE$29,16,AC379-1)&gt;0.01))*('Recurring Items'!$H$23&lt;&gt;"Skip")*(DAY(AB379)='Recurring Items'!$F$23)*IFERROR(N('Recurring Items'!$D$23),0)+(IF(AC379=1,'Debt Tracker'!$P$21&gt;0.01,INDEX('Debt Tracker'!$T$5:$AE$29,17,AC379-1)&gt;0.01))*('Recurring Items'!$H$24&lt;&gt;"Skip")*(DAY(AB379)='Recurring Items'!$F$24)*IFERROR(N('Recurring Items'!$D$24),0)+(IF(AC379=1,'Debt Tracker'!$P$22&gt;0.01,INDEX('Debt Tracker'!$T$5:$AE$29,18,AC379-1)&gt;0.01))*('Recurring Items'!$H$25&lt;&gt;"Skip")*(DAY(AB379)='Recurring Items'!$F$25)*IFERROR(N('Recurring Items'!$D$25),0)+(IF(AC379=1,'Debt Tracker'!$P$23&gt;0.01,INDEX('Debt Tracker'!$T$5:$AE$29,19,AC379-1)&gt;0.01))*('Recurring Items'!$H$26&lt;&gt;"Skip")*(DAY(AB379)='Recurring Items'!$F$26)*IFERROR(N('Recurring Items'!$D$26),0)+(IF(AC379=1,'Debt Tracker'!$P$24&gt;0.01,INDEX('Debt Tracker'!$T$5:$AE$29,20,AC379-1)&gt;0.01))*('Recurring Items'!$H$27&lt;&gt;"Skip")*(DAY(AB379)='Recurring Items'!$F$27)*IFERROR(N('Recurring Items'!$D$27),0)+(IF(AC379=1,'Debt Tracker'!$P$25&gt;0.01,INDEX('Debt Tracker'!$T$5:$AE$29,21,AC379-1)&gt;0.01))*('Recurring Items'!$H$28&lt;&gt;"Skip")*(DAY(AB379)='Recurring Items'!$F$28)*IFERROR(N('Recurring Items'!$D$28),0)+(IF(AC379=1,'Debt Tracker'!$P$26&gt;0.01,INDEX('Debt Tracker'!$T$5:$AE$29,22,AC379-1)&gt;0.01))*('Recurring Items'!$H$29&lt;&gt;"Skip")*(DAY(AB379)='Recurring Items'!$F$29)*IFERROR(N('Recurring Items'!$D$29),0)+(IF(AC379=1,'Debt Tracker'!$P$27&gt;0.01,INDEX('Debt Tracker'!$T$5:$AE$29,23,AC379-1)&gt;0.01))*('Recurring Items'!$H$30&lt;&gt;"Skip")*(DAY(AB379)='Recurring Items'!$F$30)*IFERROR(N('Recurring Items'!$D$30),0)+(IF(AC379=1,'Debt Tracker'!$P$28&gt;0.01,INDEX('Debt Tracker'!$T$5:$AE$29,24,AC379-1)&gt;0.01))*('Recurring Items'!$H$31&lt;&gt;"Skip")*(DAY(AB379)='Recurring Items'!$F$31)*IFERROR(N('Recurring Items'!$D$31),0)+(IF(AC379=1,'Debt Tracker'!$P$29&gt;0.01,INDEX('Debt Tracker'!$T$5:$AE$29,25,AC379-1)&gt;0.01))*('Recurring Items'!$H$32&lt;&gt;"Skip")*(DAY(AB379)='Recurring Items'!$F$32)*IFERROR(N('Recurring Items'!$D$32),0)</f>
        <v>0</v>
      </c>
      <c r="AG379" s="1" t="n">
        <f aca="false">AD379-AE379-AF379</f>
        <v>0</v>
      </c>
      <c r="AH379" s="1" t="n">
        <f aca="false">AH378+AG379</f>
        <v>11852.3</v>
      </c>
    </row>
    <row r="380" customFormat="false" ht="15" hidden="false" customHeight="true" outlineLevel="0" collapsed="false">
      <c r="AA380" s="1" t="n">
        <v>180</v>
      </c>
      <c r="AB380" s="145" t="n">
        <f aca="false">$D$3+180</f>
        <v>46323</v>
      </c>
      <c r="AC380" s="1" t="n">
        <f aca="false">MIN(12,1+DATEDIF($D$3,AB380,"M"))</f>
        <v>6</v>
      </c>
      <c r="AD380" s="1" t="n">
        <f aca="false">SUMPRODUCT(('Recurring Items'!$C$6:$C$56="Income")*('Recurring Items'!$H$6:$H$56&lt;&gt;"Skip")*IFERROR(N('Recurring Items'!$D$6:$D$56),0)*(('Recurring Items'!$E$6:$E$56="Monthly")*(DAY(AB380)='Recurring Items'!$F$6:$F$56)+('Recurring Items'!$E$6:$E$56="Bi-weekly")*(WEEKDAY(AB380)=IFERROR(WEEKDAY('Recurring Items'!$G$6:$G$56),0))*(MOD(AB380-IFERROR('Recurring Items'!$G$6:$G$56,0),14)=0)*(AB380&gt;=IFERROR('Recurring Items'!$G$6:$G$56,9000000000))+('Recurring Items'!$E$6:$E$56="Weekly")*(WEEKDAY(AB380)=IFERROR(WEEKDAY('Recurring Items'!$G$6:$G$56),0))*(AB380&gt;=IFERROR('Recurring Items'!$G$6:$G$56,9000000000))+('Recurring Items'!$E$6:$E$56="One-time")*(AB380='Recurring Items'!$G$6:$G$56)))</f>
        <v>0</v>
      </c>
      <c r="AE380" s="1" t="n">
        <f aca="false">SUMPRODUCT(('Recurring Items'!$C$6:$C$56="Expense")*('Recurring Items'!$H$6:$H$56&lt;&gt;"Skip")*IFERROR(N('Recurring Items'!$D$6:$D$56),0)*(('Recurring Items'!$E$6:$E$56="Monthly")*(DAY(AB380)='Recurring Items'!$F$6:$F$56)+('Recurring Items'!$E$6:$E$56="Bi-weekly")*(WEEKDAY(AB380)=IFERROR(WEEKDAY('Recurring Items'!$G$6:$G$56),0))*(MOD(AB380-IFERROR('Recurring Items'!$G$6:$G$56,0),14)=0)*(AB380&gt;=IFERROR('Recurring Items'!$G$6:$G$56,9000000000))+('Recurring Items'!$E$6:$E$56="Weekly")*(WEEKDAY(AB380)=IFERROR(WEEKDAY('Recurring Items'!$G$6:$G$56),0))*(AB380&gt;=IFERROR('Recurring Items'!$G$6:$G$56,9000000000))+('Recurring Items'!$E$6:$E$56="One-time")*(AB380='Recurring Items'!$G$6:$G$56)))</f>
        <v>0</v>
      </c>
      <c r="AF380" s="1" t="n">
        <f aca="false">(IF(AC380=1,'Debt Tracker'!$P$5&gt;0.01,INDEX('Debt Tracker'!$T$5:$AE$29,1,AC380-1)&gt;0.01))*('Recurring Items'!$H$8&lt;&gt;"Skip")*(DAY(AB380)='Recurring Items'!$F$8)*IFERROR(N('Recurring Items'!$D$8),0)+(IF(AC380=1,'Debt Tracker'!$P$6&gt;0.01,INDEX('Debt Tracker'!$T$5:$AE$29,2,AC380-1)&gt;0.01))*('Recurring Items'!$H$9&lt;&gt;"Skip")*(DAY(AB380)='Recurring Items'!$F$9)*IFERROR(N('Recurring Items'!$D$9),0)+(IF(AC380=1,'Debt Tracker'!$P$7&gt;0.01,INDEX('Debt Tracker'!$T$5:$AE$29,3,AC380-1)&gt;0.01))*('Recurring Items'!$H$10&lt;&gt;"Skip")*(DAY(AB380)='Recurring Items'!$F$10)*IFERROR(N('Recurring Items'!$D$10),0)+(IF(AC380=1,'Debt Tracker'!$P$8&gt;0.01,INDEX('Debt Tracker'!$T$5:$AE$29,4,AC380-1)&gt;0.01))*('Recurring Items'!$H$11&lt;&gt;"Skip")*(DAY(AB380)='Recurring Items'!$F$11)*IFERROR(N('Recurring Items'!$D$11),0)+(IF(AC380=1,'Debt Tracker'!$P$9&gt;0.01,INDEX('Debt Tracker'!$T$5:$AE$29,5,AC380-1)&gt;0.01))*('Recurring Items'!$H$12&lt;&gt;"Skip")*(DAY(AB380)='Recurring Items'!$F$12)*IFERROR(N('Recurring Items'!$D$12),0)+(IF(AC380=1,'Debt Tracker'!$P$10&gt;0.01,INDEX('Debt Tracker'!$T$5:$AE$29,6,AC380-1)&gt;0.01))*('Recurring Items'!$H$13&lt;&gt;"Skip")*(DAY(AB380)='Recurring Items'!$F$13)*IFERROR(N('Recurring Items'!$D$13),0)+(IF(AC380=1,'Debt Tracker'!$P$11&gt;0.01,INDEX('Debt Tracker'!$T$5:$AE$29,7,AC380-1)&gt;0.01))*('Recurring Items'!$H$14&lt;&gt;"Skip")*(DAY(AB380)='Recurring Items'!$F$14)*IFERROR(N('Recurring Items'!$D$14),0)+(IF(AC380=1,'Debt Tracker'!$P$12&gt;0.01,INDEX('Debt Tracker'!$T$5:$AE$29,8,AC380-1)&gt;0.01))*('Recurring Items'!$H$15&lt;&gt;"Skip")*(DAY(AB380)='Recurring Items'!$F$15)*IFERROR(N('Recurring Items'!$D$15),0)+(IF(AC380=1,'Debt Tracker'!$P$13&gt;0.01,INDEX('Debt Tracker'!$T$5:$AE$29,9,AC380-1)&gt;0.01))*('Recurring Items'!$H$16&lt;&gt;"Skip")*(DAY(AB380)='Recurring Items'!$F$16)*IFERROR(N('Recurring Items'!$D$16),0)+(IF(AC380=1,'Debt Tracker'!$P$14&gt;0.01,INDEX('Debt Tracker'!$T$5:$AE$29,10,AC380-1)&gt;0.01))*('Recurring Items'!$H$17&lt;&gt;"Skip")*(DAY(AB380)='Recurring Items'!$F$17)*IFERROR(N('Recurring Items'!$D$17),0)+(IF(AC380=1,'Debt Tracker'!$P$15&gt;0.01,INDEX('Debt Tracker'!$T$5:$AE$29,11,AC380-1)&gt;0.01))*('Recurring Items'!$H$18&lt;&gt;"Skip")*(DAY(AB380)='Recurring Items'!$F$18)*IFERROR(N('Recurring Items'!$D$18),0)+(IF(AC380=1,'Debt Tracker'!$P$16&gt;0.01,INDEX('Debt Tracker'!$T$5:$AE$29,12,AC380-1)&gt;0.01))*('Recurring Items'!$H$19&lt;&gt;"Skip")*(DAY(AB380)='Recurring Items'!$F$19)*IFERROR(N('Recurring Items'!$D$19),0)+(IF(AC380=1,'Debt Tracker'!$P$17&gt;0.01,INDEX('Debt Tracker'!$T$5:$AE$29,13,AC380-1)&gt;0.01))*('Recurring Items'!$H$20&lt;&gt;"Skip")*(DAY(AB380)='Recurring Items'!$F$20)*IFERROR(N('Recurring Items'!$D$20),0)+(IF(AC380=1,'Debt Tracker'!$P$18&gt;0.01,INDEX('Debt Tracker'!$T$5:$AE$29,14,AC380-1)&gt;0.01))*('Recurring Items'!$H$21&lt;&gt;"Skip")*(DAY(AB380)='Recurring Items'!$F$21)*IFERROR(N('Recurring Items'!$D$21),0)+(IF(AC380=1,'Debt Tracker'!$P$19&gt;0.01,INDEX('Debt Tracker'!$T$5:$AE$29,15,AC380-1)&gt;0.01))*('Recurring Items'!$H$22&lt;&gt;"Skip")*(DAY(AB380)='Recurring Items'!$F$22)*IFERROR(N('Recurring Items'!$D$22),0)+(IF(AC380=1,'Debt Tracker'!$P$20&gt;0.01,INDEX('Debt Tracker'!$T$5:$AE$29,16,AC380-1)&gt;0.01))*('Recurring Items'!$H$23&lt;&gt;"Skip")*(DAY(AB380)='Recurring Items'!$F$23)*IFERROR(N('Recurring Items'!$D$23),0)+(IF(AC380=1,'Debt Tracker'!$P$21&gt;0.01,INDEX('Debt Tracker'!$T$5:$AE$29,17,AC380-1)&gt;0.01))*('Recurring Items'!$H$24&lt;&gt;"Skip")*(DAY(AB380)='Recurring Items'!$F$24)*IFERROR(N('Recurring Items'!$D$24),0)+(IF(AC380=1,'Debt Tracker'!$P$22&gt;0.01,INDEX('Debt Tracker'!$T$5:$AE$29,18,AC380-1)&gt;0.01))*('Recurring Items'!$H$25&lt;&gt;"Skip")*(DAY(AB380)='Recurring Items'!$F$25)*IFERROR(N('Recurring Items'!$D$25),0)+(IF(AC380=1,'Debt Tracker'!$P$23&gt;0.01,INDEX('Debt Tracker'!$T$5:$AE$29,19,AC380-1)&gt;0.01))*('Recurring Items'!$H$26&lt;&gt;"Skip")*(DAY(AB380)='Recurring Items'!$F$26)*IFERROR(N('Recurring Items'!$D$26),0)+(IF(AC380=1,'Debt Tracker'!$P$24&gt;0.01,INDEX('Debt Tracker'!$T$5:$AE$29,20,AC380-1)&gt;0.01))*('Recurring Items'!$H$27&lt;&gt;"Skip")*(DAY(AB380)='Recurring Items'!$F$27)*IFERROR(N('Recurring Items'!$D$27),0)+(IF(AC380=1,'Debt Tracker'!$P$25&gt;0.01,INDEX('Debt Tracker'!$T$5:$AE$29,21,AC380-1)&gt;0.01))*('Recurring Items'!$H$28&lt;&gt;"Skip")*(DAY(AB380)='Recurring Items'!$F$28)*IFERROR(N('Recurring Items'!$D$28),0)+(IF(AC380=1,'Debt Tracker'!$P$26&gt;0.01,INDEX('Debt Tracker'!$T$5:$AE$29,22,AC380-1)&gt;0.01))*('Recurring Items'!$H$29&lt;&gt;"Skip")*(DAY(AB380)='Recurring Items'!$F$29)*IFERROR(N('Recurring Items'!$D$29),0)+(IF(AC380=1,'Debt Tracker'!$P$27&gt;0.01,INDEX('Debt Tracker'!$T$5:$AE$29,23,AC380-1)&gt;0.01))*('Recurring Items'!$H$30&lt;&gt;"Skip")*(DAY(AB380)='Recurring Items'!$F$30)*IFERROR(N('Recurring Items'!$D$30),0)+(IF(AC380=1,'Debt Tracker'!$P$28&gt;0.01,INDEX('Debt Tracker'!$T$5:$AE$29,24,AC380-1)&gt;0.01))*('Recurring Items'!$H$31&lt;&gt;"Skip")*(DAY(AB380)='Recurring Items'!$F$31)*IFERROR(N('Recurring Items'!$D$31),0)+(IF(AC380=1,'Debt Tracker'!$P$29&gt;0.01,INDEX('Debt Tracker'!$T$5:$AE$29,25,AC380-1)&gt;0.01))*('Recurring Items'!$H$32&lt;&gt;"Skip")*(DAY(AB380)='Recurring Items'!$F$32)*IFERROR(N('Recurring Items'!$D$32),0)</f>
        <v>0</v>
      </c>
      <c r="AG380" s="1" t="n">
        <f aca="false">AD380-AE380-AF380</f>
        <v>0</v>
      </c>
      <c r="AH380" s="1" t="n">
        <f aca="false">AH379+AG380</f>
        <v>11852.3</v>
      </c>
    </row>
    <row r="381" customFormat="false" ht="15" hidden="false" customHeight="true" outlineLevel="0" collapsed="false">
      <c r="AA381" s="1" t="n">
        <v>181</v>
      </c>
      <c r="AB381" s="145" t="n">
        <f aca="false">$D$3+181</f>
        <v>46324</v>
      </c>
      <c r="AC381" s="1" t="n">
        <f aca="false">MIN(12,1+DATEDIF($D$3,AB381,"M"))</f>
        <v>6</v>
      </c>
      <c r="AD381" s="1" t="n">
        <f aca="false">SUMPRODUCT(('Recurring Items'!$C$6:$C$56="Income")*('Recurring Items'!$H$6:$H$56&lt;&gt;"Skip")*IFERROR(N('Recurring Items'!$D$6:$D$56),0)*(('Recurring Items'!$E$6:$E$56="Monthly")*(DAY(AB381)='Recurring Items'!$F$6:$F$56)+('Recurring Items'!$E$6:$E$56="Bi-weekly")*(WEEKDAY(AB381)=IFERROR(WEEKDAY('Recurring Items'!$G$6:$G$56),0))*(MOD(AB381-IFERROR('Recurring Items'!$G$6:$G$56,0),14)=0)*(AB381&gt;=IFERROR('Recurring Items'!$G$6:$G$56,9000000000))+('Recurring Items'!$E$6:$E$56="Weekly")*(WEEKDAY(AB381)=IFERROR(WEEKDAY('Recurring Items'!$G$6:$G$56),0))*(AB381&gt;=IFERROR('Recurring Items'!$G$6:$G$56,9000000000))+('Recurring Items'!$E$6:$E$56="One-time")*(AB381='Recurring Items'!$G$6:$G$56)))</f>
        <v>0</v>
      </c>
      <c r="AE381" s="1" t="n">
        <f aca="false">SUMPRODUCT(('Recurring Items'!$C$6:$C$56="Expense")*('Recurring Items'!$H$6:$H$56&lt;&gt;"Skip")*IFERROR(N('Recurring Items'!$D$6:$D$56),0)*(('Recurring Items'!$E$6:$E$56="Monthly")*(DAY(AB381)='Recurring Items'!$F$6:$F$56)+('Recurring Items'!$E$6:$E$56="Bi-weekly")*(WEEKDAY(AB381)=IFERROR(WEEKDAY('Recurring Items'!$G$6:$G$56),0))*(MOD(AB381-IFERROR('Recurring Items'!$G$6:$G$56,0),14)=0)*(AB381&gt;=IFERROR('Recurring Items'!$G$6:$G$56,9000000000))+('Recurring Items'!$E$6:$E$56="Weekly")*(WEEKDAY(AB381)=IFERROR(WEEKDAY('Recurring Items'!$G$6:$G$56),0))*(AB381&gt;=IFERROR('Recurring Items'!$G$6:$G$56,9000000000))+('Recurring Items'!$E$6:$E$56="One-time")*(AB381='Recurring Items'!$G$6:$G$56)))</f>
        <v>237.58</v>
      </c>
      <c r="AF381" s="1" t="n">
        <f aca="false">(IF(AC381=1,'Debt Tracker'!$P$5&gt;0.01,INDEX('Debt Tracker'!$T$5:$AE$29,1,AC381-1)&gt;0.01))*('Recurring Items'!$H$8&lt;&gt;"Skip")*(DAY(AB381)='Recurring Items'!$F$8)*IFERROR(N('Recurring Items'!$D$8),0)+(IF(AC381=1,'Debt Tracker'!$P$6&gt;0.01,INDEX('Debt Tracker'!$T$5:$AE$29,2,AC381-1)&gt;0.01))*('Recurring Items'!$H$9&lt;&gt;"Skip")*(DAY(AB381)='Recurring Items'!$F$9)*IFERROR(N('Recurring Items'!$D$9),0)+(IF(AC381=1,'Debt Tracker'!$P$7&gt;0.01,INDEX('Debt Tracker'!$T$5:$AE$29,3,AC381-1)&gt;0.01))*('Recurring Items'!$H$10&lt;&gt;"Skip")*(DAY(AB381)='Recurring Items'!$F$10)*IFERROR(N('Recurring Items'!$D$10),0)+(IF(AC381=1,'Debt Tracker'!$P$8&gt;0.01,INDEX('Debt Tracker'!$T$5:$AE$29,4,AC381-1)&gt;0.01))*('Recurring Items'!$H$11&lt;&gt;"Skip")*(DAY(AB381)='Recurring Items'!$F$11)*IFERROR(N('Recurring Items'!$D$11),0)+(IF(AC381=1,'Debt Tracker'!$P$9&gt;0.01,INDEX('Debt Tracker'!$T$5:$AE$29,5,AC381-1)&gt;0.01))*('Recurring Items'!$H$12&lt;&gt;"Skip")*(DAY(AB381)='Recurring Items'!$F$12)*IFERROR(N('Recurring Items'!$D$12),0)+(IF(AC381=1,'Debt Tracker'!$P$10&gt;0.01,INDEX('Debt Tracker'!$T$5:$AE$29,6,AC381-1)&gt;0.01))*('Recurring Items'!$H$13&lt;&gt;"Skip")*(DAY(AB381)='Recurring Items'!$F$13)*IFERROR(N('Recurring Items'!$D$13),0)+(IF(AC381=1,'Debt Tracker'!$P$11&gt;0.01,INDEX('Debt Tracker'!$T$5:$AE$29,7,AC381-1)&gt;0.01))*('Recurring Items'!$H$14&lt;&gt;"Skip")*(DAY(AB381)='Recurring Items'!$F$14)*IFERROR(N('Recurring Items'!$D$14),0)+(IF(AC381=1,'Debt Tracker'!$P$12&gt;0.01,INDEX('Debt Tracker'!$T$5:$AE$29,8,AC381-1)&gt;0.01))*('Recurring Items'!$H$15&lt;&gt;"Skip")*(DAY(AB381)='Recurring Items'!$F$15)*IFERROR(N('Recurring Items'!$D$15),0)+(IF(AC381=1,'Debt Tracker'!$P$13&gt;0.01,INDEX('Debt Tracker'!$T$5:$AE$29,9,AC381-1)&gt;0.01))*('Recurring Items'!$H$16&lt;&gt;"Skip")*(DAY(AB381)='Recurring Items'!$F$16)*IFERROR(N('Recurring Items'!$D$16),0)+(IF(AC381=1,'Debt Tracker'!$P$14&gt;0.01,INDEX('Debt Tracker'!$T$5:$AE$29,10,AC381-1)&gt;0.01))*('Recurring Items'!$H$17&lt;&gt;"Skip")*(DAY(AB381)='Recurring Items'!$F$17)*IFERROR(N('Recurring Items'!$D$17),0)+(IF(AC381=1,'Debt Tracker'!$P$15&gt;0.01,INDEX('Debt Tracker'!$T$5:$AE$29,11,AC381-1)&gt;0.01))*('Recurring Items'!$H$18&lt;&gt;"Skip")*(DAY(AB381)='Recurring Items'!$F$18)*IFERROR(N('Recurring Items'!$D$18),0)+(IF(AC381=1,'Debt Tracker'!$P$16&gt;0.01,INDEX('Debt Tracker'!$T$5:$AE$29,12,AC381-1)&gt;0.01))*('Recurring Items'!$H$19&lt;&gt;"Skip")*(DAY(AB381)='Recurring Items'!$F$19)*IFERROR(N('Recurring Items'!$D$19),0)+(IF(AC381=1,'Debt Tracker'!$P$17&gt;0.01,INDEX('Debt Tracker'!$T$5:$AE$29,13,AC381-1)&gt;0.01))*('Recurring Items'!$H$20&lt;&gt;"Skip")*(DAY(AB381)='Recurring Items'!$F$20)*IFERROR(N('Recurring Items'!$D$20),0)+(IF(AC381=1,'Debt Tracker'!$P$18&gt;0.01,INDEX('Debt Tracker'!$T$5:$AE$29,14,AC381-1)&gt;0.01))*('Recurring Items'!$H$21&lt;&gt;"Skip")*(DAY(AB381)='Recurring Items'!$F$21)*IFERROR(N('Recurring Items'!$D$21),0)+(IF(AC381=1,'Debt Tracker'!$P$19&gt;0.01,INDEX('Debt Tracker'!$T$5:$AE$29,15,AC381-1)&gt;0.01))*('Recurring Items'!$H$22&lt;&gt;"Skip")*(DAY(AB381)='Recurring Items'!$F$22)*IFERROR(N('Recurring Items'!$D$22),0)+(IF(AC381=1,'Debt Tracker'!$P$20&gt;0.01,INDEX('Debt Tracker'!$T$5:$AE$29,16,AC381-1)&gt;0.01))*('Recurring Items'!$H$23&lt;&gt;"Skip")*(DAY(AB381)='Recurring Items'!$F$23)*IFERROR(N('Recurring Items'!$D$23),0)+(IF(AC381=1,'Debt Tracker'!$P$21&gt;0.01,INDEX('Debt Tracker'!$T$5:$AE$29,17,AC381-1)&gt;0.01))*('Recurring Items'!$H$24&lt;&gt;"Skip")*(DAY(AB381)='Recurring Items'!$F$24)*IFERROR(N('Recurring Items'!$D$24),0)+(IF(AC381=1,'Debt Tracker'!$P$22&gt;0.01,INDEX('Debt Tracker'!$T$5:$AE$29,18,AC381-1)&gt;0.01))*('Recurring Items'!$H$25&lt;&gt;"Skip")*(DAY(AB381)='Recurring Items'!$F$25)*IFERROR(N('Recurring Items'!$D$25),0)+(IF(AC381=1,'Debt Tracker'!$P$23&gt;0.01,INDEX('Debt Tracker'!$T$5:$AE$29,19,AC381-1)&gt;0.01))*('Recurring Items'!$H$26&lt;&gt;"Skip")*(DAY(AB381)='Recurring Items'!$F$26)*IFERROR(N('Recurring Items'!$D$26),0)+(IF(AC381=1,'Debt Tracker'!$P$24&gt;0.01,INDEX('Debt Tracker'!$T$5:$AE$29,20,AC381-1)&gt;0.01))*('Recurring Items'!$H$27&lt;&gt;"Skip")*(DAY(AB381)='Recurring Items'!$F$27)*IFERROR(N('Recurring Items'!$D$27),0)+(IF(AC381=1,'Debt Tracker'!$P$25&gt;0.01,INDEX('Debt Tracker'!$T$5:$AE$29,21,AC381-1)&gt;0.01))*('Recurring Items'!$H$28&lt;&gt;"Skip")*(DAY(AB381)='Recurring Items'!$F$28)*IFERROR(N('Recurring Items'!$D$28),0)+(IF(AC381=1,'Debt Tracker'!$P$26&gt;0.01,INDEX('Debt Tracker'!$T$5:$AE$29,22,AC381-1)&gt;0.01))*('Recurring Items'!$H$29&lt;&gt;"Skip")*(DAY(AB381)='Recurring Items'!$F$29)*IFERROR(N('Recurring Items'!$D$29),0)+(IF(AC381=1,'Debt Tracker'!$P$27&gt;0.01,INDEX('Debt Tracker'!$T$5:$AE$29,23,AC381-1)&gt;0.01))*('Recurring Items'!$H$30&lt;&gt;"Skip")*(DAY(AB381)='Recurring Items'!$F$30)*IFERROR(N('Recurring Items'!$D$30),0)+(IF(AC381=1,'Debt Tracker'!$P$28&gt;0.01,INDEX('Debt Tracker'!$T$5:$AE$29,24,AC381-1)&gt;0.01))*('Recurring Items'!$H$31&lt;&gt;"Skip")*(DAY(AB381)='Recurring Items'!$F$31)*IFERROR(N('Recurring Items'!$D$31),0)+(IF(AC381=1,'Debt Tracker'!$P$29&gt;0.01,INDEX('Debt Tracker'!$T$5:$AE$29,25,AC381-1)&gt;0.01))*('Recurring Items'!$H$32&lt;&gt;"Skip")*(DAY(AB381)='Recurring Items'!$F$32)*IFERROR(N('Recurring Items'!$D$32),0)</f>
        <v>206.43</v>
      </c>
      <c r="AG381" s="1" t="n">
        <f aca="false">AD381-AE381-AF381</f>
        <v>-444.01</v>
      </c>
      <c r="AH381" s="1" t="n">
        <f aca="false">AH380+AG381</f>
        <v>11408.29</v>
      </c>
    </row>
    <row r="382" customFormat="false" ht="15" hidden="false" customHeight="true" outlineLevel="0" collapsed="false">
      <c r="AA382" s="1" t="n">
        <v>182</v>
      </c>
      <c r="AB382" s="145" t="n">
        <f aca="false">$D$3+182</f>
        <v>46325</v>
      </c>
      <c r="AC382" s="1" t="n">
        <f aca="false">MIN(12,1+DATEDIF($D$3,AB382,"M"))</f>
        <v>6</v>
      </c>
      <c r="AD382" s="1" t="n">
        <f aca="false">SUMPRODUCT(('Recurring Items'!$C$6:$C$56="Income")*('Recurring Items'!$H$6:$H$56&lt;&gt;"Skip")*IFERROR(N('Recurring Items'!$D$6:$D$56),0)*(('Recurring Items'!$E$6:$E$56="Monthly")*(DAY(AB382)='Recurring Items'!$F$6:$F$56)+('Recurring Items'!$E$6:$E$56="Bi-weekly")*(WEEKDAY(AB382)=IFERROR(WEEKDAY('Recurring Items'!$G$6:$G$56),0))*(MOD(AB382-IFERROR('Recurring Items'!$G$6:$G$56,0),14)=0)*(AB382&gt;=IFERROR('Recurring Items'!$G$6:$G$56,9000000000))+('Recurring Items'!$E$6:$E$56="Weekly")*(WEEKDAY(AB382)=IFERROR(WEEKDAY('Recurring Items'!$G$6:$G$56),0))*(AB382&gt;=IFERROR('Recurring Items'!$G$6:$G$56,9000000000))+('Recurring Items'!$E$6:$E$56="One-time")*(AB382='Recurring Items'!$G$6:$G$56)))</f>
        <v>3819.79</v>
      </c>
      <c r="AE382" s="1" t="n">
        <f aca="false">SUMPRODUCT(('Recurring Items'!$C$6:$C$56="Expense")*('Recurring Items'!$H$6:$H$56&lt;&gt;"Skip")*IFERROR(N('Recurring Items'!$D$6:$D$56),0)*(('Recurring Items'!$E$6:$E$56="Monthly")*(DAY(AB382)='Recurring Items'!$F$6:$F$56)+('Recurring Items'!$E$6:$E$56="Bi-weekly")*(WEEKDAY(AB382)=IFERROR(WEEKDAY('Recurring Items'!$G$6:$G$56),0))*(MOD(AB382-IFERROR('Recurring Items'!$G$6:$G$56,0),14)=0)*(AB382&gt;=IFERROR('Recurring Items'!$G$6:$G$56,9000000000))+('Recurring Items'!$E$6:$E$56="Weekly")*(WEEKDAY(AB382)=IFERROR(WEEKDAY('Recurring Items'!$G$6:$G$56),0))*(AB382&gt;=IFERROR('Recurring Items'!$G$6:$G$56,9000000000))+('Recurring Items'!$E$6:$E$56="One-time")*(AB382='Recurring Items'!$G$6:$G$56)))</f>
        <v>460</v>
      </c>
      <c r="AF382" s="1" t="n">
        <f aca="false">(IF(AC382=1,'Debt Tracker'!$P$5&gt;0.01,INDEX('Debt Tracker'!$T$5:$AE$29,1,AC382-1)&gt;0.01))*('Recurring Items'!$H$8&lt;&gt;"Skip")*(DAY(AB382)='Recurring Items'!$F$8)*IFERROR(N('Recurring Items'!$D$8),0)+(IF(AC382=1,'Debt Tracker'!$P$6&gt;0.01,INDEX('Debt Tracker'!$T$5:$AE$29,2,AC382-1)&gt;0.01))*('Recurring Items'!$H$9&lt;&gt;"Skip")*(DAY(AB382)='Recurring Items'!$F$9)*IFERROR(N('Recurring Items'!$D$9),0)+(IF(AC382=1,'Debt Tracker'!$P$7&gt;0.01,INDEX('Debt Tracker'!$T$5:$AE$29,3,AC382-1)&gt;0.01))*('Recurring Items'!$H$10&lt;&gt;"Skip")*(DAY(AB382)='Recurring Items'!$F$10)*IFERROR(N('Recurring Items'!$D$10),0)+(IF(AC382=1,'Debt Tracker'!$P$8&gt;0.01,INDEX('Debt Tracker'!$T$5:$AE$29,4,AC382-1)&gt;0.01))*('Recurring Items'!$H$11&lt;&gt;"Skip")*(DAY(AB382)='Recurring Items'!$F$11)*IFERROR(N('Recurring Items'!$D$11),0)+(IF(AC382=1,'Debt Tracker'!$P$9&gt;0.01,INDEX('Debt Tracker'!$T$5:$AE$29,5,AC382-1)&gt;0.01))*('Recurring Items'!$H$12&lt;&gt;"Skip")*(DAY(AB382)='Recurring Items'!$F$12)*IFERROR(N('Recurring Items'!$D$12),0)+(IF(AC382=1,'Debt Tracker'!$P$10&gt;0.01,INDEX('Debt Tracker'!$T$5:$AE$29,6,AC382-1)&gt;0.01))*('Recurring Items'!$H$13&lt;&gt;"Skip")*(DAY(AB382)='Recurring Items'!$F$13)*IFERROR(N('Recurring Items'!$D$13),0)+(IF(AC382=1,'Debt Tracker'!$P$11&gt;0.01,INDEX('Debt Tracker'!$T$5:$AE$29,7,AC382-1)&gt;0.01))*('Recurring Items'!$H$14&lt;&gt;"Skip")*(DAY(AB382)='Recurring Items'!$F$14)*IFERROR(N('Recurring Items'!$D$14),0)+(IF(AC382=1,'Debt Tracker'!$P$12&gt;0.01,INDEX('Debt Tracker'!$T$5:$AE$29,8,AC382-1)&gt;0.01))*('Recurring Items'!$H$15&lt;&gt;"Skip")*(DAY(AB382)='Recurring Items'!$F$15)*IFERROR(N('Recurring Items'!$D$15),0)+(IF(AC382=1,'Debt Tracker'!$P$13&gt;0.01,INDEX('Debt Tracker'!$T$5:$AE$29,9,AC382-1)&gt;0.01))*('Recurring Items'!$H$16&lt;&gt;"Skip")*(DAY(AB382)='Recurring Items'!$F$16)*IFERROR(N('Recurring Items'!$D$16),0)+(IF(AC382=1,'Debt Tracker'!$P$14&gt;0.01,INDEX('Debt Tracker'!$T$5:$AE$29,10,AC382-1)&gt;0.01))*('Recurring Items'!$H$17&lt;&gt;"Skip")*(DAY(AB382)='Recurring Items'!$F$17)*IFERROR(N('Recurring Items'!$D$17),0)+(IF(AC382=1,'Debt Tracker'!$P$15&gt;0.01,INDEX('Debt Tracker'!$T$5:$AE$29,11,AC382-1)&gt;0.01))*('Recurring Items'!$H$18&lt;&gt;"Skip")*(DAY(AB382)='Recurring Items'!$F$18)*IFERROR(N('Recurring Items'!$D$18),0)+(IF(AC382=1,'Debt Tracker'!$P$16&gt;0.01,INDEX('Debt Tracker'!$T$5:$AE$29,12,AC382-1)&gt;0.01))*('Recurring Items'!$H$19&lt;&gt;"Skip")*(DAY(AB382)='Recurring Items'!$F$19)*IFERROR(N('Recurring Items'!$D$19),0)+(IF(AC382=1,'Debt Tracker'!$P$17&gt;0.01,INDEX('Debt Tracker'!$T$5:$AE$29,13,AC382-1)&gt;0.01))*('Recurring Items'!$H$20&lt;&gt;"Skip")*(DAY(AB382)='Recurring Items'!$F$20)*IFERROR(N('Recurring Items'!$D$20),0)+(IF(AC382=1,'Debt Tracker'!$P$18&gt;0.01,INDEX('Debt Tracker'!$T$5:$AE$29,14,AC382-1)&gt;0.01))*('Recurring Items'!$H$21&lt;&gt;"Skip")*(DAY(AB382)='Recurring Items'!$F$21)*IFERROR(N('Recurring Items'!$D$21),0)+(IF(AC382=1,'Debt Tracker'!$P$19&gt;0.01,INDEX('Debt Tracker'!$T$5:$AE$29,15,AC382-1)&gt;0.01))*('Recurring Items'!$H$22&lt;&gt;"Skip")*(DAY(AB382)='Recurring Items'!$F$22)*IFERROR(N('Recurring Items'!$D$22),0)+(IF(AC382=1,'Debt Tracker'!$P$20&gt;0.01,INDEX('Debt Tracker'!$T$5:$AE$29,16,AC382-1)&gt;0.01))*('Recurring Items'!$H$23&lt;&gt;"Skip")*(DAY(AB382)='Recurring Items'!$F$23)*IFERROR(N('Recurring Items'!$D$23),0)+(IF(AC382=1,'Debt Tracker'!$P$21&gt;0.01,INDEX('Debt Tracker'!$T$5:$AE$29,17,AC382-1)&gt;0.01))*('Recurring Items'!$H$24&lt;&gt;"Skip")*(DAY(AB382)='Recurring Items'!$F$24)*IFERROR(N('Recurring Items'!$D$24),0)+(IF(AC382=1,'Debt Tracker'!$P$22&gt;0.01,INDEX('Debt Tracker'!$T$5:$AE$29,18,AC382-1)&gt;0.01))*('Recurring Items'!$H$25&lt;&gt;"Skip")*(DAY(AB382)='Recurring Items'!$F$25)*IFERROR(N('Recurring Items'!$D$25),0)+(IF(AC382=1,'Debt Tracker'!$P$23&gt;0.01,INDEX('Debt Tracker'!$T$5:$AE$29,19,AC382-1)&gt;0.01))*('Recurring Items'!$H$26&lt;&gt;"Skip")*(DAY(AB382)='Recurring Items'!$F$26)*IFERROR(N('Recurring Items'!$D$26),0)+(IF(AC382=1,'Debt Tracker'!$P$24&gt;0.01,INDEX('Debt Tracker'!$T$5:$AE$29,20,AC382-1)&gt;0.01))*('Recurring Items'!$H$27&lt;&gt;"Skip")*(DAY(AB382)='Recurring Items'!$F$27)*IFERROR(N('Recurring Items'!$D$27),0)+(IF(AC382=1,'Debt Tracker'!$P$25&gt;0.01,INDEX('Debt Tracker'!$T$5:$AE$29,21,AC382-1)&gt;0.01))*('Recurring Items'!$H$28&lt;&gt;"Skip")*(DAY(AB382)='Recurring Items'!$F$28)*IFERROR(N('Recurring Items'!$D$28),0)+(IF(AC382=1,'Debt Tracker'!$P$26&gt;0.01,INDEX('Debt Tracker'!$T$5:$AE$29,22,AC382-1)&gt;0.01))*('Recurring Items'!$H$29&lt;&gt;"Skip")*(DAY(AB382)='Recurring Items'!$F$29)*IFERROR(N('Recurring Items'!$D$29),0)+(IF(AC382=1,'Debt Tracker'!$P$27&gt;0.01,INDEX('Debt Tracker'!$T$5:$AE$29,23,AC382-1)&gt;0.01))*('Recurring Items'!$H$30&lt;&gt;"Skip")*(DAY(AB382)='Recurring Items'!$F$30)*IFERROR(N('Recurring Items'!$D$30),0)+(IF(AC382=1,'Debt Tracker'!$P$28&gt;0.01,INDEX('Debt Tracker'!$T$5:$AE$29,24,AC382-1)&gt;0.01))*('Recurring Items'!$H$31&lt;&gt;"Skip")*(DAY(AB382)='Recurring Items'!$F$31)*IFERROR(N('Recurring Items'!$D$31),0)+(IF(AC382=1,'Debt Tracker'!$P$29&gt;0.01,INDEX('Debt Tracker'!$T$5:$AE$29,25,AC382-1)&gt;0.01))*('Recurring Items'!$H$32&lt;&gt;"Skip")*(DAY(AB382)='Recurring Items'!$F$32)*IFERROR(N('Recurring Items'!$D$32),0)</f>
        <v>0</v>
      </c>
      <c r="AG382" s="1" t="n">
        <f aca="false">AD382-AE382-AF382</f>
        <v>3359.79</v>
      </c>
      <c r="AH382" s="1" t="n">
        <f aca="false">AH381+AG382</f>
        <v>14768.08</v>
      </c>
    </row>
    <row r="383" customFormat="false" ht="15" hidden="false" customHeight="true" outlineLevel="0" collapsed="false">
      <c r="AA383" s="1" t="n">
        <v>183</v>
      </c>
      <c r="AB383" s="145" t="n">
        <f aca="false">$D$3+183</f>
        <v>46326</v>
      </c>
      <c r="AC383" s="1" t="n">
        <f aca="false">MIN(12,1+DATEDIF($D$3,AB383,"M"))</f>
        <v>6</v>
      </c>
      <c r="AD383" s="1" t="n">
        <f aca="false">SUMPRODUCT(('Recurring Items'!$C$6:$C$56="Income")*('Recurring Items'!$H$6:$H$56&lt;&gt;"Skip")*IFERROR(N('Recurring Items'!$D$6:$D$56),0)*(('Recurring Items'!$E$6:$E$56="Monthly")*(DAY(AB383)='Recurring Items'!$F$6:$F$56)+('Recurring Items'!$E$6:$E$56="Bi-weekly")*(WEEKDAY(AB383)=IFERROR(WEEKDAY('Recurring Items'!$G$6:$G$56),0))*(MOD(AB383-IFERROR('Recurring Items'!$G$6:$G$56,0),14)=0)*(AB383&gt;=IFERROR('Recurring Items'!$G$6:$G$56,9000000000))+('Recurring Items'!$E$6:$E$56="Weekly")*(WEEKDAY(AB383)=IFERROR(WEEKDAY('Recurring Items'!$G$6:$G$56),0))*(AB383&gt;=IFERROR('Recurring Items'!$G$6:$G$56,9000000000))+('Recurring Items'!$E$6:$E$56="One-time")*(AB383='Recurring Items'!$G$6:$G$56)))</f>
        <v>0</v>
      </c>
      <c r="AE383" s="1" t="n">
        <f aca="false">SUMPRODUCT(('Recurring Items'!$C$6:$C$56="Expense")*('Recurring Items'!$H$6:$H$56&lt;&gt;"Skip")*IFERROR(N('Recurring Items'!$D$6:$D$56),0)*(('Recurring Items'!$E$6:$E$56="Monthly")*(DAY(AB383)='Recurring Items'!$F$6:$F$56)+('Recurring Items'!$E$6:$E$56="Bi-weekly")*(WEEKDAY(AB383)=IFERROR(WEEKDAY('Recurring Items'!$G$6:$G$56),0))*(MOD(AB383-IFERROR('Recurring Items'!$G$6:$G$56,0),14)=0)*(AB383&gt;=IFERROR('Recurring Items'!$G$6:$G$56,9000000000))+('Recurring Items'!$E$6:$E$56="Weekly")*(WEEKDAY(AB383)=IFERROR(WEEKDAY('Recurring Items'!$G$6:$G$56),0))*(AB383&gt;=IFERROR('Recurring Items'!$G$6:$G$56,9000000000))+('Recurring Items'!$E$6:$E$56="One-time")*(AB383='Recurring Items'!$G$6:$G$56)))</f>
        <v>0</v>
      </c>
      <c r="AF383" s="1" t="n">
        <f aca="false">(IF(AC383=1,'Debt Tracker'!$P$5&gt;0.01,INDEX('Debt Tracker'!$T$5:$AE$29,1,AC383-1)&gt;0.01))*('Recurring Items'!$H$8&lt;&gt;"Skip")*(DAY(AB383)='Recurring Items'!$F$8)*IFERROR(N('Recurring Items'!$D$8),0)+(IF(AC383=1,'Debt Tracker'!$P$6&gt;0.01,INDEX('Debt Tracker'!$T$5:$AE$29,2,AC383-1)&gt;0.01))*('Recurring Items'!$H$9&lt;&gt;"Skip")*(DAY(AB383)='Recurring Items'!$F$9)*IFERROR(N('Recurring Items'!$D$9),0)+(IF(AC383=1,'Debt Tracker'!$P$7&gt;0.01,INDEX('Debt Tracker'!$T$5:$AE$29,3,AC383-1)&gt;0.01))*('Recurring Items'!$H$10&lt;&gt;"Skip")*(DAY(AB383)='Recurring Items'!$F$10)*IFERROR(N('Recurring Items'!$D$10),0)+(IF(AC383=1,'Debt Tracker'!$P$8&gt;0.01,INDEX('Debt Tracker'!$T$5:$AE$29,4,AC383-1)&gt;0.01))*('Recurring Items'!$H$11&lt;&gt;"Skip")*(DAY(AB383)='Recurring Items'!$F$11)*IFERROR(N('Recurring Items'!$D$11),0)+(IF(AC383=1,'Debt Tracker'!$P$9&gt;0.01,INDEX('Debt Tracker'!$T$5:$AE$29,5,AC383-1)&gt;0.01))*('Recurring Items'!$H$12&lt;&gt;"Skip")*(DAY(AB383)='Recurring Items'!$F$12)*IFERROR(N('Recurring Items'!$D$12),0)+(IF(AC383=1,'Debt Tracker'!$P$10&gt;0.01,INDEX('Debt Tracker'!$T$5:$AE$29,6,AC383-1)&gt;0.01))*('Recurring Items'!$H$13&lt;&gt;"Skip")*(DAY(AB383)='Recurring Items'!$F$13)*IFERROR(N('Recurring Items'!$D$13),0)+(IF(AC383=1,'Debt Tracker'!$P$11&gt;0.01,INDEX('Debt Tracker'!$T$5:$AE$29,7,AC383-1)&gt;0.01))*('Recurring Items'!$H$14&lt;&gt;"Skip")*(DAY(AB383)='Recurring Items'!$F$14)*IFERROR(N('Recurring Items'!$D$14),0)+(IF(AC383=1,'Debt Tracker'!$P$12&gt;0.01,INDEX('Debt Tracker'!$T$5:$AE$29,8,AC383-1)&gt;0.01))*('Recurring Items'!$H$15&lt;&gt;"Skip")*(DAY(AB383)='Recurring Items'!$F$15)*IFERROR(N('Recurring Items'!$D$15),0)+(IF(AC383=1,'Debt Tracker'!$P$13&gt;0.01,INDEX('Debt Tracker'!$T$5:$AE$29,9,AC383-1)&gt;0.01))*('Recurring Items'!$H$16&lt;&gt;"Skip")*(DAY(AB383)='Recurring Items'!$F$16)*IFERROR(N('Recurring Items'!$D$16),0)+(IF(AC383=1,'Debt Tracker'!$P$14&gt;0.01,INDEX('Debt Tracker'!$T$5:$AE$29,10,AC383-1)&gt;0.01))*('Recurring Items'!$H$17&lt;&gt;"Skip")*(DAY(AB383)='Recurring Items'!$F$17)*IFERROR(N('Recurring Items'!$D$17),0)+(IF(AC383=1,'Debt Tracker'!$P$15&gt;0.01,INDEX('Debt Tracker'!$T$5:$AE$29,11,AC383-1)&gt;0.01))*('Recurring Items'!$H$18&lt;&gt;"Skip")*(DAY(AB383)='Recurring Items'!$F$18)*IFERROR(N('Recurring Items'!$D$18),0)+(IF(AC383=1,'Debt Tracker'!$P$16&gt;0.01,INDEX('Debt Tracker'!$T$5:$AE$29,12,AC383-1)&gt;0.01))*('Recurring Items'!$H$19&lt;&gt;"Skip")*(DAY(AB383)='Recurring Items'!$F$19)*IFERROR(N('Recurring Items'!$D$19),0)+(IF(AC383=1,'Debt Tracker'!$P$17&gt;0.01,INDEX('Debt Tracker'!$T$5:$AE$29,13,AC383-1)&gt;0.01))*('Recurring Items'!$H$20&lt;&gt;"Skip")*(DAY(AB383)='Recurring Items'!$F$20)*IFERROR(N('Recurring Items'!$D$20),0)+(IF(AC383=1,'Debt Tracker'!$P$18&gt;0.01,INDEX('Debt Tracker'!$T$5:$AE$29,14,AC383-1)&gt;0.01))*('Recurring Items'!$H$21&lt;&gt;"Skip")*(DAY(AB383)='Recurring Items'!$F$21)*IFERROR(N('Recurring Items'!$D$21),0)+(IF(AC383=1,'Debt Tracker'!$P$19&gt;0.01,INDEX('Debt Tracker'!$T$5:$AE$29,15,AC383-1)&gt;0.01))*('Recurring Items'!$H$22&lt;&gt;"Skip")*(DAY(AB383)='Recurring Items'!$F$22)*IFERROR(N('Recurring Items'!$D$22),0)+(IF(AC383=1,'Debt Tracker'!$P$20&gt;0.01,INDEX('Debt Tracker'!$T$5:$AE$29,16,AC383-1)&gt;0.01))*('Recurring Items'!$H$23&lt;&gt;"Skip")*(DAY(AB383)='Recurring Items'!$F$23)*IFERROR(N('Recurring Items'!$D$23),0)+(IF(AC383=1,'Debt Tracker'!$P$21&gt;0.01,INDEX('Debt Tracker'!$T$5:$AE$29,17,AC383-1)&gt;0.01))*('Recurring Items'!$H$24&lt;&gt;"Skip")*(DAY(AB383)='Recurring Items'!$F$24)*IFERROR(N('Recurring Items'!$D$24),0)+(IF(AC383=1,'Debt Tracker'!$P$22&gt;0.01,INDEX('Debt Tracker'!$T$5:$AE$29,18,AC383-1)&gt;0.01))*('Recurring Items'!$H$25&lt;&gt;"Skip")*(DAY(AB383)='Recurring Items'!$F$25)*IFERROR(N('Recurring Items'!$D$25),0)+(IF(AC383=1,'Debt Tracker'!$P$23&gt;0.01,INDEX('Debt Tracker'!$T$5:$AE$29,19,AC383-1)&gt;0.01))*('Recurring Items'!$H$26&lt;&gt;"Skip")*(DAY(AB383)='Recurring Items'!$F$26)*IFERROR(N('Recurring Items'!$D$26),0)+(IF(AC383=1,'Debt Tracker'!$P$24&gt;0.01,INDEX('Debt Tracker'!$T$5:$AE$29,20,AC383-1)&gt;0.01))*('Recurring Items'!$H$27&lt;&gt;"Skip")*(DAY(AB383)='Recurring Items'!$F$27)*IFERROR(N('Recurring Items'!$D$27),0)+(IF(AC383=1,'Debt Tracker'!$P$25&gt;0.01,INDEX('Debt Tracker'!$T$5:$AE$29,21,AC383-1)&gt;0.01))*('Recurring Items'!$H$28&lt;&gt;"Skip")*(DAY(AB383)='Recurring Items'!$F$28)*IFERROR(N('Recurring Items'!$D$28),0)+(IF(AC383=1,'Debt Tracker'!$P$26&gt;0.01,INDEX('Debt Tracker'!$T$5:$AE$29,22,AC383-1)&gt;0.01))*('Recurring Items'!$H$29&lt;&gt;"Skip")*(DAY(AB383)='Recurring Items'!$F$29)*IFERROR(N('Recurring Items'!$D$29),0)+(IF(AC383=1,'Debt Tracker'!$P$27&gt;0.01,INDEX('Debt Tracker'!$T$5:$AE$29,23,AC383-1)&gt;0.01))*('Recurring Items'!$H$30&lt;&gt;"Skip")*(DAY(AB383)='Recurring Items'!$F$30)*IFERROR(N('Recurring Items'!$D$30),0)+(IF(AC383=1,'Debt Tracker'!$P$28&gt;0.01,INDEX('Debt Tracker'!$T$5:$AE$29,24,AC383-1)&gt;0.01))*('Recurring Items'!$H$31&lt;&gt;"Skip")*(DAY(AB383)='Recurring Items'!$F$31)*IFERROR(N('Recurring Items'!$D$31),0)+(IF(AC383=1,'Debt Tracker'!$P$29&gt;0.01,INDEX('Debt Tracker'!$T$5:$AE$29,25,AC383-1)&gt;0.01))*('Recurring Items'!$H$32&lt;&gt;"Skip")*(DAY(AB383)='Recurring Items'!$F$32)*IFERROR(N('Recurring Items'!$D$32),0)</f>
        <v>0</v>
      </c>
      <c r="AG383" s="1" t="n">
        <f aca="false">AD383-AE383-AF383</f>
        <v>0</v>
      </c>
      <c r="AH383" s="1" t="n">
        <f aca="false">AH382+AG383</f>
        <v>14768.08</v>
      </c>
    </row>
    <row r="384" customFormat="false" ht="15" hidden="false" customHeight="true" outlineLevel="0" collapsed="false">
      <c r="AA384" s="1" t="n">
        <v>184</v>
      </c>
      <c r="AB384" s="145" t="n">
        <f aca="false">$D$3+184</f>
        <v>46327</v>
      </c>
      <c r="AC384" s="1" t="n">
        <f aca="false">MIN(12,1+DATEDIF($D$3,AB384,"M"))</f>
        <v>7</v>
      </c>
      <c r="AD384" s="1" t="n">
        <f aca="false">SUMPRODUCT(('Recurring Items'!$C$6:$C$56="Income")*('Recurring Items'!$H$6:$H$56&lt;&gt;"Skip")*IFERROR(N('Recurring Items'!$D$6:$D$56),0)*(('Recurring Items'!$E$6:$E$56="Monthly")*(DAY(AB384)='Recurring Items'!$F$6:$F$56)+('Recurring Items'!$E$6:$E$56="Bi-weekly")*(WEEKDAY(AB384)=IFERROR(WEEKDAY('Recurring Items'!$G$6:$G$56),0))*(MOD(AB384-IFERROR('Recurring Items'!$G$6:$G$56,0),14)=0)*(AB384&gt;=IFERROR('Recurring Items'!$G$6:$G$56,9000000000))+('Recurring Items'!$E$6:$E$56="Weekly")*(WEEKDAY(AB384)=IFERROR(WEEKDAY('Recurring Items'!$G$6:$G$56),0))*(AB384&gt;=IFERROR('Recurring Items'!$G$6:$G$56,9000000000))+('Recurring Items'!$E$6:$E$56="One-time")*(AB384='Recurring Items'!$G$6:$G$56)))</f>
        <v>0</v>
      </c>
      <c r="AE384" s="1" t="n">
        <f aca="false">SUMPRODUCT(('Recurring Items'!$C$6:$C$56="Expense")*('Recurring Items'!$H$6:$H$56&lt;&gt;"Skip")*IFERROR(N('Recurring Items'!$D$6:$D$56),0)*(('Recurring Items'!$E$6:$E$56="Monthly")*(DAY(AB384)='Recurring Items'!$F$6:$F$56)+('Recurring Items'!$E$6:$E$56="Bi-weekly")*(WEEKDAY(AB384)=IFERROR(WEEKDAY('Recurring Items'!$G$6:$G$56),0))*(MOD(AB384-IFERROR('Recurring Items'!$G$6:$G$56,0),14)=0)*(AB384&gt;=IFERROR('Recurring Items'!$G$6:$G$56,9000000000))+('Recurring Items'!$E$6:$E$56="Weekly")*(WEEKDAY(AB384)=IFERROR(WEEKDAY('Recurring Items'!$G$6:$G$56),0))*(AB384&gt;=IFERROR('Recurring Items'!$G$6:$G$56,9000000000))+('Recurring Items'!$E$6:$E$56="One-time")*(AB384='Recurring Items'!$G$6:$G$56)))</f>
        <v>141.16</v>
      </c>
      <c r="AF384" s="1" t="n">
        <f aca="false">(IF(AC384=1,'Debt Tracker'!$P$5&gt;0.01,INDEX('Debt Tracker'!$T$5:$AE$29,1,AC384-1)&gt;0.01))*('Recurring Items'!$H$8&lt;&gt;"Skip")*(DAY(AB384)='Recurring Items'!$F$8)*IFERROR(N('Recurring Items'!$D$8),0)+(IF(AC384=1,'Debt Tracker'!$P$6&gt;0.01,INDEX('Debt Tracker'!$T$5:$AE$29,2,AC384-1)&gt;0.01))*('Recurring Items'!$H$9&lt;&gt;"Skip")*(DAY(AB384)='Recurring Items'!$F$9)*IFERROR(N('Recurring Items'!$D$9),0)+(IF(AC384=1,'Debt Tracker'!$P$7&gt;0.01,INDEX('Debt Tracker'!$T$5:$AE$29,3,AC384-1)&gt;0.01))*('Recurring Items'!$H$10&lt;&gt;"Skip")*(DAY(AB384)='Recurring Items'!$F$10)*IFERROR(N('Recurring Items'!$D$10),0)+(IF(AC384=1,'Debt Tracker'!$P$8&gt;0.01,INDEX('Debt Tracker'!$T$5:$AE$29,4,AC384-1)&gt;0.01))*('Recurring Items'!$H$11&lt;&gt;"Skip")*(DAY(AB384)='Recurring Items'!$F$11)*IFERROR(N('Recurring Items'!$D$11),0)+(IF(AC384=1,'Debt Tracker'!$P$9&gt;0.01,INDEX('Debt Tracker'!$T$5:$AE$29,5,AC384-1)&gt;0.01))*('Recurring Items'!$H$12&lt;&gt;"Skip")*(DAY(AB384)='Recurring Items'!$F$12)*IFERROR(N('Recurring Items'!$D$12),0)+(IF(AC384=1,'Debt Tracker'!$P$10&gt;0.01,INDEX('Debt Tracker'!$T$5:$AE$29,6,AC384-1)&gt;0.01))*('Recurring Items'!$H$13&lt;&gt;"Skip")*(DAY(AB384)='Recurring Items'!$F$13)*IFERROR(N('Recurring Items'!$D$13),0)+(IF(AC384=1,'Debt Tracker'!$P$11&gt;0.01,INDEX('Debt Tracker'!$T$5:$AE$29,7,AC384-1)&gt;0.01))*('Recurring Items'!$H$14&lt;&gt;"Skip")*(DAY(AB384)='Recurring Items'!$F$14)*IFERROR(N('Recurring Items'!$D$14),0)+(IF(AC384=1,'Debt Tracker'!$P$12&gt;0.01,INDEX('Debt Tracker'!$T$5:$AE$29,8,AC384-1)&gt;0.01))*('Recurring Items'!$H$15&lt;&gt;"Skip")*(DAY(AB384)='Recurring Items'!$F$15)*IFERROR(N('Recurring Items'!$D$15),0)+(IF(AC384=1,'Debt Tracker'!$P$13&gt;0.01,INDEX('Debt Tracker'!$T$5:$AE$29,9,AC384-1)&gt;0.01))*('Recurring Items'!$H$16&lt;&gt;"Skip")*(DAY(AB384)='Recurring Items'!$F$16)*IFERROR(N('Recurring Items'!$D$16),0)+(IF(AC384=1,'Debt Tracker'!$P$14&gt;0.01,INDEX('Debt Tracker'!$T$5:$AE$29,10,AC384-1)&gt;0.01))*('Recurring Items'!$H$17&lt;&gt;"Skip")*(DAY(AB384)='Recurring Items'!$F$17)*IFERROR(N('Recurring Items'!$D$17),0)+(IF(AC384=1,'Debt Tracker'!$P$15&gt;0.01,INDEX('Debt Tracker'!$T$5:$AE$29,11,AC384-1)&gt;0.01))*('Recurring Items'!$H$18&lt;&gt;"Skip")*(DAY(AB384)='Recurring Items'!$F$18)*IFERROR(N('Recurring Items'!$D$18),0)+(IF(AC384=1,'Debt Tracker'!$P$16&gt;0.01,INDEX('Debt Tracker'!$T$5:$AE$29,12,AC384-1)&gt;0.01))*('Recurring Items'!$H$19&lt;&gt;"Skip")*(DAY(AB384)='Recurring Items'!$F$19)*IFERROR(N('Recurring Items'!$D$19),0)+(IF(AC384=1,'Debt Tracker'!$P$17&gt;0.01,INDEX('Debt Tracker'!$T$5:$AE$29,13,AC384-1)&gt;0.01))*('Recurring Items'!$H$20&lt;&gt;"Skip")*(DAY(AB384)='Recurring Items'!$F$20)*IFERROR(N('Recurring Items'!$D$20),0)+(IF(AC384=1,'Debt Tracker'!$P$18&gt;0.01,INDEX('Debt Tracker'!$T$5:$AE$29,14,AC384-1)&gt;0.01))*('Recurring Items'!$H$21&lt;&gt;"Skip")*(DAY(AB384)='Recurring Items'!$F$21)*IFERROR(N('Recurring Items'!$D$21),0)+(IF(AC384=1,'Debt Tracker'!$P$19&gt;0.01,INDEX('Debt Tracker'!$T$5:$AE$29,15,AC384-1)&gt;0.01))*('Recurring Items'!$H$22&lt;&gt;"Skip")*(DAY(AB384)='Recurring Items'!$F$22)*IFERROR(N('Recurring Items'!$D$22),0)+(IF(AC384=1,'Debt Tracker'!$P$20&gt;0.01,INDEX('Debt Tracker'!$T$5:$AE$29,16,AC384-1)&gt;0.01))*('Recurring Items'!$H$23&lt;&gt;"Skip")*(DAY(AB384)='Recurring Items'!$F$23)*IFERROR(N('Recurring Items'!$D$23),0)+(IF(AC384=1,'Debt Tracker'!$P$21&gt;0.01,INDEX('Debt Tracker'!$T$5:$AE$29,17,AC384-1)&gt;0.01))*('Recurring Items'!$H$24&lt;&gt;"Skip")*(DAY(AB384)='Recurring Items'!$F$24)*IFERROR(N('Recurring Items'!$D$24),0)+(IF(AC384=1,'Debt Tracker'!$P$22&gt;0.01,INDEX('Debt Tracker'!$T$5:$AE$29,18,AC384-1)&gt;0.01))*('Recurring Items'!$H$25&lt;&gt;"Skip")*(DAY(AB384)='Recurring Items'!$F$25)*IFERROR(N('Recurring Items'!$D$25),0)+(IF(AC384=1,'Debt Tracker'!$P$23&gt;0.01,INDEX('Debt Tracker'!$T$5:$AE$29,19,AC384-1)&gt;0.01))*('Recurring Items'!$H$26&lt;&gt;"Skip")*(DAY(AB384)='Recurring Items'!$F$26)*IFERROR(N('Recurring Items'!$D$26),0)+(IF(AC384=1,'Debt Tracker'!$P$24&gt;0.01,INDEX('Debt Tracker'!$T$5:$AE$29,20,AC384-1)&gt;0.01))*('Recurring Items'!$H$27&lt;&gt;"Skip")*(DAY(AB384)='Recurring Items'!$F$27)*IFERROR(N('Recurring Items'!$D$27),0)+(IF(AC384=1,'Debt Tracker'!$P$25&gt;0.01,INDEX('Debt Tracker'!$T$5:$AE$29,21,AC384-1)&gt;0.01))*('Recurring Items'!$H$28&lt;&gt;"Skip")*(DAY(AB384)='Recurring Items'!$F$28)*IFERROR(N('Recurring Items'!$D$28),0)+(IF(AC384=1,'Debt Tracker'!$P$26&gt;0.01,INDEX('Debt Tracker'!$T$5:$AE$29,22,AC384-1)&gt;0.01))*('Recurring Items'!$H$29&lt;&gt;"Skip")*(DAY(AB384)='Recurring Items'!$F$29)*IFERROR(N('Recurring Items'!$D$29),0)+(IF(AC384=1,'Debt Tracker'!$P$27&gt;0.01,INDEX('Debt Tracker'!$T$5:$AE$29,23,AC384-1)&gt;0.01))*('Recurring Items'!$H$30&lt;&gt;"Skip")*(DAY(AB384)='Recurring Items'!$F$30)*IFERROR(N('Recurring Items'!$D$30),0)+(IF(AC384=1,'Debt Tracker'!$P$28&gt;0.01,INDEX('Debt Tracker'!$T$5:$AE$29,24,AC384-1)&gt;0.01))*('Recurring Items'!$H$31&lt;&gt;"Skip")*(DAY(AB384)='Recurring Items'!$F$31)*IFERROR(N('Recurring Items'!$D$31),0)+(IF(AC384=1,'Debt Tracker'!$P$29&gt;0.01,INDEX('Debt Tracker'!$T$5:$AE$29,25,AC384-1)&gt;0.01))*('Recurring Items'!$H$32&lt;&gt;"Skip")*(DAY(AB384)='Recurring Items'!$F$32)*IFERROR(N('Recurring Items'!$D$32),0)</f>
        <v>265.5</v>
      </c>
      <c r="AG384" s="1" t="n">
        <f aca="false">AD384-AE384-AF384</f>
        <v>-406.66</v>
      </c>
      <c r="AH384" s="1" t="n">
        <f aca="false">AH383+AG384</f>
        <v>14361.42</v>
      </c>
    </row>
    <row r="385" customFormat="false" ht="15" hidden="false" customHeight="true" outlineLevel="0" collapsed="false">
      <c r="AA385" s="1" t="n">
        <v>185</v>
      </c>
      <c r="AB385" s="145" t="n">
        <f aca="false">$D$3+185</f>
        <v>46328</v>
      </c>
      <c r="AC385" s="1" t="n">
        <f aca="false">MIN(12,1+DATEDIF($D$3,AB385,"M"))</f>
        <v>7</v>
      </c>
      <c r="AD385" s="1" t="n">
        <f aca="false">SUMPRODUCT(('Recurring Items'!$C$6:$C$56="Income")*('Recurring Items'!$H$6:$H$56&lt;&gt;"Skip")*IFERROR(N('Recurring Items'!$D$6:$D$56),0)*(('Recurring Items'!$E$6:$E$56="Monthly")*(DAY(AB385)='Recurring Items'!$F$6:$F$56)+('Recurring Items'!$E$6:$E$56="Bi-weekly")*(WEEKDAY(AB385)=IFERROR(WEEKDAY('Recurring Items'!$G$6:$G$56),0))*(MOD(AB385-IFERROR('Recurring Items'!$G$6:$G$56,0),14)=0)*(AB385&gt;=IFERROR('Recurring Items'!$G$6:$G$56,9000000000))+('Recurring Items'!$E$6:$E$56="Weekly")*(WEEKDAY(AB385)=IFERROR(WEEKDAY('Recurring Items'!$G$6:$G$56),0))*(AB385&gt;=IFERROR('Recurring Items'!$G$6:$G$56,9000000000))+('Recurring Items'!$E$6:$E$56="One-time")*(AB385='Recurring Items'!$G$6:$G$56)))</f>
        <v>0</v>
      </c>
      <c r="AE385" s="1" t="n">
        <f aca="false">SUMPRODUCT(('Recurring Items'!$C$6:$C$56="Expense")*('Recurring Items'!$H$6:$H$56&lt;&gt;"Skip")*IFERROR(N('Recurring Items'!$D$6:$D$56),0)*(('Recurring Items'!$E$6:$E$56="Monthly")*(DAY(AB385)='Recurring Items'!$F$6:$F$56)+('Recurring Items'!$E$6:$E$56="Bi-weekly")*(WEEKDAY(AB385)=IFERROR(WEEKDAY('Recurring Items'!$G$6:$G$56),0))*(MOD(AB385-IFERROR('Recurring Items'!$G$6:$G$56,0),14)=0)*(AB385&gt;=IFERROR('Recurring Items'!$G$6:$G$56,9000000000))+('Recurring Items'!$E$6:$E$56="Weekly")*(WEEKDAY(AB385)=IFERROR(WEEKDAY('Recurring Items'!$G$6:$G$56),0))*(AB385&gt;=IFERROR('Recurring Items'!$G$6:$G$56,9000000000))+('Recurring Items'!$E$6:$E$56="One-time")*(AB385='Recurring Items'!$G$6:$G$56)))</f>
        <v>0</v>
      </c>
      <c r="AF385" s="1" t="n">
        <f aca="false">(IF(AC385=1,'Debt Tracker'!$P$5&gt;0.01,INDEX('Debt Tracker'!$T$5:$AE$29,1,AC385-1)&gt;0.01))*('Recurring Items'!$H$8&lt;&gt;"Skip")*(DAY(AB385)='Recurring Items'!$F$8)*IFERROR(N('Recurring Items'!$D$8),0)+(IF(AC385=1,'Debt Tracker'!$P$6&gt;0.01,INDEX('Debt Tracker'!$T$5:$AE$29,2,AC385-1)&gt;0.01))*('Recurring Items'!$H$9&lt;&gt;"Skip")*(DAY(AB385)='Recurring Items'!$F$9)*IFERROR(N('Recurring Items'!$D$9),0)+(IF(AC385=1,'Debt Tracker'!$P$7&gt;0.01,INDEX('Debt Tracker'!$T$5:$AE$29,3,AC385-1)&gt;0.01))*('Recurring Items'!$H$10&lt;&gt;"Skip")*(DAY(AB385)='Recurring Items'!$F$10)*IFERROR(N('Recurring Items'!$D$10),0)+(IF(AC385=1,'Debt Tracker'!$P$8&gt;0.01,INDEX('Debt Tracker'!$T$5:$AE$29,4,AC385-1)&gt;0.01))*('Recurring Items'!$H$11&lt;&gt;"Skip")*(DAY(AB385)='Recurring Items'!$F$11)*IFERROR(N('Recurring Items'!$D$11),0)+(IF(AC385=1,'Debt Tracker'!$P$9&gt;0.01,INDEX('Debt Tracker'!$T$5:$AE$29,5,AC385-1)&gt;0.01))*('Recurring Items'!$H$12&lt;&gt;"Skip")*(DAY(AB385)='Recurring Items'!$F$12)*IFERROR(N('Recurring Items'!$D$12),0)+(IF(AC385=1,'Debt Tracker'!$P$10&gt;0.01,INDEX('Debt Tracker'!$T$5:$AE$29,6,AC385-1)&gt;0.01))*('Recurring Items'!$H$13&lt;&gt;"Skip")*(DAY(AB385)='Recurring Items'!$F$13)*IFERROR(N('Recurring Items'!$D$13),0)+(IF(AC385=1,'Debt Tracker'!$P$11&gt;0.01,INDEX('Debt Tracker'!$T$5:$AE$29,7,AC385-1)&gt;0.01))*('Recurring Items'!$H$14&lt;&gt;"Skip")*(DAY(AB385)='Recurring Items'!$F$14)*IFERROR(N('Recurring Items'!$D$14),0)+(IF(AC385=1,'Debt Tracker'!$P$12&gt;0.01,INDEX('Debt Tracker'!$T$5:$AE$29,8,AC385-1)&gt;0.01))*('Recurring Items'!$H$15&lt;&gt;"Skip")*(DAY(AB385)='Recurring Items'!$F$15)*IFERROR(N('Recurring Items'!$D$15),0)+(IF(AC385=1,'Debt Tracker'!$P$13&gt;0.01,INDEX('Debt Tracker'!$T$5:$AE$29,9,AC385-1)&gt;0.01))*('Recurring Items'!$H$16&lt;&gt;"Skip")*(DAY(AB385)='Recurring Items'!$F$16)*IFERROR(N('Recurring Items'!$D$16),0)+(IF(AC385=1,'Debt Tracker'!$P$14&gt;0.01,INDEX('Debt Tracker'!$T$5:$AE$29,10,AC385-1)&gt;0.01))*('Recurring Items'!$H$17&lt;&gt;"Skip")*(DAY(AB385)='Recurring Items'!$F$17)*IFERROR(N('Recurring Items'!$D$17),0)+(IF(AC385=1,'Debt Tracker'!$P$15&gt;0.01,INDEX('Debt Tracker'!$T$5:$AE$29,11,AC385-1)&gt;0.01))*('Recurring Items'!$H$18&lt;&gt;"Skip")*(DAY(AB385)='Recurring Items'!$F$18)*IFERROR(N('Recurring Items'!$D$18),0)+(IF(AC385=1,'Debt Tracker'!$P$16&gt;0.01,INDEX('Debt Tracker'!$T$5:$AE$29,12,AC385-1)&gt;0.01))*('Recurring Items'!$H$19&lt;&gt;"Skip")*(DAY(AB385)='Recurring Items'!$F$19)*IFERROR(N('Recurring Items'!$D$19),0)+(IF(AC385=1,'Debt Tracker'!$P$17&gt;0.01,INDEX('Debt Tracker'!$T$5:$AE$29,13,AC385-1)&gt;0.01))*('Recurring Items'!$H$20&lt;&gt;"Skip")*(DAY(AB385)='Recurring Items'!$F$20)*IFERROR(N('Recurring Items'!$D$20),0)+(IF(AC385=1,'Debt Tracker'!$P$18&gt;0.01,INDEX('Debt Tracker'!$T$5:$AE$29,14,AC385-1)&gt;0.01))*('Recurring Items'!$H$21&lt;&gt;"Skip")*(DAY(AB385)='Recurring Items'!$F$21)*IFERROR(N('Recurring Items'!$D$21),0)+(IF(AC385=1,'Debt Tracker'!$P$19&gt;0.01,INDEX('Debt Tracker'!$T$5:$AE$29,15,AC385-1)&gt;0.01))*('Recurring Items'!$H$22&lt;&gt;"Skip")*(DAY(AB385)='Recurring Items'!$F$22)*IFERROR(N('Recurring Items'!$D$22),0)+(IF(AC385=1,'Debt Tracker'!$P$20&gt;0.01,INDEX('Debt Tracker'!$T$5:$AE$29,16,AC385-1)&gt;0.01))*('Recurring Items'!$H$23&lt;&gt;"Skip")*(DAY(AB385)='Recurring Items'!$F$23)*IFERROR(N('Recurring Items'!$D$23),0)+(IF(AC385=1,'Debt Tracker'!$P$21&gt;0.01,INDEX('Debt Tracker'!$T$5:$AE$29,17,AC385-1)&gt;0.01))*('Recurring Items'!$H$24&lt;&gt;"Skip")*(DAY(AB385)='Recurring Items'!$F$24)*IFERROR(N('Recurring Items'!$D$24),0)+(IF(AC385=1,'Debt Tracker'!$P$22&gt;0.01,INDEX('Debt Tracker'!$T$5:$AE$29,18,AC385-1)&gt;0.01))*('Recurring Items'!$H$25&lt;&gt;"Skip")*(DAY(AB385)='Recurring Items'!$F$25)*IFERROR(N('Recurring Items'!$D$25),0)+(IF(AC385=1,'Debt Tracker'!$P$23&gt;0.01,INDEX('Debt Tracker'!$T$5:$AE$29,19,AC385-1)&gt;0.01))*('Recurring Items'!$H$26&lt;&gt;"Skip")*(DAY(AB385)='Recurring Items'!$F$26)*IFERROR(N('Recurring Items'!$D$26),0)+(IF(AC385=1,'Debt Tracker'!$P$24&gt;0.01,INDEX('Debt Tracker'!$T$5:$AE$29,20,AC385-1)&gt;0.01))*('Recurring Items'!$H$27&lt;&gt;"Skip")*(DAY(AB385)='Recurring Items'!$F$27)*IFERROR(N('Recurring Items'!$D$27),0)+(IF(AC385=1,'Debt Tracker'!$P$25&gt;0.01,INDEX('Debt Tracker'!$T$5:$AE$29,21,AC385-1)&gt;0.01))*('Recurring Items'!$H$28&lt;&gt;"Skip")*(DAY(AB385)='Recurring Items'!$F$28)*IFERROR(N('Recurring Items'!$D$28),0)+(IF(AC385=1,'Debt Tracker'!$P$26&gt;0.01,INDEX('Debt Tracker'!$T$5:$AE$29,22,AC385-1)&gt;0.01))*('Recurring Items'!$H$29&lt;&gt;"Skip")*(DAY(AB385)='Recurring Items'!$F$29)*IFERROR(N('Recurring Items'!$D$29),0)+(IF(AC385=1,'Debt Tracker'!$P$27&gt;0.01,INDEX('Debt Tracker'!$T$5:$AE$29,23,AC385-1)&gt;0.01))*('Recurring Items'!$H$30&lt;&gt;"Skip")*(DAY(AB385)='Recurring Items'!$F$30)*IFERROR(N('Recurring Items'!$D$30),0)+(IF(AC385=1,'Debt Tracker'!$P$28&gt;0.01,INDEX('Debt Tracker'!$T$5:$AE$29,24,AC385-1)&gt;0.01))*('Recurring Items'!$H$31&lt;&gt;"Skip")*(DAY(AB385)='Recurring Items'!$F$31)*IFERROR(N('Recurring Items'!$D$31),0)+(IF(AC385=1,'Debt Tracker'!$P$29&gt;0.01,INDEX('Debt Tracker'!$T$5:$AE$29,25,AC385-1)&gt;0.01))*('Recurring Items'!$H$32&lt;&gt;"Skip")*(DAY(AB385)='Recurring Items'!$F$32)*IFERROR(N('Recurring Items'!$D$32),0)</f>
        <v>1309.17</v>
      </c>
      <c r="AG385" s="1" t="n">
        <f aca="false">AD385-AE385-AF385</f>
        <v>-1309.17</v>
      </c>
      <c r="AH385" s="1" t="n">
        <f aca="false">AH384+AG385</f>
        <v>13052.25</v>
      </c>
    </row>
    <row r="386" customFormat="false" ht="15" hidden="false" customHeight="true" outlineLevel="0" collapsed="false">
      <c r="AA386" s="1" t="n">
        <v>186</v>
      </c>
      <c r="AB386" s="145" t="n">
        <f aca="false">$D$3+186</f>
        <v>46329</v>
      </c>
      <c r="AC386" s="1" t="n">
        <f aca="false">MIN(12,1+DATEDIF($D$3,AB386,"M"))</f>
        <v>7</v>
      </c>
      <c r="AD386" s="1" t="n">
        <f aca="false">SUMPRODUCT(('Recurring Items'!$C$6:$C$56="Income")*('Recurring Items'!$H$6:$H$56&lt;&gt;"Skip")*IFERROR(N('Recurring Items'!$D$6:$D$56),0)*(('Recurring Items'!$E$6:$E$56="Monthly")*(DAY(AB386)='Recurring Items'!$F$6:$F$56)+('Recurring Items'!$E$6:$E$56="Bi-weekly")*(WEEKDAY(AB386)=IFERROR(WEEKDAY('Recurring Items'!$G$6:$G$56),0))*(MOD(AB386-IFERROR('Recurring Items'!$G$6:$G$56,0),14)=0)*(AB386&gt;=IFERROR('Recurring Items'!$G$6:$G$56,9000000000))+('Recurring Items'!$E$6:$E$56="Weekly")*(WEEKDAY(AB386)=IFERROR(WEEKDAY('Recurring Items'!$G$6:$G$56),0))*(AB386&gt;=IFERROR('Recurring Items'!$G$6:$G$56,9000000000))+('Recurring Items'!$E$6:$E$56="One-time")*(AB386='Recurring Items'!$G$6:$G$56)))</f>
        <v>0</v>
      </c>
      <c r="AE386" s="1" t="n">
        <f aca="false">SUMPRODUCT(('Recurring Items'!$C$6:$C$56="Expense")*('Recurring Items'!$H$6:$H$56&lt;&gt;"Skip")*IFERROR(N('Recurring Items'!$D$6:$D$56),0)*(('Recurring Items'!$E$6:$E$56="Monthly")*(DAY(AB386)='Recurring Items'!$F$6:$F$56)+('Recurring Items'!$E$6:$E$56="Bi-weekly")*(WEEKDAY(AB386)=IFERROR(WEEKDAY('Recurring Items'!$G$6:$G$56),0))*(MOD(AB386-IFERROR('Recurring Items'!$G$6:$G$56,0),14)=0)*(AB386&gt;=IFERROR('Recurring Items'!$G$6:$G$56,9000000000))+('Recurring Items'!$E$6:$E$56="Weekly")*(WEEKDAY(AB386)=IFERROR(WEEKDAY('Recurring Items'!$G$6:$G$56),0))*(AB386&gt;=IFERROR('Recurring Items'!$G$6:$G$56,9000000000))+('Recurring Items'!$E$6:$E$56="One-time")*(AB386='Recurring Items'!$G$6:$G$56)))</f>
        <v>927.53</v>
      </c>
      <c r="AF386" s="1" t="n">
        <f aca="false">(IF(AC386=1,'Debt Tracker'!$P$5&gt;0.01,INDEX('Debt Tracker'!$T$5:$AE$29,1,AC386-1)&gt;0.01))*('Recurring Items'!$H$8&lt;&gt;"Skip")*(DAY(AB386)='Recurring Items'!$F$8)*IFERROR(N('Recurring Items'!$D$8),0)+(IF(AC386=1,'Debt Tracker'!$P$6&gt;0.01,INDEX('Debt Tracker'!$T$5:$AE$29,2,AC386-1)&gt;0.01))*('Recurring Items'!$H$9&lt;&gt;"Skip")*(DAY(AB386)='Recurring Items'!$F$9)*IFERROR(N('Recurring Items'!$D$9),0)+(IF(AC386=1,'Debt Tracker'!$P$7&gt;0.01,INDEX('Debt Tracker'!$T$5:$AE$29,3,AC386-1)&gt;0.01))*('Recurring Items'!$H$10&lt;&gt;"Skip")*(DAY(AB386)='Recurring Items'!$F$10)*IFERROR(N('Recurring Items'!$D$10),0)+(IF(AC386=1,'Debt Tracker'!$P$8&gt;0.01,INDEX('Debt Tracker'!$T$5:$AE$29,4,AC386-1)&gt;0.01))*('Recurring Items'!$H$11&lt;&gt;"Skip")*(DAY(AB386)='Recurring Items'!$F$11)*IFERROR(N('Recurring Items'!$D$11),0)+(IF(AC386=1,'Debt Tracker'!$P$9&gt;0.01,INDEX('Debt Tracker'!$T$5:$AE$29,5,AC386-1)&gt;0.01))*('Recurring Items'!$H$12&lt;&gt;"Skip")*(DAY(AB386)='Recurring Items'!$F$12)*IFERROR(N('Recurring Items'!$D$12),0)+(IF(AC386=1,'Debt Tracker'!$P$10&gt;0.01,INDEX('Debt Tracker'!$T$5:$AE$29,6,AC386-1)&gt;0.01))*('Recurring Items'!$H$13&lt;&gt;"Skip")*(DAY(AB386)='Recurring Items'!$F$13)*IFERROR(N('Recurring Items'!$D$13),0)+(IF(AC386=1,'Debt Tracker'!$P$11&gt;0.01,INDEX('Debt Tracker'!$T$5:$AE$29,7,AC386-1)&gt;0.01))*('Recurring Items'!$H$14&lt;&gt;"Skip")*(DAY(AB386)='Recurring Items'!$F$14)*IFERROR(N('Recurring Items'!$D$14),0)+(IF(AC386=1,'Debt Tracker'!$P$12&gt;0.01,INDEX('Debt Tracker'!$T$5:$AE$29,8,AC386-1)&gt;0.01))*('Recurring Items'!$H$15&lt;&gt;"Skip")*(DAY(AB386)='Recurring Items'!$F$15)*IFERROR(N('Recurring Items'!$D$15),0)+(IF(AC386=1,'Debt Tracker'!$P$13&gt;0.01,INDEX('Debt Tracker'!$T$5:$AE$29,9,AC386-1)&gt;0.01))*('Recurring Items'!$H$16&lt;&gt;"Skip")*(DAY(AB386)='Recurring Items'!$F$16)*IFERROR(N('Recurring Items'!$D$16),0)+(IF(AC386=1,'Debt Tracker'!$P$14&gt;0.01,INDEX('Debt Tracker'!$T$5:$AE$29,10,AC386-1)&gt;0.01))*('Recurring Items'!$H$17&lt;&gt;"Skip")*(DAY(AB386)='Recurring Items'!$F$17)*IFERROR(N('Recurring Items'!$D$17),0)+(IF(AC386=1,'Debt Tracker'!$P$15&gt;0.01,INDEX('Debt Tracker'!$T$5:$AE$29,11,AC386-1)&gt;0.01))*('Recurring Items'!$H$18&lt;&gt;"Skip")*(DAY(AB386)='Recurring Items'!$F$18)*IFERROR(N('Recurring Items'!$D$18),0)+(IF(AC386=1,'Debt Tracker'!$P$16&gt;0.01,INDEX('Debt Tracker'!$T$5:$AE$29,12,AC386-1)&gt;0.01))*('Recurring Items'!$H$19&lt;&gt;"Skip")*(DAY(AB386)='Recurring Items'!$F$19)*IFERROR(N('Recurring Items'!$D$19),0)+(IF(AC386=1,'Debt Tracker'!$P$17&gt;0.01,INDEX('Debt Tracker'!$T$5:$AE$29,13,AC386-1)&gt;0.01))*('Recurring Items'!$H$20&lt;&gt;"Skip")*(DAY(AB386)='Recurring Items'!$F$20)*IFERROR(N('Recurring Items'!$D$20),0)+(IF(AC386=1,'Debt Tracker'!$P$18&gt;0.01,INDEX('Debt Tracker'!$T$5:$AE$29,14,AC386-1)&gt;0.01))*('Recurring Items'!$H$21&lt;&gt;"Skip")*(DAY(AB386)='Recurring Items'!$F$21)*IFERROR(N('Recurring Items'!$D$21),0)+(IF(AC386=1,'Debt Tracker'!$P$19&gt;0.01,INDEX('Debt Tracker'!$T$5:$AE$29,15,AC386-1)&gt;0.01))*('Recurring Items'!$H$22&lt;&gt;"Skip")*(DAY(AB386)='Recurring Items'!$F$22)*IFERROR(N('Recurring Items'!$D$22),0)+(IF(AC386=1,'Debt Tracker'!$P$20&gt;0.01,INDEX('Debt Tracker'!$T$5:$AE$29,16,AC386-1)&gt;0.01))*('Recurring Items'!$H$23&lt;&gt;"Skip")*(DAY(AB386)='Recurring Items'!$F$23)*IFERROR(N('Recurring Items'!$D$23),0)+(IF(AC386=1,'Debt Tracker'!$P$21&gt;0.01,INDEX('Debt Tracker'!$T$5:$AE$29,17,AC386-1)&gt;0.01))*('Recurring Items'!$H$24&lt;&gt;"Skip")*(DAY(AB386)='Recurring Items'!$F$24)*IFERROR(N('Recurring Items'!$D$24),0)+(IF(AC386=1,'Debt Tracker'!$P$22&gt;0.01,INDEX('Debt Tracker'!$T$5:$AE$29,18,AC386-1)&gt;0.01))*('Recurring Items'!$H$25&lt;&gt;"Skip")*(DAY(AB386)='Recurring Items'!$F$25)*IFERROR(N('Recurring Items'!$D$25),0)+(IF(AC386=1,'Debt Tracker'!$P$23&gt;0.01,INDEX('Debt Tracker'!$T$5:$AE$29,19,AC386-1)&gt;0.01))*('Recurring Items'!$H$26&lt;&gt;"Skip")*(DAY(AB386)='Recurring Items'!$F$26)*IFERROR(N('Recurring Items'!$D$26),0)+(IF(AC386=1,'Debt Tracker'!$P$24&gt;0.01,INDEX('Debt Tracker'!$T$5:$AE$29,20,AC386-1)&gt;0.01))*('Recurring Items'!$H$27&lt;&gt;"Skip")*(DAY(AB386)='Recurring Items'!$F$27)*IFERROR(N('Recurring Items'!$D$27),0)+(IF(AC386=1,'Debt Tracker'!$P$25&gt;0.01,INDEX('Debt Tracker'!$T$5:$AE$29,21,AC386-1)&gt;0.01))*('Recurring Items'!$H$28&lt;&gt;"Skip")*(DAY(AB386)='Recurring Items'!$F$28)*IFERROR(N('Recurring Items'!$D$28),0)+(IF(AC386=1,'Debt Tracker'!$P$26&gt;0.01,INDEX('Debt Tracker'!$T$5:$AE$29,22,AC386-1)&gt;0.01))*('Recurring Items'!$H$29&lt;&gt;"Skip")*(DAY(AB386)='Recurring Items'!$F$29)*IFERROR(N('Recurring Items'!$D$29),0)+(IF(AC386=1,'Debt Tracker'!$P$27&gt;0.01,INDEX('Debt Tracker'!$T$5:$AE$29,23,AC386-1)&gt;0.01))*('Recurring Items'!$H$30&lt;&gt;"Skip")*(DAY(AB386)='Recurring Items'!$F$30)*IFERROR(N('Recurring Items'!$D$30),0)+(IF(AC386=1,'Debt Tracker'!$P$28&gt;0.01,INDEX('Debt Tracker'!$T$5:$AE$29,24,AC386-1)&gt;0.01))*('Recurring Items'!$H$31&lt;&gt;"Skip")*(DAY(AB386)='Recurring Items'!$F$31)*IFERROR(N('Recurring Items'!$D$31),0)+(IF(AC386=1,'Debt Tracker'!$P$29&gt;0.01,INDEX('Debt Tracker'!$T$5:$AE$29,25,AC386-1)&gt;0.01))*('Recurring Items'!$H$32&lt;&gt;"Skip")*(DAY(AB386)='Recurring Items'!$F$32)*IFERROR(N('Recurring Items'!$D$32),0)</f>
        <v>0</v>
      </c>
      <c r="AG386" s="1" t="n">
        <f aca="false">AD386-AE386-AF386</f>
        <v>-927.53</v>
      </c>
      <c r="AH386" s="1" t="n">
        <f aca="false">AH385+AG386</f>
        <v>12124.72</v>
      </c>
    </row>
    <row r="387" customFormat="false" ht="15" hidden="false" customHeight="true" outlineLevel="0" collapsed="false">
      <c r="AA387" s="1" t="n">
        <v>187</v>
      </c>
      <c r="AB387" s="145" t="n">
        <f aca="false">$D$3+187</f>
        <v>46330</v>
      </c>
      <c r="AC387" s="1" t="n">
        <f aca="false">MIN(12,1+DATEDIF($D$3,AB387,"M"))</f>
        <v>7</v>
      </c>
      <c r="AD387" s="1" t="n">
        <f aca="false">SUMPRODUCT(('Recurring Items'!$C$6:$C$56="Income")*('Recurring Items'!$H$6:$H$56&lt;&gt;"Skip")*IFERROR(N('Recurring Items'!$D$6:$D$56),0)*(('Recurring Items'!$E$6:$E$56="Monthly")*(DAY(AB387)='Recurring Items'!$F$6:$F$56)+('Recurring Items'!$E$6:$E$56="Bi-weekly")*(WEEKDAY(AB387)=IFERROR(WEEKDAY('Recurring Items'!$G$6:$G$56),0))*(MOD(AB387-IFERROR('Recurring Items'!$G$6:$G$56,0),14)=0)*(AB387&gt;=IFERROR('Recurring Items'!$G$6:$G$56,9000000000))+('Recurring Items'!$E$6:$E$56="Weekly")*(WEEKDAY(AB387)=IFERROR(WEEKDAY('Recurring Items'!$G$6:$G$56),0))*(AB387&gt;=IFERROR('Recurring Items'!$G$6:$G$56,9000000000))+('Recurring Items'!$E$6:$E$56="One-time")*(AB387='Recurring Items'!$G$6:$G$56)))</f>
        <v>0</v>
      </c>
      <c r="AE387" s="1" t="n">
        <f aca="false">SUMPRODUCT(('Recurring Items'!$C$6:$C$56="Expense")*('Recurring Items'!$H$6:$H$56&lt;&gt;"Skip")*IFERROR(N('Recurring Items'!$D$6:$D$56),0)*(('Recurring Items'!$E$6:$E$56="Monthly")*(DAY(AB387)='Recurring Items'!$F$6:$F$56)+('Recurring Items'!$E$6:$E$56="Bi-weekly")*(WEEKDAY(AB387)=IFERROR(WEEKDAY('Recurring Items'!$G$6:$G$56),0))*(MOD(AB387-IFERROR('Recurring Items'!$G$6:$G$56,0),14)=0)*(AB387&gt;=IFERROR('Recurring Items'!$G$6:$G$56,9000000000))+('Recurring Items'!$E$6:$E$56="Weekly")*(WEEKDAY(AB387)=IFERROR(WEEKDAY('Recurring Items'!$G$6:$G$56),0))*(AB387&gt;=IFERROR('Recurring Items'!$G$6:$G$56,9000000000))+('Recurring Items'!$E$6:$E$56="One-time")*(AB387='Recurring Items'!$G$6:$G$56)))</f>
        <v>0</v>
      </c>
      <c r="AF387" s="1" t="n">
        <f aca="false">(IF(AC387=1,'Debt Tracker'!$P$5&gt;0.01,INDEX('Debt Tracker'!$T$5:$AE$29,1,AC387-1)&gt;0.01))*('Recurring Items'!$H$8&lt;&gt;"Skip")*(DAY(AB387)='Recurring Items'!$F$8)*IFERROR(N('Recurring Items'!$D$8),0)+(IF(AC387=1,'Debt Tracker'!$P$6&gt;0.01,INDEX('Debt Tracker'!$T$5:$AE$29,2,AC387-1)&gt;0.01))*('Recurring Items'!$H$9&lt;&gt;"Skip")*(DAY(AB387)='Recurring Items'!$F$9)*IFERROR(N('Recurring Items'!$D$9),0)+(IF(AC387=1,'Debt Tracker'!$P$7&gt;0.01,INDEX('Debt Tracker'!$T$5:$AE$29,3,AC387-1)&gt;0.01))*('Recurring Items'!$H$10&lt;&gt;"Skip")*(DAY(AB387)='Recurring Items'!$F$10)*IFERROR(N('Recurring Items'!$D$10),0)+(IF(AC387=1,'Debt Tracker'!$P$8&gt;0.01,INDEX('Debt Tracker'!$T$5:$AE$29,4,AC387-1)&gt;0.01))*('Recurring Items'!$H$11&lt;&gt;"Skip")*(DAY(AB387)='Recurring Items'!$F$11)*IFERROR(N('Recurring Items'!$D$11),0)+(IF(AC387=1,'Debt Tracker'!$P$9&gt;0.01,INDEX('Debt Tracker'!$T$5:$AE$29,5,AC387-1)&gt;0.01))*('Recurring Items'!$H$12&lt;&gt;"Skip")*(DAY(AB387)='Recurring Items'!$F$12)*IFERROR(N('Recurring Items'!$D$12),0)+(IF(AC387=1,'Debt Tracker'!$P$10&gt;0.01,INDEX('Debt Tracker'!$T$5:$AE$29,6,AC387-1)&gt;0.01))*('Recurring Items'!$H$13&lt;&gt;"Skip")*(DAY(AB387)='Recurring Items'!$F$13)*IFERROR(N('Recurring Items'!$D$13),0)+(IF(AC387=1,'Debt Tracker'!$P$11&gt;0.01,INDEX('Debt Tracker'!$T$5:$AE$29,7,AC387-1)&gt;0.01))*('Recurring Items'!$H$14&lt;&gt;"Skip")*(DAY(AB387)='Recurring Items'!$F$14)*IFERROR(N('Recurring Items'!$D$14),0)+(IF(AC387=1,'Debt Tracker'!$P$12&gt;0.01,INDEX('Debt Tracker'!$T$5:$AE$29,8,AC387-1)&gt;0.01))*('Recurring Items'!$H$15&lt;&gt;"Skip")*(DAY(AB387)='Recurring Items'!$F$15)*IFERROR(N('Recurring Items'!$D$15),0)+(IF(AC387=1,'Debt Tracker'!$P$13&gt;0.01,INDEX('Debt Tracker'!$T$5:$AE$29,9,AC387-1)&gt;0.01))*('Recurring Items'!$H$16&lt;&gt;"Skip")*(DAY(AB387)='Recurring Items'!$F$16)*IFERROR(N('Recurring Items'!$D$16),0)+(IF(AC387=1,'Debt Tracker'!$P$14&gt;0.01,INDEX('Debt Tracker'!$T$5:$AE$29,10,AC387-1)&gt;0.01))*('Recurring Items'!$H$17&lt;&gt;"Skip")*(DAY(AB387)='Recurring Items'!$F$17)*IFERROR(N('Recurring Items'!$D$17),0)+(IF(AC387=1,'Debt Tracker'!$P$15&gt;0.01,INDEX('Debt Tracker'!$T$5:$AE$29,11,AC387-1)&gt;0.01))*('Recurring Items'!$H$18&lt;&gt;"Skip")*(DAY(AB387)='Recurring Items'!$F$18)*IFERROR(N('Recurring Items'!$D$18),0)+(IF(AC387=1,'Debt Tracker'!$P$16&gt;0.01,INDEX('Debt Tracker'!$T$5:$AE$29,12,AC387-1)&gt;0.01))*('Recurring Items'!$H$19&lt;&gt;"Skip")*(DAY(AB387)='Recurring Items'!$F$19)*IFERROR(N('Recurring Items'!$D$19),0)+(IF(AC387=1,'Debt Tracker'!$P$17&gt;0.01,INDEX('Debt Tracker'!$T$5:$AE$29,13,AC387-1)&gt;0.01))*('Recurring Items'!$H$20&lt;&gt;"Skip")*(DAY(AB387)='Recurring Items'!$F$20)*IFERROR(N('Recurring Items'!$D$20),0)+(IF(AC387=1,'Debt Tracker'!$P$18&gt;0.01,INDEX('Debt Tracker'!$T$5:$AE$29,14,AC387-1)&gt;0.01))*('Recurring Items'!$H$21&lt;&gt;"Skip")*(DAY(AB387)='Recurring Items'!$F$21)*IFERROR(N('Recurring Items'!$D$21),0)+(IF(AC387=1,'Debt Tracker'!$P$19&gt;0.01,INDEX('Debt Tracker'!$T$5:$AE$29,15,AC387-1)&gt;0.01))*('Recurring Items'!$H$22&lt;&gt;"Skip")*(DAY(AB387)='Recurring Items'!$F$22)*IFERROR(N('Recurring Items'!$D$22),0)+(IF(AC387=1,'Debt Tracker'!$P$20&gt;0.01,INDEX('Debt Tracker'!$T$5:$AE$29,16,AC387-1)&gt;0.01))*('Recurring Items'!$H$23&lt;&gt;"Skip")*(DAY(AB387)='Recurring Items'!$F$23)*IFERROR(N('Recurring Items'!$D$23),0)+(IF(AC387=1,'Debt Tracker'!$P$21&gt;0.01,INDEX('Debt Tracker'!$T$5:$AE$29,17,AC387-1)&gt;0.01))*('Recurring Items'!$H$24&lt;&gt;"Skip")*(DAY(AB387)='Recurring Items'!$F$24)*IFERROR(N('Recurring Items'!$D$24),0)+(IF(AC387=1,'Debt Tracker'!$P$22&gt;0.01,INDEX('Debt Tracker'!$T$5:$AE$29,18,AC387-1)&gt;0.01))*('Recurring Items'!$H$25&lt;&gt;"Skip")*(DAY(AB387)='Recurring Items'!$F$25)*IFERROR(N('Recurring Items'!$D$25),0)+(IF(AC387=1,'Debt Tracker'!$P$23&gt;0.01,INDEX('Debt Tracker'!$T$5:$AE$29,19,AC387-1)&gt;0.01))*('Recurring Items'!$H$26&lt;&gt;"Skip")*(DAY(AB387)='Recurring Items'!$F$26)*IFERROR(N('Recurring Items'!$D$26),0)+(IF(AC387=1,'Debt Tracker'!$P$24&gt;0.01,INDEX('Debt Tracker'!$T$5:$AE$29,20,AC387-1)&gt;0.01))*('Recurring Items'!$H$27&lt;&gt;"Skip")*(DAY(AB387)='Recurring Items'!$F$27)*IFERROR(N('Recurring Items'!$D$27),0)+(IF(AC387=1,'Debt Tracker'!$P$25&gt;0.01,INDEX('Debt Tracker'!$T$5:$AE$29,21,AC387-1)&gt;0.01))*('Recurring Items'!$H$28&lt;&gt;"Skip")*(DAY(AB387)='Recurring Items'!$F$28)*IFERROR(N('Recurring Items'!$D$28),0)+(IF(AC387=1,'Debt Tracker'!$P$26&gt;0.01,INDEX('Debt Tracker'!$T$5:$AE$29,22,AC387-1)&gt;0.01))*('Recurring Items'!$H$29&lt;&gt;"Skip")*(DAY(AB387)='Recurring Items'!$F$29)*IFERROR(N('Recurring Items'!$D$29),0)+(IF(AC387=1,'Debt Tracker'!$P$27&gt;0.01,INDEX('Debt Tracker'!$T$5:$AE$29,23,AC387-1)&gt;0.01))*('Recurring Items'!$H$30&lt;&gt;"Skip")*(DAY(AB387)='Recurring Items'!$F$30)*IFERROR(N('Recurring Items'!$D$30),0)+(IF(AC387=1,'Debt Tracker'!$P$28&gt;0.01,INDEX('Debt Tracker'!$T$5:$AE$29,24,AC387-1)&gt;0.01))*('Recurring Items'!$H$31&lt;&gt;"Skip")*(DAY(AB387)='Recurring Items'!$F$31)*IFERROR(N('Recurring Items'!$D$31),0)+(IF(AC387=1,'Debt Tracker'!$P$29&gt;0.01,INDEX('Debt Tracker'!$T$5:$AE$29,25,AC387-1)&gt;0.01))*('Recurring Items'!$H$32&lt;&gt;"Skip")*(DAY(AB387)='Recurring Items'!$F$32)*IFERROR(N('Recurring Items'!$D$32),0)</f>
        <v>0</v>
      </c>
      <c r="AG387" s="1" t="n">
        <f aca="false">AD387-AE387-AF387</f>
        <v>0</v>
      </c>
      <c r="AH387" s="1" t="n">
        <f aca="false">AH386+AG387</f>
        <v>12124.72</v>
      </c>
    </row>
    <row r="388" customFormat="false" ht="15" hidden="false" customHeight="true" outlineLevel="0" collapsed="false">
      <c r="AA388" s="1" t="n">
        <v>188</v>
      </c>
      <c r="AB388" s="145" t="n">
        <f aca="false">$D$3+188</f>
        <v>46331</v>
      </c>
      <c r="AC388" s="1" t="n">
        <f aca="false">MIN(12,1+DATEDIF($D$3,AB388,"M"))</f>
        <v>7</v>
      </c>
      <c r="AD388" s="1" t="n">
        <f aca="false">SUMPRODUCT(('Recurring Items'!$C$6:$C$56="Income")*('Recurring Items'!$H$6:$H$56&lt;&gt;"Skip")*IFERROR(N('Recurring Items'!$D$6:$D$56),0)*(('Recurring Items'!$E$6:$E$56="Monthly")*(DAY(AB388)='Recurring Items'!$F$6:$F$56)+('Recurring Items'!$E$6:$E$56="Bi-weekly")*(WEEKDAY(AB388)=IFERROR(WEEKDAY('Recurring Items'!$G$6:$G$56),0))*(MOD(AB388-IFERROR('Recurring Items'!$G$6:$G$56,0),14)=0)*(AB388&gt;=IFERROR('Recurring Items'!$G$6:$G$56,9000000000))+('Recurring Items'!$E$6:$E$56="Weekly")*(WEEKDAY(AB388)=IFERROR(WEEKDAY('Recurring Items'!$G$6:$G$56),0))*(AB388&gt;=IFERROR('Recurring Items'!$G$6:$G$56,9000000000))+('Recurring Items'!$E$6:$E$56="One-time")*(AB388='Recurring Items'!$G$6:$G$56)))</f>
        <v>2274.42</v>
      </c>
      <c r="AE388" s="1" t="n">
        <f aca="false">SUMPRODUCT(('Recurring Items'!$C$6:$C$56="Expense")*('Recurring Items'!$H$6:$H$56&lt;&gt;"Skip")*IFERROR(N('Recurring Items'!$D$6:$D$56),0)*(('Recurring Items'!$E$6:$E$56="Monthly")*(DAY(AB388)='Recurring Items'!$F$6:$F$56)+('Recurring Items'!$E$6:$E$56="Bi-weekly")*(WEEKDAY(AB388)=IFERROR(WEEKDAY('Recurring Items'!$G$6:$G$56),0))*(MOD(AB388-IFERROR('Recurring Items'!$G$6:$G$56,0),14)=0)*(AB388&gt;=IFERROR('Recurring Items'!$G$6:$G$56,9000000000))+('Recurring Items'!$E$6:$E$56="Weekly")*(WEEKDAY(AB388)=IFERROR(WEEKDAY('Recurring Items'!$G$6:$G$56),0))*(AB388&gt;=IFERROR('Recurring Items'!$G$6:$G$56,9000000000))+('Recurring Items'!$E$6:$E$56="One-time")*(AB388='Recurring Items'!$G$6:$G$56)))</f>
        <v>51.01</v>
      </c>
      <c r="AF388" s="1" t="n">
        <f aca="false">(IF(AC388=1,'Debt Tracker'!$P$5&gt;0.01,INDEX('Debt Tracker'!$T$5:$AE$29,1,AC388-1)&gt;0.01))*('Recurring Items'!$H$8&lt;&gt;"Skip")*(DAY(AB388)='Recurring Items'!$F$8)*IFERROR(N('Recurring Items'!$D$8),0)+(IF(AC388=1,'Debt Tracker'!$P$6&gt;0.01,INDEX('Debt Tracker'!$T$5:$AE$29,2,AC388-1)&gt;0.01))*('Recurring Items'!$H$9&lt;&gt;"Skip")*(DAY(AB388)='Recurring Items'!$F$9)*IFERROR(N('Recurring Items'!$D$9),0)+(IF(AC388=1,'Debt Tracker'!$P$7&gt;0.01,INDEX('Debt Tracker'!$T$5:$AE$29,3,AC388-1)&gt;0.01))*('Recurring Items'!$H$10&lt;&gt;"Skip")*(DAY(AB388)='Recurring Items'!$F$10)*IFERROR(N('Recurring Items'!$D$10),0)+(IF(AC388=1,'Debt Tracker'!$P$8&gt;0.01,INDEX('Debt Tracker'!$T$5:$AE$29,4,AC388-1)&gt;0.01))*('Recurring Items'!$H$11&lt;&gt;"Skip")*(DAY(AB388)='Recurring Items'!$F$11)*IFERROR(N('Recurring Items'!$D$11),0)+(IF(AC388=1,'Debt Tracker'!$P$9&gt;0.01,INDEX('Debt Tracker'!$T$5:$AE$29,5,AC388-1)&gt;0.01))*('Recurring Items'!$H$12&lt;&gt;"Skip")*(DAY(AB388)='Recurring Items'!$F$12)*IFERROR(N('Recurring Items'!$D$12),0)+(IF(AC388=1,'Debt Tracker'!$P$10&gt;0.01,INDEX('Debt Tracker'!$T$5:$AE$29,6,AC388-1)&gt;0.01))*('Recurring Items'!$H$13&lt;&gt;"Skip")*(DAY(AB388)='Recurring Items'!$F$13)*IFERROR(N('Recurring Items'!$D$13),0)+(IF(AC388=1,'Debt Tracker'!$P$11&gt;0.01,INDEX('Debt Tracker'!$T$5:$AE$29,7,AC388-1)&gt;0.01))*('Recurring Items'!$H$14&lt;&gt;"Skip")*(DAY(AB388)='Recurring Items'!$F$14)*IFERROR(N('Recurring Items'!$D$14),0)+(IF(AC388=1,'Debt Tracker'!$P$12&gt;0.01,INDEX('Debt Tracker'!$T$5:$AE$29,8,AC388-1)&gt;0.01))*('Recurring Items'!$H$15&lt;&gt;"Skip")*(DAY(AB388)='Recurring Items'!$F$15)*IFERROR(N('Recurring Items'!$D$15),0)+(IF(AC388=1,'Debt Tracker'!$P$13&gt;0.01,INDEX('Debt Tracker'!$T$5:$AE$29,9,AC388-1)&gt;0.01))*('Recurring Items'!$H$16&lt;&gt;"Skip")*(DAY(AB388)='Recurring Items'!$F$16)*IFERROR(N('Recurring Items'!$D$16),0)+(IF(AC388=1,'Debt Tracker'!$P$14&gt;0.01,INDEX('Debt Tracker'!$T$5:$AE$29,10,AC388-1)&gt;0.01))*('Recurring Items'!$H$17&lt;&gt;"Skip")*(DAY(AB388)='Recurring Items'!$F$17)*IFERROR(N('Recurring Items'!$D$17),0)+(IF(AC388=1,'Debt Tracker'!$P$15&gt;0.01,INDEX('Debt Tracker'!$T$5:$AE$29,11,AC388-1)&gt;0.01))*('Recurring Items'!$H$18&lt;&gt;"Skip")*(DAY(AB388)='Recurring Items'!$F$18)*IFERROR(N('Recurring Items'!$D$18),0)+(IF(AC388=1,'Debt Tracker'!$P$16&gt;0.01,INDEX('Debt Tracker'!$T$5:$AE$29,12,AC388-1)&gt;0.01))*('Recurring Items'!$H$19&lt;&gt;"Skip")*(DAY(AB388)='Recurring Items'!$F$19)*IFERROR(N('Recurring Items'!$D$19),0)+(IF(AC388=1,'Debt Tracker'!$P$17&gt;0.01,INDEX('Debt Tracker'!$T$5:$AE$29,13,AC388-1)&gt;0.01))*('Recurring Items'!$H$20&lt;&gt;"Skip")*(DAY(AB388)='Recurring Items'!$F$20)*IFERROR(N('Recurring Items'!$D$20),0)+(IF(AC388=1,'Debt Tracker'!$P$18&gt;0.01,INDEX('Debt Tracker'!$T$5:$AE$29,14,AC388-1)&gt;0.01))*('Recurring Items'!$H$21&lt;&gt;"Skip")*(DAY(AB388)='Recurring Items'!$F$21)*IFERROR(N('Recurring Items'!$D$21),0)+(IF(AC388=1,'Debt Tracker'!$P$19&gt;0.01,INDEX('Debt Tracker'!$T$5:$AE$29,15,AC388-1)&gt;0.01))*('Recurring Items'!$H$22&lt;&gt;"Skip")*(DAY(AB388)='Recurring Items'!$F$22)*IFERROR(N('Recurring Items'!$D$22),0)+(IF(AC388=1,'Debt Tracker'!$P$20&gt;0.01,INDEX('Debt Tracker'!$T$5:$AE$29,16,AC388-1)&gt;0.01))*('Recurring Items'!$H$23&lt;&gt;"Skip")*(DAY(AB388)='Recurring Items'!$F$23)*IFERROR(N('Recurring Items'!$D$23),0)+(IF(AC388=1,'Debt Tracker'!$P$21&gt;0.01,INDEX('Debt Tracker'!$T$5:$AE$29,17,AC388-1)&gt;0.01))*('Recurring Items'!$H$24&lt;&gt;"Skip")*(DAY(AB388)='Recurring Items'!$F$24)*IFERROR(N('Recurring Items'!$D$24),0)+(IF(AC388=1,'Debt Tracker'!$P$22&gt;0.01,INDEX('Debt Tracker'!$T$5:$AE$29,18,AC388-1)&gt;0.01))*('Recurring Items'!$H$25&lt;&gt;"Skip")*(DAY(AB388)='Recurring Items'!$F$25)*IFERROR(N('Recurring Items'!$D$25),0)+(IF(AC388=1,'Debt Tracker'!$P$23&gt;0.01,INDEX('Debt Tracker'!$T$5:$AE$29,19,AC388-1)&gt;0.01))*('Recurring Items'!$H$26&lt;&gt;"Skip")*(DAY(AB388)='Recurring Items'!$F$26)*IFERROR(N('Recurring Items'!$D$26),0)+(IF(AC388=1,'Debt Tracker'!$P$24&gt;0.01,INDEX('Debt Tracker'!$T$5:$AE$29,20,AC388-1)&gt;0.01))*('Recurring Items'!$H$27&lt;&gt;"Skip")*(DAY(AB388)='Recurring Items'!$F$27)*IFERROR(N('Recurring Items'!$D$27),0)+(IF(AC388=1,'Debt Tracker'!$P$25&gt;0.01,INDEX('Debt Tracker'!$T$5:$AE$29,21,AC388-1)&gt;0.01))*('Recurring Items'!$H$28&lt;&gt;"Skip")*(DAY(AB388)='Recurring Items'!$F$28)*IFERROR(N('Recurring Items'!$D$28),0)+(IF(AC388=1,'Debt Tracker'!$P$26&gt;0.01,INDEX('Debt Tracker'!$T$5:$AE$29,22,AC388-1)&gt;0.01))*('Recurring Items'!$H$29&lt;&gt;"Skip")*(DAY(AB388)='Recurring Items'!$F$29)*IFERROR(N('Recurring Items'!$D$29),0)+(IF(AC388=1,'Debt Tracker'!$P$27&gt;0.01,INDEX('Debt Tracker'!$T$5:$AE$29,23,AC388-1)&gt;0.01))*('Recurring Items'!$H$30&lt;&gt;"Skip")*(DAY(AB388)='Recurring Items'!$F$30)*IFERROR(N('Recurring Items'!$D$30),0)+(IF(AC388=1,'Debt Tracker'!$P$28&gt;0.01,INDEX('Debt Tracker'!$T$5:$AE$29,24,AC388-1)&gt;0.01))*('Recurring Items'!$H$31&lt;&gt;"Skip")*(DAY(AB388)='Recurring Items'!$F$31)*IFERROR(N('Recurring Items'!$D$31),0)+(IF(AC388=1,'Debt Tracker'!$P$29&gt;0.01,INDEX('Debt Tracker'!$T$5:$AE$29,25,AC388-1)&gt;0.01))*('Recurring Items'!$H$32&lt;&gt;"Skip")*(DAY(AB388)='Recurring Items'!$F$32)*IFERROR(N('Recurring Items'!$D$32),0)</f>
        <v>0</v>
      </c>
      <c r="AG388" s="1" t="n">
        <f aca="false">AD388-AE388-AF388</f>
        <v>2223.41</v>
      </c>
      <c r="AH388" s="1" t="n">
        <f aca="false">AH387+AG388</f>
        <v>14348.13</v>
      </c>
    </row>
    <row r="389" customFormat="false" ht="15" hidden="false" customHeight="true" outlineLevel="0" collapsed="false">
      <c r="AA389" s="1" t="n">
        <v>189</v>
      </c>
      <c r="AB389" s="145" t="n">
        <f aca="false">$D$3+189</f>
        <v>46332</v>
      </c>
      <c r="AC389" s="1" t="n">
        <f aca="false">MIN(12,1+DATEDIF($D$3,AB389,"M"))</f>
        <v>7</v>
      </c>
      <c r="AD389" s="1" t="n">
        <f aca="false">SUMPRODUCT(('Recurring Items'!$C$6:$C$56="Income")*('Recurring Items'!$H$6:$H$56&lt;&gt;"Skip")*IFERROR(N('Recurring Items'!$D$6:$D$56),0)*(('Recurring Items'!$E$6:$E$56="Monthly")*(DAY(AB389)='Recurring Items'!$F$6:$F$56)+('Recurring Items'!$E$6:$E$56="Bi-weekly")*(WEEKDAY(AB389)=IFERROR(WEEKDAY('Recurring Items'!$G$6:$G$56),0))*(MOD(AB389-IFERROR('Recurring Items'!$G$6:$G$56,0),14)=0)*(AB389&gt;=IFERROR('Recurring Items'!$G$6:$G$56,9000000000))+('Recurring Items'!$E$6:$E$56="Weekly")*(WEEKDAY(AB389)=IFERROR(WEEKDAY('Recurring Items'!$G$6:$G$56),0))*(AB389&gt;=IFERROR('Recurring Items'!$G$6:$G$56,9000000000))+('Recurring Items'!$E$6:$E$56="One-time")*(AB389='Recurring Items'!$G$6:$G$56)))</f>
        <v>0</v>
      </c>
      <c r="AE389" s="1" t="n">
        <f aca="false">SUMPRODUCT(('Recurring Items'!$C$6:$C$56="Expense")*('Recurring Items'!$H$6:$H$56&lt;&gt;"Skip")*IFERROR(N('Recurring Items'!$D$6:$D$56),0)*(('Recurring Items'!$E$6:$E$56="Monthly")*(DAY(AB389)='Recurring Items'!$F$6:$F$56)+('Recurring Items'!$E$6:$E$56="Bi-weekly")*(WEEKDAY(AB389)=IFERROR(WEEKDAY('Recurring Items'!$G$6:$G$56),0))*(MOD(AB389-IFERROR('Recurring Items'!$G$6:$G$56,0),14)=0)*(AB389&gt;=IFERROR('Recurring Items'!$G$6:$G$56,9000000000))+('Recurring Items'!$E$6:$E$56="Weekly")*(WEEKDAY(AB389)=IFERROR(WEEKDAY('Recurring Items'!$G$6:$G$56),0))*(AB389&gt;=IFERROR('Recurring Items'!$G$6:$G$56,9000000000))+('Recurring Items'!$E$6:$E$56="One-time")*(AB389='Recurring Items'!$G$6:$G$56)))</f>
        <v>1111.55</v>
      </c>
      <c r="AF389" s="1" t="n">
        <f aca="false">(IF(AC389=1,'Debt Tracker'!$P$5&gt;0.01,INDEX('Debt Tracker'!$T$5:$AE$29,1,AC389-1)&gt;0.01))*('Recurring Items'!$H$8&lt;&gt;"Skip")*(DAY(AB389)='Recurring Items'!$F$8)*IFERROR(N('Recurring Items'!$D$8),0)+(IF(AC389=1,'Debt Tracker'!$P$6&gt;0.01,INDEX('Debt Tracker'!$T$5:$AE$29,2,AC389-1)&gt;0.01))*('Recurring Items'!$H$9&lt;&gt;"Skip")*(DAY(AB389)='Recurring Items'!$F$9)*IFERROR(N('Recurring Items'!$D$9),0)+(IF(AC389=1,'Debt Tracker'!$P$7&gt;0.01,INDEX('Debt Tracker'!$T$5:$AE$29,3,AC389-1)&gt;0.01))*('Recurring Items'!$H$10&lt;&gt;"Skip")*(DAY(AB389)='Recurring Items'!$F$10)*IFERROR(N('Recurring Items'!$D$10),0)+(IF(AC389=1,'Debt Tracker'!$P$8&gt;0.01,INDEX('Debt Tracker'!$T$5:$AE$29,4,AC389-1)&gt;0.01))*('Recurring Items'!$H$11&lt;&gt;"Skip")*(DAY(AB389)='Recurring Items'!$F$11)*IFERROR(N('Recurring Items'!$D$11),0)+(IF(AC389=1,'Debt Tracker'!$P$9&gt;0.01,INDEX('Debt Tracker'!$T$5:$AE$29,5,AC389-1)&gt;0.01))*('Recurring Items'!$H$12&lt;&gt;"Skip")*(DAY(AB389)='Recurring Items'!$F$12)*IFERROR(N('Recurring Items'!$D$12),0)+(IF(AC389=1,'Debt Tracker'!$P$10&gt;0.01,INDEX('Debt Tracker'!$T$5:$AE$29,6,AC389-1)&gt;0.01))*('Recurring Items'!$H$13&lt;&gt;"Skip")*(DAY(AB389)='Recurring Items'!$F$13)*IFERROR(N('Recurring Items'!$D$13),0)+(IF(AC389=1,'Debt Tracker'!$P$11&gt;0.01,INDEX('Debt Tracker'!$T$5:$AE$29,7,AC389-1)&gt;0.01))*('Recurring Items'!$H$14&lt;&gt;"Skip")*(DAY(AB389)='Recurring Items'!$F$14)*IFERROR(N('Recurring Items'!$D$14),0)+(IF(AC389=1,'Debt Tracker'!$P$12&gt;0.01,INDEX('Debt Tracker'!$T$5:$AE$29,8,AC389-1)&gt;0.01))*('Recurring Items'!$H$15&lt;&gt;"Skip")*(DAY(AB389)='Recurring Items'!$F$15)*IFERROR(N('Recurring Items'!$D$15),0)+(IF(AC389=1,'Debt Tracker'!$P$13&gt;0.01,INDEX('Debt Tracker'!$T$5:$AE$29,9,AC389-1)&gt;0.01))*('Recurring Items'!$H$16&lt;&gt;"Skip")*(DAY(AB389)='Recurring Items'!$F$16)*IFERROR(N('Recurring Items'!$D$16),0)+(IF(AC389=1,'Debt Tracker'!$P$14&gt;0.01,INDEX('Debt Tracker'!$T$5:$AE$29,10,AC389-1)&gt;0.01))*('Recurring Items'!$H$17&lt;&gt;"Skip")*(DAY(AB389)='Recurring Items'!$F$17)*IFERROR(N('Recurring Items'!$D$17),0)+(IF(AC389=1,'Debt Tracker'!$P$15&gt;0.01,INDEX('Debt Tracker'!$T$5:$AE$29,11,AC389-1)&gt;0.01))*('Recurring Items'!$H$18&lt;&gt;"Skip")*(DAY(AB389)='Recurring Items'!$F$18)*IFERROR(N('Recurring Items'!$D$18),0)+(IF(AC389=1,'Debt Tracker'!$P$16&gt;0.01,INDEX('Debt Tracker'!$T$5:$AE$29,12,AC389-1)&gt;0.01))*('Recurring Items'!$H$19&lt;&gt;"Skip")*(DAY(AB389)='Recurring Items'!$F$19)*IFERROR(N('Recurring Items'!$D$19),0)+(IF(AC389=1,'Debt Tracker'!$P$17&gt;0.01,INDEX('Debt Tracker'!$T$5:$AE$29,13,AC389-1)&gt;0.01))*('Recurring Items'!$H$20&lt;&gt;"Skip")*(DAY(AB389)='Recurring Items'!$F$20)*IFERROR(N('Recurring Items'!$D$20),0)+(IF(AC389=1,'Debt Tracker'!$P$18&gt;0.01,INDEX('Debt Tracker'!$T$5:$AE$29,14,AC389-1)&gt;0.01))*('Recurring Items'!$H$21&lt;&gt;"Skip")*(DAY(AB389)='Recurring Items'!$F$21)*IFERROR(N('Recurring Items'!$D$21),0)+(IF(AC389=1,'Debt Tracker'!$P$19&gt;0.01,INDEX('Debt Tracker'!$T$5:$AE$29,15,AC389-1)&gt;0.01))*('Recurring Items'!$H$22&lt;&gt;"Skip")*(DAY(AB389)='Recurring Items'!$F$22)*IFERROR(N('Recurring Items'!$D$22),0)+(IF(AC389=1,'Debt Tracker'!$P$20&gt;0.01,INDEX('Debt Tracker'!$T$5:$AE$29,16,AC389-1)&gt;0.01))*('Recurring Items'!$H$23&lt;&gt;"Skip")*(DAY(AB389)='Recurring Items'!$F$23)*IFERROR(N('Recurring Items'!$D$23),0)+(IF(AC389=1,'Debt Tracker'!$P$21&gt;0.01,INDEX('Debt Tracker'!$T$5:$AE$29,17,AC389-1)&gt;0.01))*('Recurring Items'!$H$24&lt;&gt;"Skip")*(DAY(AB389)='Recurring Items'!$F$24)*IFERROR(N('Recurring Items'!$D$24),0)+(IF(AC389=1,'Debt Tracker'!$P$22&gt;0.01,INDEX('Debt Tracker'!$T$5:$AE$29,18,AC389-1)&gt;0.01))*('Recurring Items'!$H$25&lt;&gt;"Skip")*(DAY(AB389)='Recurring Items'!$F$25)*IFERROR(N('Recurring Items'!$D$25),0)+(IF(AC389=1,'Debt Tracker'!$P$23&gt;0.01,INDEX('Debt Tracker'!$T$5:$AE$29,19,AC389-1)&gt;0.01))*('Recurring Items'!$H$26&lt;&gt;"Skip")*(DAY(AB389)='Recurring Items'!$F$26)*IFERROR(N('Recurring Items'!$D$26),0)+(IF(AC389=1,'Debt Tracker'!$P$24&gt;0.01,INDEX('Debt Tracker'!$T$5:$AE$29,20,AC389-1)&gt;0.01))*('Recurring Items'!$H$27&lt;&gt;"Skip")*(DAY(AB389)='Recurring Items'!$F$27)*IFERROR(N('Recurring Items'!$D$27),0)+(IF(AC389=1,'Debt Tracker'!$P$25&gt;0.01,INDEX('Debt Tracker'!$T$5:$AE$29,21,AC389-1)&gt;0.01))*('Recurring Items'!$H$28&lt;&gt;"Skip")*(DAY(AB389)='Recurring Items'!$F$28)*IFERROR(N('Recurring Items'!$D$28),0)+(IF(AC389=1,'Debt Tracker'!$P$26&gt;0.01,INDEX('Debt Tracker'!$T$5:$AE$29,22,AC389-1)&gt;0.01))*('Recurring Items'!$H$29&lt;&gt;"Skip")*(DAY(AB389)='Recurring Items'!$F$29)*IFERROR(N('Recurring Items'!$D$29),0)+(IF(AC389=1,'Debt Tracker'!$P$27&gt;0.01,INDEX('Debt Tracker'!$T$5:$AE$29,23,AC389-1)&gt;0.01))*('Recurring Items'!$H$30&lt;&gt;"Skip")*(DAY(AB389)='Recurring Items'!$F$30)*IFERROR(N('Recurring Items'!$D$30),0)+(IF(AC389=1,'Debt Tracker'!$P$28&gt;0.01,INDEX('Debt Tracker'!$T$5:$AE$29,24,AC389-1)&gt;0.01))*('Recurring Items'!$H$31&lt;&gt;"Skip")*(DAY(AB389)='Recurring Items'!$F$31)*IFERROR(N('Recurring Items'!$D$31),0)+(IF(AC389=1,'Debt Tracker'!$P$29&gt;0.01,INDEX('Debt Tracker'!$T$5:$AE$29,25,AC389-1)&gt;0.01))*('Recurring Items'!$H$32&lt;&gt;"Skip")*(DAY(AB389)='Recurring Items'!$F$32)*IFERROR(N('Recurring Items'!$D$32),0)</f>
        <v>0</v>
      </c>
      <c r="AG389" s="1" t="n">
        <f aca="false">AD389-AE389-AF389</f>
        <v>-1111.55</v>
      </c>
      <c r="AH389" s="1" t="n">
        <f aca="false">AH388+AG389</f>
        <v>13236.58</v>
      </c>
    </row>
    <row r="390" customFormat="false" ht="15" hidden="false" customHeight="true" outlineLevel="0" collapsed="false">
      <c r="AA390" s="1" t="n">
        <v>190</v>
      </c>
      <c r="AB390" s="145" t="n">
        <f aca="false">$D$3+190</f>
        <v>46333</v>
      </c>
      <c r="AC390" s="1" t="n">
        <f aca="false">MIN(12,1+DATEDIF($D$3,AB390,"M"))</f>
        <v>7</v>
      </c>
      <c r="AD390" s="1" t="n">
        <f aca="false">SUMPRODUCT(('Recurring Items'!$C$6:$C$56="Income")*('Recurring Items'!$H$6:$H$56&lt;&gt;"Skip")*IFERROR(N('Recurring Items'!$D$6:$D$56),0)*(('Recurring Items'!$E$6:$E$56="Monthly")*(DAY(AB390)='Recurring Items'!$F$6:$F$56)+('Recurring Items'!$E$6:$E$56="Bi-weekly")*(WEEKDAY(AB390)=IFERROR(WEEKDAY('Recurring Items'!$G$6:$G$56),0))*(MOD(AB390-IFERROR('Recurring Items'!$G$6:$G$56,0),14)=0)*(AB390&gt;=IFERROR('Recurring Items'!$G$6:$G$56,9000000000))+('Recurring Items'!$E$6:$E$56="Weekly")*(WEEKDAY(AB390)=IFERROR(WEEKDAY('Recurring Items'!$G$6:$G$56),0))*(AB390&gt;=IFERROR('Recurring Items'!$G$6:$G$56,9000000000))+('Recurring Items'!$E$6:$E$56="One-time")*(AB390='Recurring Items'!$G$6:$G$56)))</f>
        <v>0</v>
      </c>
      <c r="AE390" s="1" t="n">
        <f aca="false">SUMPRODUCT(('Recurring Items'!$C$6:$C$56="Expense")*('Recurring Items'!$H$6:$H$56&lt;&gt;"Skip")*IFERROR(N('Recurring Items'!$D$6:$D$56),0)*(('Recurring Items'!$E$6:$E$56="Monthly")*(DAY(AB390)='Recurring Items'!$F$6:$F$56)+('Recurring Items'!$E$6:$E$56="Bi-weekly")*(WEEKDAY(AB390)=IFERROR(WEEKDAY('Recurring Items'!$G$6:$G$56),0))*(MOD(AB390-IFERROR('Recurring Items'!$G$6:$G$56,0),14)=0)*(AB390&gt;=IFERROR('Recurring Items'!$G$6:$G$56,9000000000))+('Recurring Items'!$E$6:$E$56="Weekly")*(WEEKDAY(AB390)=IFERROR(WEEKDAY('Recurring Items'!$G$6:$G$56),0))*(AB390&gt;=IFERROR('Recurring Items'!$G$6:$G$56,9000000000))+('Recurring Items'!$E$6:$E$56="One-time")*(AB390='Recurring Items'!$G$6:$G$56)))</f>
        <v>672.8</v>
      </c>
      <c r="AF390" s="1" t="n">
        <f aca="false">(IF(AC390=1,'Debt Tracker'!$P$5&gt;0.01,INDEX('Debt Tracker'!$T$5:$AE$29,1,AC390-1)&gt;0.01))*('Recurring Items'!$H$8&lt;&gt;"Skip")*(DAY(AB390)='Recurring Items'!$F$8)*IFERROR(N('Recurring Items'!$D$8),0)+(IF(AC390=1,'Debt Tracker'!$P$6&gt;0.01,INDEX('Debt Tracker'!$T$5:$AE$29,2,AC390-1)&gt;0.01))*('Recurring Items'!$H$9&lt;&gt;"Skip")*(DAY(AB390)='Recurring Items'!$F$9)*IFERROR(N('Recurring Items'!$D$9),0)+(IF(AC390=1,'Debt Tracker'!$P$7&gt;0.01,INDEX('Debt Tracker'!$T$5:$AE$29,3,AC390-1)&gt;0.01))*('Recurring Items'!$H$10&lt;&gt;"Skip")*(DAY(AB390)='Recurring Items'!$F$10)*IFERROR(N('Recurring Items'!$D$10),0)+(IF(AC390=1,'Debt Tracker'!$P$8&gt;0.01,INDEX('Debt Tracker'!$T$5:$AE$29,4,AC390-1)&gt;0.01))*('Recurring Items'!$H$11&lt;&gt;"Skip")*(DAY(AB390)='Recurring Items'!$F$11)*IFERROR(N('Recurring Items'!$D$11),0)+(IF(AC390=1,'Debt Tracker'!$P$9&gt;0.01,INDEX('Debt Tracker'!$T$5:$AE$29,5,AC390-1)&gt;0.01))*('Recurring Items'!$H$12&lt;&gt;"Skip")*(DAY(AB390)='Recurring Items'!$F$12)*IFERROR(N('Recurring Items'!$D$12),0)+(IF(AC390=1,'Debt Tracker'!$P$10&gt;0.01,INDEX('Debt Tracker'!$T$5:$AE$29,6,AC390-1)&gt;0.01))*('Recurring Items'!$H$13&lt;&gt;"Skip")*(DAY(AB390)='Recurring Items'!$F$13)*IFERROR(N('Recurring Items'!$D$13),0)+(IF(AC390=1,'Debt Tracker'!$P$11&gt;0.01,INDEX('Debt Tracker'!$T$5:$AE$29,7,AC390-1)&gt;0.01))*('Recurring Items'!$H$14&lt;&gt;"Skip")*(DAY(AB390)='Recurring Items'!$F$14)*IFERROR(N('Recurring Items'!$D$14),0)+(IF(AC390=1,'Debt Tracker'!$P$12&gt;0.01,INDEX('Debt Tracker'!$T$5:$AE$29,8,AC390-1)&gt;0.01))*('Recurring Items'!$H$15&lt;&gt;"Skip")*(DAY(AB390)='Recurring Items'!$F$15)*IFERROR(N('Recurring Items'!$D$15),0)+(IF(AC390=1,'Debt Tracker'!$P$13&gt;0.01,INDEX('Debt Tracker'!$T$5:$AE$29,9,AC390-1)&gt;0.01))*('Recurring Items'!$H$16&lt;&gt;"Skip")*(DAY(AB390)='Recurring Items'!$F$16)*IFERROR(N('Recurring Items'!$D$16),0)+(IF(AC390=1,'Debt Tracker'!$P$14&gt;0.01,INDEX('Debt Tracker'!$T$5:$AE$29,10,AC390-1)&gt;0.01))*('Recurring Items'!$H$17&lt;&gt;"Skip")*(DAY(AB390)='Recurring Items'!$F$17)*IFERROR(N('Recurring Items'!$D$17),0)+(IF(AC390=1,'Debt Tracker'!$P$15&gt;0.01,INDEX('Debt Tracker'!$T$5:$AE$29,11,AC390-1)&gt;0.01))*('Recurring Items'!$H$18&lt;&gt;"Skip")*(DAY(AB390)='Recurring Items'!$F$18)*IFERROR(N('Recurring Items'!$D$18),0)+(IF(AC390=1,'Debt Tracker'!$P$16&gt;0.01,INDEX('Debt Tracker'!$T$5:$AE$29,12,AC390-1)&gt;0.01))*('Recurring Items'!$H$19&lt;&gt;"Skip")*(DAY(AB390)='Recurring Items'!$F$19)*IFERROR(N('Recurring Items'!$D$19),0)+(IF(AC390=1,'Debt Tracker'!$P$17&gt;0.01,INDEX('Debt Tracker'!$T$5:$AE$29,13,AC390-1)&gt;0.01))*('Recurring Items'!$H$20&lt;&gt;"Skip")*(DAY(AB390)='Recurring Items'!$F$20)*IFERROR(N('Recurring Items'!$D$20),0)+(IF(AC390=1,'Debt Tracker'!$P$18&gt;0.01,INDEX('Debt Tracker'!$T$5:$AE$29,14,AC390-1)&gt;0.01))*('Recurring Items'!$H$21&lt;&gt;"Skip")*(DAY(AB390)='Recurring Items'!$F$21)*IFERROR(N('Recurring Items'!$D$21),0)+(IF(AC390=1,'Debt Tracker'!$P$19&gt;0.01,INDEX('Debt Tracker'!$T$5:$AE$29,15,AC390-1)&gt;0.01))*('Recurring Items'!$H$22&lt;&gt;"Skip")*(DAY(AB390)='Recurring Items'!$F$22)*IFERROR(N('Recurring Items'!$D$22),0)+(IF(AC390=1,'Debt Tracker'!$P$20&gt;0.01,INDEX('Debt Tracker'!$T$5:$AE$29,16,AC390-1)&gt;0.01))*('Recurring Items'!$H$23&lt;&gt;"Skip")*(DAY(AB390)='Recurring Items'!$F$23)*IFERROR(N('Recurring Items'!$D$23),0)+(IF(AC390=1,'Debt Tracker'!$P$21&gt;0.01,INDEX('Debt Tracker'!$T$5:$AE$29,17,AC390-1)&gt;0.01))*('Recurring Items'!$H$24&lt;&gt;"Skip")*(DAY(AB390)='Recurring Items'!$F$24)*IFERROR(N('Recurring Items'!$D$24),0)+(IF(AC390=1,'Debt Tracker'!$P$22&gt;0.01,INDEX('Debt Tracker'!$T$5:$AE$29,18,AC390-1)&gt;0.01))*('Recurring Items'!$H$25&lt;&gt;"Skip")*(DAY(AB390)='Recurring Items'!$F$25)*IFERROR(N('Recurring Items'!$D$25),0)+(IF(AC390=1,'Debt Tracker'!$P$23&gt;0.01,INDEX('Debt Tracker'!$T$5:$AE$29,19,AC390-1)&gt;0.01))*('Recurring Items'!$H$26&lt;&gt;"Skip")*(DAY(AB390)='Recurring Items'!$F$26)*IFERROR(N('Recurring Items'!$D$26),0)+(IF(AC390=1,'Debt Tracker'!$P$24&gt;0.01,INDEX('Debt Tracker'!$T$5:$AE$29,20,AC390-1)&gt;0.01))*('Recurring Items'!$H$27&lt;&gt;"Skip")*(DAY(AB390)='Recurring Items'!$F$27)*IFERROR(N('Recurring Items'!$D$27),0)+(IF(AC390=1,'Debt Tracker'!$P$25&gt;0.01,INDEX('Debt Tracker'!$T$5:$AE$29,21,AC390-1)&gt;0.01))*('Recurring Items'!$H$28&lt;&gt;"Skip")*(DAY(AB390)='Recurring Items'!$F$28)*IFERROR(N('Recurring Items'!$D$28),0)+(IF(AC390=1,'Debt Tracker'!$P$26&gt;0.01,INDEX('Debt Tracker'!$T$5:$AE$29,22,AC390-1)&gt;0.01))*('Recurring Items'!$H$29&lt;&gt;"Skip")*(DAY(AB390)='Recurring Items'!$F$29)*IFERROR(N('Recurring Items'!$D$29),0)+(IF(AC390=1,'Debt Tracker'!$P$27&gt;0.01,INDEX('Debt Tracker'!$T$5:$AE$29,23,AC390-1)&gt;0.01))*('Recurring Items'!$H$30&lt;&gt;"Skip")*(DAY(AB390)='Recurring Items'!$F$30)*IFERROR(N('Recurring Items'!$D$30),0)+(IF(AC390=1,'Debt Tracker'!$P$28&gt;0.01,INDEX('Debt Tracker'!$T$5:$AE$29,24,AC390-1)&gt;0.01))*('Recurring Items'!$H$31&lt;&gt;"Skip")*(DAY(AB390)='Recurring Items'!$F$31)*IFERROR(N('Recurring Items'!$D$31),0)+(IF(AC390=1,'Debt Tracker'!$P$29&gt;0.01,INDEX('Debt Tracker'!$T$5:$AE$29,25,AC390-1)&gt;0.01))*('Recurring Items'!$H$32&lt;&gt;"Skip")*(DAY(AB390)='Recurring Items'!$F$32)*IFERROR(N('Recurring Items'!$D$32),0)</f>
        <v>8.25</v>
      </c>
      <c r="AG390" s="1" t="n">
        <f aca="false">AD390-AE390-AF390</f>
        <v>-681.05</v>
      </c>
      <c r="AH390" s="1" t="n">
        <f aca="false">AH389+AG390</f>
        <v>12555.53</v>
      </c>
    </row>
    <row r="391" customFormat="false" ht="15" hidden="false" customHeight="true" outlineLevel="0" collapsed="false">
      <c r="AA391" s="1" t="n">
        <v>191</v>
      </c>
      <c r="AB391" s="145" t="n">
        <f aca="false">$D$3+191</f>
        <v>46334</v>
      </c>
      <c r="AC391" s="1" t="n">
        <f aca="false">MIN(12,1+DATEDIF($D$3,AB391,"M"))</f>
        <v>7</v>
      </c>
      <c r="AD391" s="1" t="n">
        <f aca="false">SUMPRODUCT(('Recurring Items'!$C$6:$C$56="Income")*('Recurring Items'!$H$6:$H$56&lt;&gt;"Skip")*IFERROR(N('Recurring Items'!$D$6:$D$56),0)*(('Recurring Items'!$E$6:$E$56="Monthly")*(DAY(AB391)='Recurring Items'!$F$6:$F$56)+('Recurring Items'!$E$6:$E$56="Bi-weekly")*(WEEKDAY(AB391)=IFERROR(WEEKDAY('Recurring Items'!$G$6:$G$56),0))*(MOD(AB391-IFERROR('Recurring Items'!$G$6:$G$56,0),14)=0)*(AB391&gt;=IFERROR('Recurring Items'!$G$6:$G$56,9000000000))+('Recurring Items'!$E$6:$E$56="Weekly")*(WEEKDAY(AB391)=IFERROR(WEEKDAY('Recurring Items'!$G$6:$G$56),0))*(AB391&gt;=IFERROR('Recurring Items'!$G$6:$G$56,9000000000))+('Recurring Items'!$E$6:$E$56="One-time")*(AB391='Recurring Items'!$G$6:$G$56)))</f>
        <v>0</v>
      </c>
      <c r="AE391" s="1" t="n">
        <f aca="false">SUMPRODUCT(('Recurring Items'!$C$6:$C$56="Expense")*('Recurring Items'!$H$6:$H$56&lt;&gt;"Skip")*IFERROR(N('Recurring Items'!$D$6:$D$56),0)*(('Recurring Items'!$E$6:$E$56="Monthly")*(DAY(AB391)='Recurring Items'!$F$6:$F$56)+('Recurring Items'!$E$6:$E$56="Bi-weekly")*(WEEKDAY(AB391)=IFERROR(WEEKDAY('Recurring Items'!$G$6:$G$56),0))*(MOD(AB391-IFERROR('Recurring Items'!$G$6:$G$56,0),14)=0)*(AB391&gt;=IFERROR('Recurring Items'!$G$6:$G$56,9000000000))+('Recurring Items'!$E$6:$E$56="Weekly")*(WEEKDAY(AB391)=IFERROR(WEEKDAY('Recurring Items'!$G$6:$G$56),0))*(AB391&gt;=IFERROR('Recurring Items'!$G$6:$G$56,9000000000))+('Recurring Items'!$E$6:$E$56="One-time")*(AB391='Recurring Items'!$G$6:$G$56)))</f>
        <v>53.85</v>
      </c>
      <c r="AF391" s="1" t="n">
        <f aca="false">(IF(AC391=1,'Debt Tracker'!$P$5&gt;0.01,INDEX('Debt Tracker'!$T$5:$AE$29,1,AC391-1)&gt;0.01))*('Recurring Items'!$H$8&lt;&gt;"Skip")*(DAY(AB391)='Recurring Items'!$F$8)*IFERROR(N('Recurring Items'!$D$8),0)+(IF(AC391=1,'Debt Tracker'!$P$6&gt;0.01,INDEX('Debt Tracker'!$T$5:$AE$29,2,AC391-1)&gt;0.01))*('Recurring Items'!$H$9&lt;&gt;"Skip")*(DAY(AB391)='Recurring Items'!$F$9)*IFERROR(N('Recurring Items'!$D$9),0)+(IF(AC391=1,'Debt Tracker'!$P$7&gt;0.01,INDEX('Debt Tracker'!$T$5:$AE$29,3,AC391-1)&gt;0.01))*('Recurring Items'!$H$10&lt;&gt;"Skip")*(DAY(AB391)='Recurring Items'!$F$10)*IFERROR(N('Recurring Items'!$D$10),0)+(IF(AC391=1,'Debt Tracker'!$P$8&gt;0.01,INDEX('Debt Tracker'!$T$5:$AE$29,4,AC391-1)&gt;0.01))*('Recurring Items'!$H$11&lt;&gt;"Skip")*(DAY(AB391)='Recurring Items'!$F$11)*IFERROR(N('Recurring Items'!$D$11),0)+(IF(AC391=1,'Debt Tracker'!$P$9&gt;0.01,INDEX('Debt Tracker'!$T$5:$AE$29,5,AC391-1)&gt;0.01))*('Recurring Items'!$H$12&lt;&gt;"Skip")*(DAY(AB391)='Recurring Items'!$F$12)*IFERROR(N('Recurring Items'!$D$12),0)+(IF(AC391=1,'Debt Tracker'!$P$10&gt;0.01,INDEX('Debt Tracker'!$T$5:$AE$29,6,AC391-1)&gt;0.01))*('Recurring Items'!$H$13&lt;&gt;"Skip")*(DAY(AB391)='Recurring Items'!$F$13)*IFERROR(N('Recurring Items'!$D$13),0)+(IF(AC391=1,'Debt Tracker'!$P$11&gt;0.01,INDEX('Debt Tracker'!$T$5:$AE$29,7,AC391-1)&gt;0.01))*('Recurring Items'!$H$14&lt;&gt;"Skip")*(DAY(AB391)='Recurring Items'!$F$14)*IFERROR(N('Recurring Items'!$D$14),0)+(IF(AC391=1,'Debt Tracker'!$P$12&gt;0.01,INDEX('Debt Tracker'!$T$5:$AE$29,8,AC391-1)&gt;0.01))*('Recurring Items'!$H$15&lt;&gt;"Skip")*(DAY(AB391)='Recurring Items'!$F$15)*IFERROR(N('Recurring Items'!$D$15),0)+(IF(AC391=1,'Debt Tracker'!$P$13&gt;0.01,INDEX('Debt Tracker'!$T$5:$AE$29,9,AC391-1)&gt;0.01))*('Recurring Items'!$H$16&lt;&gt;"Skip")*(DAY(AB391)='Recurring Items'!$F$16)*IFERROR(N('Recurring Items'!$D$16),0)+(IF(AC391=1,'Debt Tracker'!$P$14&gt;0.01,INDEX('Debt Tracker'!$T$5:$AE$29,10,AC391-1)&gt;0.01))*('Recurring Items'!$H$17&lt;&gt;"Skip")*(DAY(AB391)='Recurring Items'!$F$17)*IFERROR(N('Recurring Items'!$D$17),0)+(IF(AC391=1,'Debt Tracker'!$P$15&gt;0.01,INDEX('Debt Tracker'!$T$5:$AE$29,11,AC391-1)&gt;0.01))*('Recurring Items'!$H$18&lt;&gt;"Skip")*(DAY(AB391)='Recurring Items'!$F$18)*IFERROR(N('Recurring Items'!$D$18),0)+(IF(AC391=1,'Debt Tracker'!$P$16&gt;0.01,INDEX('Debt Tracker'!$T$5:$AE$29,12,AC391-1)&gt;0.01))*('Recurring Items'!$H$19&lt;&gt;"Skip")*(DAY(AB391)='Recurring Items'!$F$19)*IFERROR(N('Recurring Items'!$D$19),0)+(IF(AC391=1,'Debt Tracker'!$P$17&gt;0.01,INDEX('Debt Tracker'!$T$5:$AE$29,13,AC391-1)&gt;0.01))*('Recurring Items'!$H$20&lt;&gt;"Skip")*(DAY(AB391)='Recurring Items'!$F$20)*IFERROR(N('Recurring Items'!$D$20),0)+(IF(AC391=1,'Debt Tracker'!$P$18&gt;0.01,INDEX('Debt Tracker'!$T$5:$AE$29,14,AC391-1)&gt;0.01))*('Recurring Items'!$H$21&lt;&gt;"Skip")*(DAY(AB391)='Recurring Items'!$F$21)*IFERROR(N('Recurring Items'!$D$21),0)+(IF(AC391=1,'Debt Tracker'!$P$19&gt;0.01,INDEX('Debt Tracker'!$T$5:$AE$29,15,AC391-1)&gt;0.01))*('Recurring Items'!$H$22&lt;&gt;"Skip")*(DAY(AB391)='Recurring Items'!$F$22)*IFERROR(N('Recurring Items'!$D$22),0)+(IF(AC391=1,'Debt Tracker'!$P$20&gt;0.01,INDEX('Debt Tracker'!$T$5:$AE$29,16,AC391-1)&gt;0.01))*('Recurring Items'!$H$23&lt;&gt;"Skip")*(DAY(AB391)='Recurring Items'!$F$23)*IFERROR(N('Recurring Items'!$D$23),0)+(IF(AC391=1,'Debt Tracker'!$P$21&gt;0.01,INDEX('Debt Tracker'!$T$5:$AE$29,17,AC391-1)&gt;0.01))*('Recurring Items'!$H$24&lt;&gt;"Skip")*(DAY(AB391)='Recurring Items'!$F$24)*IFERROR(N('Recurring Items'!$D$24),0)+(IF(AC391=1,'Debt Tracker'!$P$22&gt;0.01,INDEX('Debt Tracker'!$T$5:$AE$29,18,AC391-1)&gt;0.01))*('Recurring Items'!$H$25&lt;&gt;"Skip")*(DAY(AB391)='Recurring Items'!$F$25)*IFERROR(N('Recurring Items'!$D$25),0)+(IF(AC391=1,'Debt Tracker'!$P$23&gt;0.01,INDEX('Debt Tracker'!$T$5:$AE$29,19,AC391-1)&gt;0.01))*('Recurring Items'!$H$26&lt;&gt;"Skip")*(DAY(AB391)='Recurring Items'!$F$26)*IFERROR(N('Recurring Items'!$D$26),0)+(IF(AC391=1,'Debt Tracker'!$P$24&gt;0.01,INDEX('Debt Tracker'!$T$5:$AE$29,20,AC391-1)&gt;0.01))*('Recurring Items'!$H$27&lt;&gt;"Skip")*(DAY(AB391)='Recurring Items'!$F$27)*IFERROR(N('Recurring Items'!$D$27),0)+(IF(AC391=1,'Debt Tracker'!$P$25&gt;0.01,INDEX('Debt Tracker'!$T$5:$AE$29,21,AC391-1)&gt;0.01))*('Recurring Items'!$H$28&lt;&gt;"Skip")*(DAY(AB391)='Recurring Items'!$F$28)*IFERROR(N('Recurring Items'!$D$28),0)+(IF(AC391=1,'Debt Tracker'!$P$26&gt;0.01,INDEX('Debt Tracker'!$T$5:$AE$29,22,AC391-1)&gt;0.01))*('Recurring Items'!$H$29&lt;&gt;"Skip")*(DAY(AB391)='Recurring Items'!$F$29)*IFERROR(N('Recurring Items'!$D$29),0)+(IF(AC391=1,'Debt Tracker'!$P$27&gt;0.01,INDEX('Debt Tracker'!$T$5:$AE$29,23,AC391-1)&gt;0.01))*('Recurring Items'!$H$30&lt;&gt;"Skip")*(DAY(AB391)='Recurring Items'!$F$30)*IFERROR(N('Recurring Items'!$D$30),0)+(IF(AC391=1,'Debt Tracker'!$P$28&gt;0.01,INDEX('Debt Tracker'!$T$5:$AE$29,24,AC391-1)&gt;0.01))*('Recurring Items'!$H$31&lt;&gt;"Skip")*(DAY(AB391)='Recurring Items'!$F$31)*IFERROR(N('Recurring Items'!$D$31),0)+(IF(AC391=1,'Debt Tracker'!$P$29&gt;0.01,INDEX('Debt Tracker'!$T$5:$AE$29,25,AC391-1)&gt;0.01))*('Recurring Items'!$H$32&lt;&gt;"Skip")*(DAY(AB391)='Recurring Items'!$F$32)*IFERROR(N('Recurring Items'!$D$32),0)</f>
        <v>0</v>
      </c>
      <c r="AG391" s="1" t="n">
        <f aca="false">AD391-AE391-AF391</f>
        <v>-53.85</v>
      </c>
      <c r="AH391" s="1" t="n">
        <f aca="false">AH390+AG391</f>
        <v>12501.68</v>
      </c>
    </row>
    <row r="392" customFormat="false" ht="15" hidden="false" customHeight="true" outlineLevel="0" collapsed="false">
      <c r="AA392" s="1" t="n">
        <v>192</v>
      </c>
      <c r="AB392" s="145" t="n">
        <f aca="false">$D$3+192</f>
        <v>46335</v>
      </c>
      <c r="AC392" s="1" t="n">
        <f aca="false">MIN(12,1+DATEDIF($D$3,AB392,"M"))</f>
        <v>7</v>
      </c>
      <c r="AD392" s="1" t="n">
        <f aca="false">SUMPRODUCT(('Recurring Items'!$C$6:$C$56="Income")*('Recurring Items'!$H$6:$H$56&lt;&gt;"Skip")*IFERROR(N('Recurring Items'!$D$6:$D$56),0)*(('Recurring Items'!$E$6:$E$56="Monthly")*(DAY(AB392)='Recurring Items'!$F$6:$F$56)+('Recurring Items'!$E$6:$E$56="Bi-weekly")*(WEEKDAY(AB392)=IFERROR(WEEKDAY('Recurring Items'!$G$6:$G$56),0))*(MOD(AB392-IFERROR('Recurring Items'!$G$6:$G$56,0),14)=0)*(AB392&gt;=IFERROR('Recurring Items'!$G$6:$G$56,9000000000))+('Recurring Items'!$E$6:$E$56="Weekly")*(WEEKDAY(AB392)=IFERROR(WEEKDAY('Recurring Items'!$G$6:$G$56),0))*(AB392&gt;=IFERROR('Recurring Items'!$G$6:$G$56,9000000000))+('Recurring Items'!$E$6:$E$56="One-time")*(AB392='Recurring Items'!$G$6:$G$56)))</f>
        <v>0</v>
      </c>
      <c r="AE392" s="1" t="n">
        <f aca="false">SUMPRODUCT(('Recurring Items'!$C$6:$C$56="Expense")*('Recurring Items'!$H$6:$H$56&lt;&gt;"Skip")*IFERROR(N('Recurring Items'!$D$6:$D$56),0)*(('Recurring Items'!$E$6:$E$56="Monthly")*(DAY(AB392)='Recurring Items'!$F$6:$F$56)+('Recurring Items'!$E$6:$E$56="Bi-weekly")*(WEEKDAY(AB392)=IFERROR(WEEKDAY('Recurring Items'!$G$6:$G$56),0))*(MOD(AB392-IFERROR('Recurring Items'!$G$6:$G$56,0),14)=0)*(AB392&gt;=IFERROR('Recurring Items'!$G$6:$G$56,9000000000))+('Recurring Items'!$E$6:$E$56="Weekly")*(WEEKDAY(AB392)=IFERROR(WEEKDAY('Recurring Items'!$G$6:$G$56),0))*(AB392&gt;=IFERROR('Recurring Items'!$G$6:$G$56,9000000000))+('Recurring Items'!$E$6:$E$56="One-time")*(AB392='Recurring Items'!$G$6:$G$56)))</f>
        <v>0</v>
      </c>
      <c r="AF392" s="1" t="n">
        <f aca="false">(IF(AC392=1,'Debt Tracker'!$P$5&gt;0.01,INDEX('Debt Tracker'!$T$5:$AE$29,1,AC392-1)&gt;0.01))*('Recurring Items'!$H$8&lt;&gt;"Skip")*(DAY(AB392)='Recurring Items'!$F$8)*IFERROR(N('Recurring Items'!$D$8),0)+(IF(AC392=1,'Debt Tracker'!$P$6&gt;0.01,INDEX('Debt Tracker'!$T$5:$AE$29,2,AC392-1)&gt;0.01))*('Recurring Items'!$H$9&lt;&gt;"Skip")*(DAY(AB392)='Recurring Items'!$F$9)*IFERROR(N('Recurring Items'!$D$9),0)+(IF(AC392=1,'Debt Tracker'!$P$7&gt;0.01,INDEX('Debt Tracker'!$T$5:$AE$29,3,AC392-1)&gt;0.01))*('Recurring Items'!$H$10&lt;&gt;"Skip")*(DAY(AB392)='Recurring Items'!$F$10)*IFERROR(N('Recurring Items'!$D$10),0)+(IF(AC392=1,'Debt Tracker'!$P$8&gt;0.01,INDEX('Debt Tracker'!$T$5:$AE$29,4,AC392-1)&gt;0.01))*('Recurring Items'!$H$11&lt;&gt;"Skip")*(DAY(AB392)='Recurring Items'!$F$11)*IFERROR(N('Recurring Items'!$D$11),0)+(IF(AC392=1,'Debt Tracker'!$P$9&gt;0.01,INDEX('Debt Tracker'!$T$5:$AE$29,5,AC392-1)&gt;0.01))*('Recurring Items'!$H$12&lt;&gt;"Skip")*(DAY(AB392)='Recurring Items'!$F$12)*IFERROR(N('Recurring Items'!$D$12),0)+(IF(AC392=1,'Debt Tracker'!$P$10&gt;0.01,INDEX('Debt Tracker'!$T$5:$AE$29,6,AC392-1)&gt;0.01))*('Recurring Items'!$H$13&lt;&gt;"Skip")*(DAY(AB392)='Recurring Items'!$F$13)*IFERROR(N('Recurring Items'!$D$13),0)+(IF(AC392=1,'Debt Tracker'!$P$11&gt;0.01,INDEX('Debt Tracker'!$T$5:$AE$29,7,AC392-1)&gt;0.01))*('Recurring Items'!$H$14&lt;&gt;"Skip")*(DAY(AB392)='Recurring Items'!$F$14)*IFERROR(N('Recurring Items'!$D$14),0)+(IF(AC392=1,'Debt Tracker'!$P$12&gt;0.01,INDEX('Debt Tracker'!$T$5:$AE$29,8,AC392-1)&gt;0.01))*('Recurring Items'!$H$15&lt;&gt;"Skip")*(DAY(AB392)='Recurring Items'!$F$15)*IFERROR(N('Recurring Items'!$D$15),0)+(IF(AC392=1,'Debt Tracker'!$P$13&gt;0.01,INDEX('Debt Tracker'!$T$5:$AE$29,9,AC392-1)&gt;0.01))*('Recurring Items'!$H$16&lt;&gt;"Skip")*(DAY(AB392)='Recurring Items'!$F$16)*IFERROR(N('Recurring Items'!$D$16),0)+(IF(AC392=1,'Debt Tracker'!$P$14&gt;0.01,INDEX('Debt Tracker'!$T$5:$AE$29,10,AC392-1)&gt;0.01))*('Recurring Items'!$H$17&lt;&gt;"Skip")*(DAY(AB392)='Recurring Items'!$F$17)*IFERROR(N('Recurring Items'!$D$17),0)+(IF(AC392=1,'Debt Tracker'!$P$15&gt;0.01,INDEX('Debt Tracker'!$T$5:$AE$29,11,AC392-1)&gt;0.01))*('Recurring Items'!$H$18&lt;&gt;"Skip")*(DAY(AB392)='Recurring Items'!$F$18)*IFERROR(N('Recurring Items'!$D$18),0)+(IF(AC392=1,'Debt Tracker'!$P$16&gt;0.01,INDEX('Debt Tracker'!$T$5:$AE$29,12,AC392-1)&gt;0.01))*('Recurring Items'!$H$19&lt;&gt;"Skip")*(DAY(AB392)='Recurring Items'!$F$19)*IFERROR(N('Recurring Items'!$D$19),0)+(IF(AC392=1,'Debt Tracker'!$P$17&gt;0.01,INDEX('Debt Tracker'!$T$5:$AE$29,13,AC392-1)&gt;0.01))*('Recurring Items'!$H$20&lt;&gt;"Skip")*(DAY(AB392)='Recurring Items'!$F$20)*IFERROR(N('Recurring Items'!$D$20),0)+(IF(AC392=1,'Debt Tracker'!$P$18&gt;0.01,INDEX('Debt Tracker'!$T$5:$AE$29,14,AC392-1)&gt;0.01))*('Recurring Items'!$H$21&lt;&gt;"Skip")*(DAY(AB392)='Recurring Items'!$F$21)*IFERROR(N('Recurring Items'!$D$21),0)+(IF(AC392=1,'Debt Tracker'!$P$19&gt;0.01,INDEX('Debt Tracker'!$T$5:$AE$29,15,AC392-1)&gt;0.01))*('Recurring Items'!$H$22&lt;&gt;"Skip")*(DAY(AB392)='Recurring Items'!$F$22)*IFERROR(N('Recurring Items'!$D$22),0)+(IF(AC392=1,'Debt Tracker'!$P$20&gt;0.01,INDEX('Debt Tracker'!$T$5:$AE$29,16,AC392-1)&gt;0.01))*('Recurring Items'!$H$23&lt;&gt;"Skip")*(DAY(AB392)='Recurring Items'!$F$23)*IFERROR(N('Recurring Items'!$D$23),0)+(IF(AC392=1,'Debt Tracker'!$P$21&gt;0.01,INDEX('Debt Tracker'!$T$5:$AE$29,17,AC392-1)&gt;0.01))*('Recurring Items'!$H$24&lt;&gt;"Skip")*(DAY(AB392)='Recurring Items'!$F$24)*IFERROR(N('Recurring Items'!$D$24),0)+(IF(AC392=1,'Debt Tracker'!$P$22&gt;0.01,INDEX('Debt Tracker'!$T$5:$AE$29,18,AC392-1)&gt;0.01))*('Recurring Items'!$H$25&lt;&gt;"Skip")*(DAY(AB392)='Recurring Items'!$F$25)*IFERROR(N('Recurring Items'!$D$25),0)+(IF(AC392=1,'Debt Tracker'!$P$23&gt;0.01,INDEX('Debt Tracker'!$T$5:$AE$29,19,AC392-1)&gt;0.01))*('Recurring Items'!$H$26&lt;&gt;"Skip")*(DAY(AB392)='Recurring Items'!$F$26)*IFERROR(N('Recurring Items'!$D$26),0)+(IF(AC392=1,'Debt Tracker'!$P$24&gt;0.01,INDEX('Debt Tracker'!$T$5:$AE$29,20,AC392-1)&gt;0.01))*('Recurring Items'!$H$27&lt;&gt;"Skip")*(DAY(AB392)='Recurring Items'!$F$27)*IFERROR(N('Recurring Items'!$D$27),0)+(IF(AC392=1,'Debt Tracker'!$P$25&gt;0.01,INDEX('Debt Tracker'!$T$5:$AE$29,21,AC392-1)&gt;0.01))*('Recurring Items'!$H$28&lt;&gt;"Skip")*(DAY(AB392)='Recurring Items'!$F$28)*IFERROR(N('Recurring Items'!$D$28),0)+(IF(AC392=1,'Debt Tracker'!$P$26&gt;0.01,INDEX('Debt Tracker'!$T$5:$AE$29,22,AC392-1)&gt;0.01))*('Recurring Items'!$H$29&lt;&gt;"Skip")*(DAY(AB392)='Recurring Items'!$F$29)*IFERROR(N('Recurring Items'!$D$29),0)+(IF(AC392=1,'Debt Tracker'!$P$27&gt;0.01,INDEX('Debt Tracker'!$T$5:$AE$29,23,AC392-1)&gt;0.01))*('Recurring Items'!$H$30&lt;&gt;"Skip")*(DAY(AB392)='Recurring Items'!$F$30)*IFERROR(N('Recurring Items'!$D$30),0)+(IF(AC392=1,'Debt Tracker'!$P$28&gt;0.01,INDEX('Debt Tracker'!$T$5:$AE$29,24,AC392-1)&gt;0.01))*('Recurring Items'!$H$31&lt;&gt;"Skip")*(DAY(AB392)='Recurring Items'!$F$31)*IFERROR(N('Recurring Items'!$D$31),0)+(IF(AC392=1,'Debt Tracker'!$P$29&gt;0.01,INDEX('Debt Tracker'!$T$5:$AE$29,25,AC392-1)&gt;0.01))*('Recurring Items'!$H$32&lt;&gt;"Skip")*(DAY(AB392)='Recurring Items'!$F$32)*IFERROR(N('Recurring Items'!$D$32),0)</f>
        <v>0</v>
      </c>
      <c r="AG392" s="1" t="n">
        <f aca="false">AD392-AE392-AF392</f>
        <v>0</v>
      </c>
      <c r="AH392" s="1" t="n">
        <f aca="false">AH391+AG392</f>
        <v>12501.68</v>
      </c>
    </row>
    <row r="393" customFormat="false" ht="15" hidden="false" customHeight="true" outlineLevel="0" collapsed="false">
      <c r="AA393" s="1" t="n">
        <v>193</v>
      </c>
      <c r="AB393" s="145" t="n">
        <f aca="false">$D$3+193</f>
        <v>46336</v>
      </c>
      <c r="AC393" s="1" t="n">
        <f aca="false">MIN(12,1+DATEDIF($D$3,AB393,"M"))</f>
        <v>7</v>
      </c>
      <c r="AD393" s="1" t="n">
        <f aca="false">SUMPRODUCT(('Recurring Items'!$C$6:$C$56="Income")*('Recurring Items'!$H$6:$H$56&lt;&gt;"Skip")*IFERROR(N('Recurring Items'!$D$6:$D$56),0)*(('Recurring Items'!$E$6:$E$56="Monthly")*(DAY(AB393)='Recurring Items'!$F$6:$F$56)+('Recurring Items'!$E$6:$E$56="Bi-weekly")*(WEEKDAY(AB393)=IFERROR(WEEKDAY('Recurring Items'!$G$6:$G$56),0))*(MOD(AB393-IFERROR('Recurring Items'!$G$6:$G$56,0),14)=0)*(AB393&gt;=IFERROR('Recurring Items'!$G$6:$G$56,9000000000))+('Recurring Items'!$E$6:$E$56="Weekly")*(WEEKDAY(AB393)=IFERROR(WEEKDAY('Recurring Items'!$G$6:$G$56),0))*(AB393&gt;=IFERROR('Recurring Items'!$G$6:$G$56,9000000000))+('Recurring Items'!$E$6:$E$56="One-time")*(AB393='Recurring Items'!$G$6:$G$56)))</f>
        <v>0</v>
      </c>
      <c r="AE393" s="1" t="n">
        <f aca="false">SUMPRODUCT(('Recurring Items'!$C$6:$C$56="Expense")*('Recurring Items'!$H$6:$H$56&lt;&gt;"Skip")*IFERROR(N('Recurring Items'!$D$6:$D$56),0)*(('Recurring Items'!$E$6:$E$56="Monthly")*(DAY(AB393)='Recurring Items'!$F$6:$F$56)+('Recurring Items'!$E$6:$E$56="Bi-weekly")*(WEEKDAY(AB393)=IFERROR(WEEKDAY('Recurring Items'!$G$6:$G$56),0))*(MOD(AB393-IFERROR('Recurring Items'!$G$6:$G$56,0),14)=0)*(AB393&gt;=IFERROR('Recurring Items'!$G$6:$G$56,9000000000))+('Recurring Items'!$E$6:$E$56="Weekly")*(WEEKDAY(AB393)=IFERROR(WEEKDAY('Recurring Items'!$G$6:$G$56),0))*(AB393&gt;=IFERROR('Recurring Items'!$G$6:$G$56,9000000000))+('Recurring Items'!$E$6:$E$56="One-time")*(AB393='Recurring Items'!$G$6:$G$56)))</f>
        <v>340.22</v>
      </c>
      <c r="AF393" s="1" t="n">
        <f aca="false">(IF(AC393=1,'Debt Tracker'!$P$5&gt;0.01,INDEX('Debt Tracker'!$T$5:$AE$29,1,AC393-1)&gt;0.01))*('Recurring Items'!$H$8&lt;&gt;"Skip")*(DAY(AB393)='Recurring Items'!$F$8)*IFERROR(N('Recurring Items'!$D$8),0)+(IF(AC393=1,'Debt Tracker'!$P$6&gt;0.01,INDEX('Debt Tracker'!$T$5:$AE$29,2,AC393-1)&gt;0.01))*('Recurring Items'!$H$9&lt;&gt;"Skip")*(DAY(AB393)='Recurring Items'!$F$9)*IFERROR(N('Recurring Items'!$D$9),0)+(IF(AC393=1,'Debt Tracker'!$P$7&gt;0.01,INDEX('Debt Tracker'!$T$5:$AE$29,3,AC393-1)&gt;0.01))*('Recurring Items'!$H$10&lt;&gt;"Skip")*(DAY(AB393)='Recurring Items'!$F$10)*IFERROR(N('Recurring Items'!$D$10),0)+(IF(AC393=1,'Debt Tracker'!$P$8&gt;0.01,INDEX('Debt Tracker'!$T$5:$AE$29,4,AC393-1)&gt;0.01))*('Recurring Items'!$H$11&lt;&gt;"Skip")*(DAY(AB393)='Recurring Items'!$F$11)*IFERROR(N('Recurring Items'!$D$11),0)+(IF(AC393=1,'Debt Tracker'!$P$9&gt;0.01,INDEX('Debt Tracker'!$T$5:$AE$29,5,AC393-1)&gt;0.01))*('Recurring Items'!$H$12&lt;&gt;"Skip")*(DAY(AB393)='Recurring Items'!$F$12)*IFERROR(N('Recurring Items'!$D$12),0)+(IF(AC393=1,'Debt Tracker'!$P$10&gt;0.01,INDEX('Debt Tracker'!$T$5:$AE$29,6,AC393-1)&gt;0.01))*('Recurring Items'!$H$13&lt;&gt;"Skip")*(DAY(AB393)='Recurring Items'!$F$13)*IFERROR(N('Recurring Items'!$D$13),0)+(IF(AC393=1,'Debt Tracker'!$P$11&gt;0.01,INDEX('Debt Tracker'!$T$5:$AE$29,7,AC393-1)&gt;0.01))*('Recurring Items'!$H$14&lt;&gt;"Skip")*(DAY(AB393)='Recurring Items'!$F$14)*IFERROR(N('Recurring Items'!$D$14),0)+(IF(AC393=1,'Debt Tracker'!$P$12&gt;0.01,INDEX('Debt Tracker'!$T$5:$AE$29,8,AC393-1)&gt;0.01))*('Recurring Items'!$H$15&lt;&gt;"Skip")*(DAY(AB393)='Recurring Items'!$F$15)*IFERROR(N('Recurring Items'!$D$15),0)+(IF(AC393=1,'Debt Tracker'!$P$13&gt;0.01,INDEX('Debt Tracker'!$T$5:$AE$29,9,AC393-1)&gt;0.01))*('Recurring Items'!$H$16&lt;&gt;"Skip")*(DAY(AB393)='Recurring Items'!$F$16)*IFERROR(N('Recurring Items'!$D$16),0)+(IF(AC393=1,'Debt Tracker'!$P$14&gt;0.01,INDEX('Debt Tracker'!$T$5:$AE$29,10,AC393-1)&gt;0.01))*('Recurring Items'!$H$17&lt;&gt;"Skip")*(DAY(AB393)='Recurring Items'!$F$17)*IFERROR(N('Recurring Items'!$D$17),0)+(IF(AC393=1,'Debt Tracker'!$P$15&gt;0.01,INDEX('Debt Tracker'!$T$5:$AE$29,11,AC393-1)&gt;0.01))*('Recurring Items'!$H$18&lt;&gt;"Skip")*(DAY(AB393)='Recurring Items'!$F$18)*IFERROR(N('Recurring Items'!$D$18),0)+(IF(AC393=1,'Debt Tracker'!$P$16&gt;0.01,INDEX('Debt Tracker'!$T$5:$AE$29,12,AC393-1)&gt;0.01))*('Recurring Items'!$H$19&lt;&gt;"Skip")*(DAY(AB393)='Recurring Items'!$F$19)*IFERROR(N('Recurring Items'!$D$19),0)+(IF(AC393=1,'Debt Tracker'!$P$17&gt;0.01,INDEX('Debt Tracker'!$T$5:$AE$29,13,AC393-1)&gt;0.01))*('Recurring Items'!$H$20&lt;&gt;"Skip")*(DAY(AB393)='Recurring Items'!$F$20)*IFERROR(N('Recurring Items'!$D$20),0)+(IF(AC393=1,'Debt Tracker'!$P$18&gt;0.01,INDEX('Debt Tracker'!$T$5:$AE$29,14,AC393-1)&gt;0.01))*('Recurring Items'!$H$21&lt;&gt;"Skip")*(DAY(AB393)='Recurring Items'!$F$21)*IFERROR(N('Recurring Items'!$D$21),0)+(IF(AC393=1,'Debt Tracker'!$P$19&gt;0.01,INDEX('Debt Tracker'!$T$5:$AE$29,15,AC393-1)&gt;0.01))*('Recurring Items'!$H$22&lt;&gt;"Skip")*(DAY(AB393)='Recurring Items'!$F$22)*IFERROR(N('Recurring Items'!$D$22),0)+(IF(AC393=1,'Debt Tracker'!$P$20&gt;0.01,INDEX('Debt Tracker'!$T$5:$AE$29,16,AC393-1)&gt;0.01))*('Recurring Items'!$H$23&lt;&gt;"Skip")*(DAY(AB393)='Recurring Items'!$F$23)*IFERROR(N('Recurring Items'!$D$23),0)+(IF(AC393=1,'Debt Tracker'!$P$21&gt;0.01,INDEX('Debt Tracker'!$T$5:$AE$29,17,AC393-1)&gt;0.01))*('Recurring Items'!$H$24&lt;&gt;"Skip")*(DAY(AB393)='Recurring Items'!$F$24)*IFERROR(N('Recurring Items'!$D$24),0)+(IF(AC393=1,'Debt Tracker'!$P$22&gt;0.01,INDEX('Debt Tracker'!$T$5:$AE$29,18,AC393-1)&gt;0.01))*('Recurring Items'!$H$25&lt;&gt;"Skip")*(DAY(AB393)='Recurring Items'!$F$25)*IFERROR(N('Recurring Items'!$D$25),0)+(IF(AC393=1,'Debt Tracker'!$P$23&gt;0.01,INDEX('Debt Tracker'!$T$5:$AE$29,19,AC393-1)&gt;0.01))*('Recurring Items'!$H$26&lt;&gt;"Skip")*(DAY(AB393)='Recurring Items'!$F$26)*IFERROR(N('Recurring Items'!$D$26),0)+(IF(AC393=1,'Debt Tracker'!$P$24&gt;0.01,INDEX('Debt Tracker'!$T$5:$AE$29,20,AC393-1)&gt;0.01))*('Recurring Items'!$H$27&lt;&gt;"Skip")*(DAY(AB393)='Recurring Items'!$F$27)*IFERROR(N('Recurring Items'!$D$27),0)+(IF(AC393=1,'Debt Tracker'!$P$25&gt;0.01,INDEX('Debt Tracker'!$T$5:$AE$29,21,AC393-1)&gt;0.01))*('Recurring Items'!$H$28&lt;&gt;"Skip")*(DAY(AB393)='Recurring Items'!$F$28)*IFERROR(N('Recurring Items'!$D$28),0)+(IF(AC393=1,'Debt Tracker'!$P$26&gt;0.01,INDEX('Debt Tracker'!$T$5:$AE$29,22,AC393-1)&gt;0.01))*('Recurring Items'!$H$29&lt;&gt;"Skip")*(DAY(AB393)='Recurring Items'!$F$29)*IFERROR(N('Recurring Items'!$D$29),0)+(IF(AC393=1,'Debt Tracker'!$P$27&gt;0.01,INDEX('Debt Tracker'!$T$5:$AE$29,23,AC393-1)&gt;0.01))*('Recurring Items'!$H$30&lt;&gt;"Skip")*(DAY(AB393)='Recurring Items'!$F$30)*IFERROR(N('Recurring Items'!$D$30),0)+(IF(AC393=1,'Debt Tracker'!$P$28&gt;0.01,INDEX('Debt Tracker'!$T$5:$AE$29,24,AC393-1)&gt;0.01))*('Recurring Items'!$H$31&lt;&gt;"Skip")*(DAY(AB393)='Recurring Items'!$F$31)*IFERROR(N('Recurring Items'!$D$31),0)+(IF(AC393=1,'Debt Tracker'!$P$29&gt;0.01,INDEX('Debt Tracker'!$T$5:$AE$29,25,AC393-1)&gt;0.01))*('Recurring Items'!$H$32&lt;&gt;"Skip")*(DAY(AB393)='Recurring Items'!$F$32)*IFERROR(N('Recurring Items'!$D$32),0)</f>
        <v>0</v>
      </c>
      <c r="AG393" s="1" t="n">
        <f aca="false">AD393-AE393-AF393</f>
        <v>-340.22</v>
      </c>
      <c r="AH393" s="1" t="n">
        <f aca="false">AH392+AG393</f>
        <v>12161.46</v>
      </c>
    </row>
    <row r="394" customFormat="false" ht="15" hidden="false" customHeight="true" outlineLevel="0" collapsed="false">
      <c r="AA394" s="1" t="n">
        <v>194</v>
      </c>
      <c r="AB394" s="145" t="n">
        <f aca="false">$D$3+194</f>
        <v>46337</v>
      </c>
      <c r="AC394" s="1" t="n">
        <f aca="false">MIN(12,1+DATEDIF($D$3,AB394,"M"))</f>
        <v>7</v>
      </c>
      <c r="AD394" s="1" t="n">
        <f aca="false">SUMPRODUCT(('Recurring Items'!$C$6:$C$56="Income")*('Recurring Items'!$H$6:$H$56&lt;&gt;"Skip")*IFERROR(N('Recurring Items'!$D$6:$D$56),0)*(('Recurring Items'!$E$6:$E$56="Monthly")*(DAY(AB394)='Recurring Items'!$F$6:$F$56)+('Recurring Items'!$E$6:$E$56="Bi-weekly")*(WEEKDAY(AB394)=IFERROR(WEEKDAY('Recurring Items'!$G$6:$G$56),0))*(MOD(AB394-IFERROR('Recurring Items'!$G$6:$G$56,0),14)=0)*(AB394&gt;=IFERROR('Recurring Items'!$G$6:$G$56,9000000000))+('Recurring Items'!$E$6:$E$56="Weekly")*(WEEKDAY(AB394)=IFERROR(WEEKDAY('Recurring Items'!$G$6:$G$56),0))*(AB394&gt;=IFERROR('Recurring Items'!$G$6:$G$56,9000000000))+('Recurring Items'!$E$6:$E$56="One-time")*(AB394='Recurring Items'!$G$6:$G$56)))</f>
        <v>0</v>
      </c>
      <c r="AE394" s="1" t="n">
        <f aca="false">SUMPRODUCT(('Recurring Items'!$C$6:$C$56="Expense")*('Recurring Items'!$H$6:$H$56&lt;&gt;"Skip")*IFERROR(N('Recurring Items'!$D$6:$D$56),0)*(('Recurring Items'!$E$6:$E$56="Monthly")*(DAY(AB394)='Recurring Items'!$F$6:$F$56)+('Recurring Items'!$E$6:$E$56="Bi-weekly")*(WEEKDAY(AB394)=IFERROR(WEEKDAY('Recurring Items'!$G$6:$G$56),0))*(MOD(AB394-IFERROR('Recurring Items'!$G$6:$G$56,0),14)=0)*(AB394&gt;=IFERROR('Recurring Items'!$G$6:$G$56,9000000000))+('Recurring Items'!$E$6:$E$56="Weekly")*(WEEKDAY(AB394)=IFERROR(WEEKDAY('Recurring Items'!$G$6:$G$56),0))*(AB394&gt;=IFERROR('Recurring Items'!$G$6:$G$56,9000000000))+('Recurring Items'!$E$6:$E$56="One-time")*(AB394='Recurring Items'!$G$6:$G$56)))</f>
        <v>0</v>
      </c>
      <c r="AF394" s="1" t="n">
        <f aca="false">(IF(AC394=1,'Debt Tracker'!$P$5&gt;0.01,INDEX('Debt Tracker'!$T$5:$AE$29,1,AC394-1)&gt;0.01))*('Recurring Items'!$H$8&lt;&gt;"Skip")*(DAY(AB394)='Recurring Items'!$F$8)*IFERROR(N('Recurring Items'!$D$8),0)+(IF(AC394=1,'Debt Tracker'!$P$6&gt;0.01,INDEX('Debt Tracker'!$T$5:$AE$29,2,AC394-1)&gt;0.01))*('Recurring Items'!$H$9&lt;&gt;"Skip")*(DAY(AB394)='Recurring Items'!$F$9)*IFERROR(N('Recurring Items'!$D$9),0)+(IF(AC394=1,'Debt Tracker'!$P$7&gt;0.01,INDEX('Debt Tracker'!$T$5:$AE$29,3,AC394-1)&gt;0.01))*('Recurring Items'!$H$10&lt;&gt;"Skip")*(DAY(AB394)='Recurring Items'!$F$10)*IFERROR(N('Recurring Items'!$D$10),0)+(IF(AC394=1,'Debt Tracker'!$P$8&gt;0.01,INDEX('Debt Tracker'!$T$5:$AE$29,4,AC394-1)&gt;0.01))*('Recurring Items'!$H$11&lt;&gt;"Skip")*(DAY(AB394)='Recurring Items'!$F$11)*IFERROR(N('Recurring Items'!$D$11),0)+(IF(AC394=1,'Debt Tracker'!$P$9&gt;0.01,INDEX('Debt Tracker'!$T$5:$AE$29,5,AC394-1)&gt;0.01))*('Recurring Items'!$H$12&lt;&gt;"Skip")*(DAY(AB394)='Recurring Items'!$F$12)*IFERROR(N('Recurring Items'!$D$12),0)+(IF(AC394=1,'Debt Tracker'!$P$10&gt;0.01,INDEX('Debt Tracker'!$T$5:$AE$29,6,AC394-1)&gt;0.01))*('Recurring Items'!$H$13&lt;&gt;"Skip")*(DAY(AB394)='Recurring Items'!$F$13)*IFERROR(N('Recurring Items'!$D$13),0)+(IF(AC394=1,'Debt Tracker'!$P$11&gt;0.01,INDEX('Debt Tracker'!$T$5:$AE$29,7,AC394-1)&gt;0.01))*('Recurring Items'!$H$14&lt;&gt;"Skip")*(DAY(AB394)='Recurring Items'!$F$14)*IFERROR(N('Recurring Items'!$D$14),0)+(IF(AC394=1,'Debt Tracker'!$P$12&gt;0.01,INDEX('Debt Tracker'!$T$5:$AE$29,8,AC394-1)&gt;0.01))*('Recurring Items'!$H$15&lt;&gt;"Skip")*(DAY(AB394)='Recurring Items'!$F$15)*IFERROR(N('Recurring Items'!$D$15),0)+(IF(AC394=1,'Debt Tracker'!$P$13&gt;0.01,INDEX('Debt Tracker'!$T$5:$AE$29,9,AC394-1)&gt;0.01))*('Recurring Items'!$H$16&lt;&gt;"Skip")*(DAY(AB394)='Recurring Items'!$F$16)*IFERROR(N('Recurring Items'!$D$16),0)+(IF(AC394=1,'Debt Tracker'!$P$14&gt;0.01,INDEX('Debt Tracker'!$T$5:$AE$29,10,AC394-1)&gt;0.01))*('Recurring Items'!$H$17&lt;&gt;"Skip")*(DAY(AB394)='Recurring Items'!$F$17)*IFERROR(N('Recurring Items'!$D$17),0)+(IF(AC394=1,'Debt Tracker'!$P$15&gt;0.01,INDEX('Debt Tracker'!$T$5:$AE$29,11,AC394-1)&gt;0.01))*('Recurring Items'!$H$18&lt;&gt;"Skip")*(DAY(AB394)='Recurring Items'!$F$18)*IFERROR(N('Recurring Items'!$D$18),0)+(IF(AC394=1,'Debt Tracker'!$P$16&gt;0.01,INDEX('Debt Tracker'!$T$5:$AE$29,12,AC394-1)&gt;0.01))*('Recurring Items'!$H$19&lt;&gt;"Skip")*(DAY(AB394)='Recurring Items'!$F$19)*IFERROR(N('Recurring Items'!$D$19),0)+(IF(AC394=1,'Debt Tracker'!$P$17&gt;0.01,INDEX('Debt Tracker'!$T$5:$AE$29,13,AC394-1)&gt;0.01))*('Recurring Items'!$H$20&lt;&gt;"Skip")*(DAY(AB394)='Recurring Items'!$F$20)*IFERROR(N('Recurring Items'!$D$20),0)+(IF(AC394=1,'Debt Tracker'!$P$18&gt;0.01,INDEX('Debt Tracker'!$T$5:$AE$29,14,AC394-1)&gt;0.01))*('Recurring Items'!$H$21&lt;&gt;"Skip")*(DAY(AB394)='Recurring Items'!$F$21)*IFERROR(N('Recurring Items'!$D$21),0)+(IF(AC394=1,'Debt Tracker'!$P$19&gt;0.01,INDEX('Debt Tracker'!$T$5:$AE$29,15,AC394-1)&gt;0.01))*('Recurring Items'!$H$22&lt;&gt;"Skip")*(DAY(AB394)='Recurring Items'!$F$22)*IFERROR(N('Recurring Items'!$D$22),0)+(IF(AC394=1,'Debt Tracker'!$P$20&gt;0.01,INDEX('Debt Tracker'!$T$5:$AE$29,16,AC394-1)&gt;0.01))*('Recurring Items'!$H$23&lt;&gt;"Skip")*(DAY(AB394)='Recurring Items'!$F$23)*IFERROR(N('Recurring Items'!$D$23),0)+(IF(AC394=1,'Debt Tracker'!$P$21&gt;0.01,INDEX('Debt Tracker'!$T$5:$AE$29,17,AC394-1)&gt;0.01))*('Recurring Items'!$H$24&lt;&gt;"Skip")*(DAY(AB394)='Recurring Items'!$F$24)*IFERROR(N('Recurring Items'!$D$24),0)+(IF(AC394=1,'Debt Tracker'!$P$22&gt;0.01,INDEX('Debt Tracker'!$T$5:$AE$29,18,AC394-1)&gt;0.01))*('Recurring Items'!$H$25&lt;&gt;"Skip")*(DAY(AB394)='Recurring Items'!$F$25)*IFERROR(N('Recurring Items'!$D$25),0)+(IF(AC394=1,'Debt Tracker'!$P$23&gt;0.01,INDEX('Debt Tracker'!$T$5:$AE$29,19,AC394-1)&gt;0.01))*('Recurring Items'!$H$26&lt;&gt;"Skip")*(DAY(AB394)='Recurring Items'!$F$26)*IFERROR(N('Recurring Items'!$D$26),0)+(IF(AC394=1,'Debt Tracker'!$P$24&gt;0.01,INDEX('Debt Tracker'!$T$5:$AE$29,20,AC394-1)&gt;0.01))*('Recurring Items'!$H$27&lt;&gt;"Skip")*(DAY(AB394)='Recurring Items'!$F$27)*IFERROR(N('Recurring Items'!$D$27),0)+(IF(AC394=1,'Debt Tracker'!$P$25&gt;0.01,INDEX('Debt Tracker'!$T$5:$AE$29,21,AC394-1)&gt;0.01))*('Recurring Items'!$H$28&lt;&gt;"Skip")*(DAY(AB394)='Recurring Items'!$F$28)*IFERROR(N('Recurring Items'!$D$28),0)+(IF(AC394=1,'Debt Tracker'!$P$26&gt;0.01,INDEX('Debt Tracker'!$T$5:$AE$29,22,AC394-1)&gt;0.01))*('Recurring Items'!$H$29&lt;&gt;"Skip")*(DAY(AB394)='Recurring Items'!$F$29)*IFERROR(N('Recurring Items'!$D$29),0)+(IF(AC394=1,'Debt Tracker'!$P$27&gt;0.01,INDEX('Debt Tracker'!$T$5:$AE$29,23,AC394-1)&gt;0.01))*('Recurring Items'!$H$30&lt;&gt;"Skip")*(DAY(AB394)='Recurring Items'!$F$30)*IFERROR(N('Recurring Items'!$D$30),0)+(IF(AC394=1,'Debt Tracker'!$P$28&gt;0.01,INDEX('Debt Tracker'!$T$5:$AE$29,24,AC394-1)&gt;0.01))*('Recurring Items'!$H$31&lt;&gt;"Skip")*(DAY(AB394)='Recurring Items'!$F$31)*IFERROR(N('Recurring Items'!$D$31),0)+(IF(AC394=1,'Debt Tracker'!$P$29&gt;0.01,INDEX('Debt Tracker'!$T$5:$AE$29,25,AC394-1)&gt;0.01))*('Recurring Items'!$H$32&lt;&gt;"Skip")*(DAY(AB394)='Recurring Items'!$F$32)*IFERROR(N('Recurring Items'!$D$32),0)</f>
        <v>0</v>
      </c>
      <c r="AG394" s="1" t="n">
        <f aca="false">AD394-AE394-AF394</f>
        <v>0</v>
      </c>
      <c r="AH394" s="1" t="n">
        <f aca="false">AH393+AG394</f>
        <v>12161.46</v>
      </c>
    </row>
    <row r="395" customFormat="false" ht="15" hidden="false" customHeight="true" outlineLevel="0" collapsed="false">
      <c r="AA395" s="1" t="n">
        <v>195</v>
      </c>
      <c r="AB395" s="145" t="n">
        <f aca="false">$D$3+195</f>
        <v>46338</v>
      </c>
      <c r="AC395" s="1" t="n">
        <f aca="false">MIN(12,1+DATEDIF($D$3,AB395,"M"))</f>
        <v>7</v>
      </c>
      <c r="AD395" s="1" t="n">
        <f aca="false">SUMPRODUCT(('Recurring Items'!$C$6:$C$56="Income")*('Recurring Items'!$H$6:$H$56&lt;&gt;"Skip")*IFERROR(N('Recurring Items'!$D$6:$D$56),0)*(('Recurring Items'!$E$6:$E$56="Monthly")*(DAY(AB395)='Recurring Items'!$F$6:$F$56)+('Recurring Items'!$E$6:$E$56="Bi-weekly")*(WEEKDAY(AB395)=IFERROR(WEEKDAY('Recurring Items'!$G$6:$G$56),0))*(MOD(AB395-IFERROR('Recurring Items'!$G$6:$G$56,0),14)=0)*(AB395&gt;=IFERROR('Recurring Items'!$G$6:$G$56,9000000000))+('Recurring Items'!$E$6:$E$56="Weekly")*(WEEKDAY(AB395)=IFERROR(WEEKDAY('Recurring Items'!$G$6:$G$56),0))*(AB395&gt;=IFERROR('Recurring Items'!$G$6:$G$56,9000000000))+('Recurring Items'!$E$6:$E$56="One-time")*(AB395='Recurring Items'!$G$6:$G$56)))</f>
        <v>0</v>
      </c>
      <c r="AE395" s="1" t="n">
        <f aca="false">SUMPRODUCT(('Recurring Items'!$C$6:$C$56="Expense")*('Recurring Items'!$H$6:$H$56&lt;&gt;"Skip")*IFERROR(N('Recurring Items'!$D$6:$D$56),0)*(('Recurring Items'!$E$6:$E$56="Monthly")*(DAY(AB395)='Recurring Items'!$F$6:$F$56)+('Recurring Items'!$E$6:$E$56="Bi-weekly")*(WEEKDAY(AB395)=IFERROR(WEEKDAY('Recurring Items'!$G$6:$G$56),0))*(MOD(AB395-IFERROR('Recurring Items'!$G$6:$G$56,0),14)=0)*(AB395&gt;=IFERROR('Recurring Items'!$G$6:$G$56,9000000000))+('Recurring Items'!$E$6:$E$56="Weekly")*(WEEKDAY(AB395)=IFERROR(WEEKDAY('Recurring Items'!$G$6:$G$56),0))*(AB395&gt;=IFERROR('Recurring Items'!$G$6:$G$56,9000000000))+('Recurring Items'!$E$6:$E$56="One-time")*(AB395='Recurring Items'!$G$6:$G$56)))</f>
        <v>167.68</v>
      </c>
      <c r="AF395" s="1" t="n">
        <f aca="false">(IF(AC395=1,'Debt Tracker'!$P$5&gt;0.01,INDEX('Debt Tracker'!$T$5:$AE$29,1,AC395-1)&gt;0.01))*('Recurring Items'!$H$8&lt;&gt;"Skip")*(DAY(AB395)='Recurring Items'!$F$8)*IFERROR(N('Recurring Items'!$D$8),0)+(IF(AC395=1,'Debt Tracker'!$P$6&gt;0.01,INDEX('Debt Tracker'!$T$5:$AE$29,2,AC395-1)&gt;0.01))*('Recurring Items'!$H$9&lt;&gt;"Skip")*(DAY(AB395)='Recurring Items'!$F$9)*IFERROR(N('Recurring Items'!$D$9),0)+(IF(AC395=1,'Debt Tracker'!$P$7&gt;0.01,INDEX('Debt Tracker'!$T$5:$AE$29,3,AC395-1)&gt;0.01))*('Recurring Items'!$H$10&lt;&gt;"Skip")*(DAY(AB395)='Recurring Items'!$F$10)*IFERROR(N('Recurring Items'!$D$10),0)+(IF(AC395=1,'Debt Tracker'!$P$8&gt;0.01,INDEX('Debt Tracker'!$T$5:$AE$29,4,AC395-1)&gt;0.01))*('Recurring Items'!$H$11&lt;&gt;"Skip")*(DAY(AB395)='Recurring Items'!$F$11)*IFERROR(N('Recurring Items'!$D$11),0)+(IF(AC395=1,'Debt Tracker'!$P$9&gt;0.01,INDEX('Debt Tracker'!$T$5:$AE$29,5,AC395-1)&gt;0.01))*('Recurring Items'!$H$12&lt;&gt;"Skip")*(DAY(AB395)='Recurring Items'!$F$12)*IFERROR(N('Recurring Items'!$D$12),0)+(IF(AC395=1,'Debt Tracker'!$P$10&gt;0.01,INDEX('Debt Tracker'!$T$5:$AE$29,6,AC395-1)&gt;0.01))*('Recurring Items'!$H$13&lt;&gt;"Skip")*(DAY(AB395)='Recurring Items'!$F$13)*IFERROR(N('Recurring Items'!$D$13),0)+(IF(AC395=1,'Debt Tracker'!$P$11&gt;0.01,INDEX('Debt Tracker'!$T$5:$AE$29,7,AC395-1)&gt;0.01))*('Recurring Items'!$H$14&lt;&gt;"Skip")*(DAY(AB395)='Recurring Items'!$F$14)*IFERROR(N('Recurring Items'!$D$14),0)+(IF(AC395=1,'Debt Tracker'!$P$12&gt;0.01,INDEX('Debt Tracker'!$T$5:$AE$29,8,AC395-1)&gt;0.01))*('Recurring Items'!$H$15&lt;&gt;"Skip")*(DAY(AB395)='Recurring Items'!$F$15)*IFERROR(N('Recurring Items'!$D$15),0)+(IF(AC395=1,'Debt Tracker'!$P$13&gt;0.01,INDEX('Debt Tracker'!$T$5:$AE$29,9,AC395-1)&gt;0.01))*('Recurring Items'!$H$16&lt;&gt;"Skip")*(DAY(AB395)='Recurring Items'!$F$16)*IFERROR(N('Recurring Items'!$D$16),0)+(IF(AC395=1,'Debt Tracker'!$P$14&gt;0.01,INDEX('Debt Tracker'!$T$5:$AE$29,10,AC395-1)&gt;0.01))*('Recurring Items'!$H$17&lt;&gt;"Skip")*(DAY(AB395)='Recurring Items'!$F$17)*IFERROR(N('Recurring Items'!$D$17),0)+(IF(AC395=1,'Debt Tracker'!$P$15&gt;0.01,INDEX('Debt Tracker'!$T$5:$AE$29,11,AC395-1)&gt;0.01))*('Recurring Items'!$H$18&lt;&gt;"Skip")*(DAY(AB395)='Recurring Items'!$F$18)*IFERROR(N('Recurring Items'!$D$18),0)+(IF(AC395=1,'Debt Tracker'!$P$16&gt;0.01,INDEX('Debt Tracker'!$T$5:$AE$29,12,AC395-1)&gt;0.01))*('Recurring Items'!$H$19&lt;&gt;"Skip")*(DAY(AB395)='Recurring Items'!$F$19)*IFERROR(N('Recurring Items'!$D$19),0)+(IF(AC395=1,'Debt Tracker'!$P$17&gt;0.01,INDEX('Debt Tracker'!$T$5:$AE$29,13,AC395-1)&gt;0.01))*('Recurring Items'!$H$20&lt;&gt;"Skip")*(DAY(AB395)='Recurring Items'!$F$20)*IFERROR(N('Recurring Items'!$D$20),0)+(IF(AC395=1,'Debt Tracker'!$P$18&gt;0.01,INDEX('Debt Tracker'!$T$5:$AE$29,14,AC395-1)&gt;0.01))*('Recurring Items'!$H$21&lt;&gt;"Skip")*(DAY(AB395)='Recurring Items'!$F$21)*IFERROR(N('Recurring Items'!$D$21),0)+(IF(AC395=1,'Debt Tracker'!$P$19&gt;0.01,INDEX('Debt Tracker'!$T$5:$AE$29,15,AC395-1)&gt;0.01))*('Recurring Items'!$H$22&lt;&gt;"Skip")*(DAY(AB395)='Recurring Items'!$F$22)*IFERROR(N('Recurring Items'!$D$22),0)+(IF(AC395=1,'Debt Tracker'!$P$20&gt;0.01,INDEX('Debt Tracker'!$T$5:$AE$29,16,AC395-1)&gt;0.01))*('Recurring Items'!$H$23&lt;&gt;"Skip")*(DAY(AB395)='Recurring Items'!$F$23)*IFERROR(N('Recurring Items'!$D$23),0)+(IF(AC395=1,'Debt Tracker'!$P$21&gt;0.01,INDEX('Debt Tracker'!$T$5:$AE$29,17,AC395-1)&gt;0.01))*('Recurring Items'!$H$24&lt;&gt;"Skip")*(DAY(AB395)='Recurring Items'!$F$24)*IFERROR(N('Recurring Items'!$D$24),0)+(IF(AC395=1,'Debt Tracker'!$P$22&gt;0.01,INDEX('Debt Tracker'!$T$5:$AE$29,18,AC395-1)&gt;0.01))*('Recurring Items'!$H$25&lt;&gt;"Skip")*(DAY(AB395)='Recurring Items'!$F$25)*IFERROR(N('Recurring Items'!$D$25),0)+(IF(AC395=1,'Debt Tracker'!$P$23&gt;0.01,INDEX('Debt Tracker'!$T$5:$AE$29,19,AC395-1)&gt;0.01))*('Recurring Items'!$H$26&lt;&gt;"Skip")*(DAY(AB395)='Recurring Items'!$F$26)*IFERROR(N('Recurring Items'!$D$26),0)+(IF(AC395=1,'Debt Tracker'!$P$24&gt;0.01,INDEX('Debt Tracker'!$T$5:$AE$29,20,AC395-1)&gt;0.01))*('Recurring Items'!$H$27&lt;&gt;"Skip")*(DAY(AB395)='Recurring Items'!$F$27)*IFERROR(N('Recurring Items'!$D$27),0)+(IF(AC395=1,'Debt Tracker'!$P$25&gt;0.01,INDEX('Debt Tracker'!$T$5:$AE$29,21,AC395-1)&gt;0.01))*('Recurring Items'!$H$28&lt;&gt;"Skip")*(DAY(AB395)='Recurring Items'!$F$28)*IFERROR(N('Recurring Items'!$D$28),0)+(IF(AC395=1,'Debt Tracker'!$P$26&gt;0.01,INDEX('Debt Tracker'!$T$5:$AE$29,22,AC395-1)&gt;0.01))*('Recurring Items'!$H$29&lt;&gt;"Skip")*(DAY(AB395)='Recurring Items'!$F$29)*IFERROR(N('Recurring Items'!$D$29),0)+(IF(AC395=1,'Debt Tracker'!$P$27&gt;0.01,INDEX('Debt Tracker'!$T$5:$AE$29,23,AC395-1)&gt;0.01))*('Recurring Items'!$H$30&lt;&gt;"Skip")*(DAY(AB395)='Recurring Items'!$F$30)*IFERROR(N('Recurring Items'!$D$30),0)+(IF(AC395=1,'Debt Tracker'!$P$28&gt;0.01,INDEX('Debt Tracker'!$T$5:$AE$29,24,AC395-1)&gt;0.01))*('Recurring Items'!$H$31&lt;&gt;"Skip")*(DAY(AB395)='Recurring Items'!$F$31)*IFERROR(N('Recurring Items'!$D$31),0)+(IF(AC395=1,'Debt Tracker'!$P$29&gt;0.01,INDEX('Debt Tracker'!$T$5:$AE$29,25,AC395-1)&gt;0.01))*('Recurring Items'!$H$32&lt;&gt;"Skip")*(DAY(AB395)='Recurring Items'!$F$32)*IFERROR(N('Recurring Items'!$D$32),0)</f>
        <v>0</v>
      </c>
      <c r="AG395" s="1" t="n">
        <f aca="false">AD395-AE395-AF395</f>
        <v>-167.68</v>
      </c>
      <c r="AH395" s="1" t="n">
        <f aca="false">AH394+AG395</f>
        <v>11993.78</v>
      </c>
    </row>
    <row r="396" customFormat="false" ht="15" hidden="false" customHeight="true" outlineLevel="0" collapsed="false">
      <c r="AA396" s="1" t="n">
        <v>196</v>
      </c>
      <c r="AB396" s="145" t="n">
        <f aca="false">$D$3+196</f>
        <v>46339</v>
      </c>
      <c r="AC396" s="1" t="n">
        <f aca="false">MIN(12,1+DATEDIF($D$3,AB396,"M"))</f>
        <v>7</v>
      </c>
      <c r="AD396" s="1" t="n">
        <f aca="false">SUMPRODUCT(('Recurring Items'!$C$6:$C$56="Income")*('Recurring Items'!$H$6:$H$56&lt;&gt;"Skip")*IFERROR(N('Recurring Items'!$D$6:$D$56),0)*(('Recurring Items'!$E$6:$E$56="Monthly")*(DAY(AB396)='Recurring Items'!$F$6:$F$56)+('Recurring Items'!$E$6:$E$56="Bi-weekly")*(WEEKDAY(AB396)=IFERROR(WEEKDAY('Recurring Items'!$G$6:$G$56),0))*(MOD(AB396-IFERROR('Recurring Items'!$G$6:$G$56,0),14)=0)*(AB396&gt;=IFERROR('Recurring Items'!$G$6:$G$56,9000000000))+('Recurring Items'!$E$6:$E$56="Weekly")*(WEEKDAY(AB396)=IFERROR(WEEKDAY('Recurring Items'!$G$6:$G$56),0))*(AB396&gt;=IFERROR('Recurring Items'!$G$6:$G$56,9000000000))+('Recurring Items'!$E$6:$E$56="One-time")*(AB396='Recurring Items'!$G$6:$G$56)))</f>
        <v>3819.79</v>
      </c>
      <c r="AE396" s="1" t="n">
        <f aca="false">SUMPRODUCT(('Recurring Items'!$C$6:$C$56="Expense")*('Recurring Items'!$H$6:$H$56&lt;&gt;"Skip")*IFERROR(N('Recurring Items'!$D$6:$D$56),0)*(('Recurring Items'!$E$6:$E$56="Monthly")*(DAY(AB396)='Recurring Items'!$F$6:$F$56)+('Recurring Items'!$E$6:$E$56="Bi-weekly")*(WEEKDAY(AB396)=IFERROR(WEEKDAY('Recurring Items'!$G$6:$G$56),0))*(MOD(AB396-IFERROR('Recurring Items'!$G$6:$G$56,0),14)=0)*(AB396&gt;=IFERROR('Recurring Items'!$G$6:$G$56,9000000000))+('Recurring Items'!$E$6:$E$56="Weekly")*(WEEKDAY(AB396)=IFERROR(WEEKDAY('Recurring Items'!$G$6:$G$56),0))*(AB396&gt;=IFERROR('Recurring Items'!$G$6:$G$56,9000000000))+('Recurring Items'!$E$6:$E$56="One-time")*(AB396='Recurring Items'!$G$6:$G$56)))</f>
        <v>460</v>
      </c>
      <c r="AF396" s="1" t="n">
        <f aca="false">(IF(AC396=1,'Debt Tracker'!$P$5&gt;0.01,INDEX('Debt Tracker'!$T$5:$AE$29,1,AC396-1)&gt;0.01))*('Recurring Items'!$H$8&lt;&gt;"Skip")*(DAY(AB396)='Recurring Items'!$F$8)*IFERROR(N('Recurring Items'!$D$8),0)+(IF(AC396=1,'Debt Tracker'!$P$6&gt;0.01,INDEX('Debt Tracker'!$T$5:$AE$29,2,AC396-1)&gt;0.01))*('Recurring Items'!$H$9&lt;&gt;"Skip")*(DAY(AB396)='Recurring Items'!$F$9)*IFERROR(N('Recurring Items'!$D$9),0)+(IF(AC396=1,'Debt Tracker'!$P$7&gt;0.01,INDEX('Debt Tracker'!$T$5:$AE$29,3,AC396-1)&gt;0.01))*('Recurring Items'!$H$10&lt;&gt;"Skip")*(DAY(AB396)='Recurring Items'!$F$10)*IFERROR(N('Recurring Items'!$D$10),0)+(IF(AC396=1,'Debt Tracker'!$P$8&gt;0.01,INDEX('Debt Tracker'!$T$5:$AE$29,4,AC396-1)&gt;0.01))*('Recurring Items'!$H$11&lt;&gt;"Skip")*(DAY(AB396)='Recurring Items'!$F$11)*IFERROR(N('Recurring Items'!$D$11),0)+(IF(AC396=1,'Debt Tracker'!$P$9&gt;0.01,INDEX('Debt Tracker'!$T$5:$AE$29,5,AC396-1)&gt;0.01))*('Recurring Items'!$H$12&lt;&gt;"Skip")*(DAY(AB396)='Recurring Items'!$F$12)*IFERROR(N('Recurring Items'!$D$12),0)+(IF(AC396=1,'Debt Tracker'!$P$10&gt;0.01,INDEX('Debt Tracker'!$T$5:$AE$29,6,AC396-1)&gt;0.01))*('Recurring Items'!$H$13&lt;&gt;"Skip")*(DAY(AB396)='Recurring Items'!$F$13)*IFERROR(N('Recurring Items'!$D$13),0)+(IF(AC396=1,'Debt Tracker'!$P$11&gt;0.01,INDEX('Debt Tracker'!$T$5:$AE$29,7,AC396-1)&gt;0.01))*('Recurring Items'!$H$14&lt;&gt;"Skip")*(DAY(AB396)='Recurring Items'!$F$14)*IFERROR(N('Recurring Items'!$D$14),0)+(IF(AC396=1,'Debt Tracker'!$P$12&gt;0.01,INDEX('Debt Tracker'!$T$5:$AE$29,8,AC396-1)&gt;0.01))*('Recurring Items'!$H$15&lt;&gt;"Skip")*(DAY(AB396)='Recurring Items'!$F$15)*IFERROR(N('Recurring Items'!$D$15),0)+(IF(AC396=1,'Debt Tracker'!$P$13&gt;0.01,INDEX('Debt Tracker'!$T$5:$AE$29,9,AC396-1)&gt;0.01))*('Recurring Items'!$H$16&lt;&gt;"Skip")*(DAY(AB396)='Recurring Items'!$F$16)*IFERROR(N('Recurring Items'!$D$16),0)+(IF(AC396=1,'Debt Tracker'!$P$14&gt;0.01,INDEX('Debt Tracker'!$T$5:$AE$29,10,AC396-1)&gt;0.01))*('Recurring Items'!$H$17&lt;&gt;"Skip")*(DAY(AB396)='Recurring Items'!$F$17)*IFERROR(N('Recurring Items'!$D$17),0)+(IF(AC396=1,'Debt Tracker'!$P$15&gt;0.01,INDEX('Debt Tracker'!$T$5:$AE$29,11,AC396-1)&gt;0.01))*('Recurring Items'!$H$18&lt;&gt;"Skip")*(DAY(AB396)='Recurring Items'!$F$18)*IFERROR(N('Recurring Items'!$D$18),0)+(IF(AC396=1,'Debt Tracker'!$P$16&gt;0.01,INDEX('Debt Tracker'!$T$5:$AE$29,12,AC396-1)&gt;0.01))*('Recurring Items'!$H$19&lt;&gt;"Skip")*(DAY(AB396)='Recurring Items'!$F$19)*IFERROR(N('Recurring Items'!$D$19),0)+(IF(AC396=1,'Debt Tracker'!$P$17&gt;0.01,INDEX('Debt Tracker'!$T$5:$AE$29,13,AC396-1)&gt;0.01))*('Recurring Items'!$H$20&lt;&gt;"Skip")*(DAY(AB396)='Recurring Items'!$F$20)*IFERROR(N('Recurring Items'!$D$20),0)+(IF(AC396=1,'Debt Tracker'!$P$18&gt;0.01,INDEX('Debt Tracker'!$T$5:$AE$29,14,AC396-1)&gt;0.01))*('Recurring Items'!$H$21&lt;&gt;"Skip")*(DAY(AB396)='Recurring Items'!$F$21)*IFERROR(N('Recurring Items'!$D$21),0)+(IF(AC396=1,'Debt Tracker'!$P$19&gt;0.01,INDEX('Debt Tracker'!$T$5:$AE$29,15,AC396-1)&gt;0.01))*('Recurring Items'!$H$22&lt;&gt;"Skip")*(DAY(AB396)='Recurring Items'!$F$22)*IFERROR(N('Recurring Items'!$D$22),0)+(IF(AC396=1,'Debt Tracker'!$P$20&gt;0.01,INDEX('Debt Tracker'!$T$5:$AE$29,16,AC396-1)&gt;0.01))*('Recurring Items'!$H$23&lt;&gt;"Skip")*(DAY(AB396)='Recurring Items'!$F$23)*IFERROR(N('Recurring Items'!$D$23),0)+(IF(AC396=1,'Debt Tracker'!$P$21&gt;0.01,INDEX('Debt Tracker'!$T$5:$AE$29,17,AC396-1)&gt;0.01))*('Recurring Items'!$H$24&lt;&gt;"Skip")*(DAY(AB396)='Recurring Items'!$F$24)*IFERROR(N('Recurring Items'!$D$24),0)+(IF(AC396=1,'Debt Tracker'!$P$22&gt;0.01,INDEX('Debt Tracker'!$T$5:$AE$29,18,AC396-1)&gt;0.01))*('Recurring Items'!$H$25&lt;&gt;"Skip")*(DAY(AB396)='Recurring Items'!$F$25)*IFERROR(N('Recurring Items'!$D$25),0)+(IF(AC396=1,'Debt Tracker'!$P$23&gt;0.01,INDEX('Debt Tracker'!$T$5:$AE$29,19,AC396-1)&gt;0.01))*('Recurring Items'!$H$26&lt;&gt;"Skip")*(DAY(AB396)='Recurring Items'!$F$26)*IFERROR(N('Recurring Items'!$D$26),0)+(IF(AC396=1,'Debt Tracker'!$P$24&gt;0.01,INDEX('Debt Tracker'!$T$5:$AE$29,20,AC396-1)&gt;0.01))*('Recurring Items'!$H$27&lt;&gt;"Skip")*(DAY(AB396)='Recurring Items'!$F$27)*IFERROR(N('Recurring Items'!$D$27),0)+(IF(AC396=1,'Debt Tracker'!$P$25&gt;0.01,INDEX('Debt Tracker'!$T$5:$AE$29,21,AC396-1)&gt;0.01))*('Recurring Items'!$H$28&lt;&gt;"Skip")*(DAY(AB396)='Recurring Items'!$F$28)*IFERROR(N('Recurring Items'!$D$28),0)+(IF(AC396=1,'Debt Tracker'!$P$26&gt;0.01,INDEX('Debt Tracker'!$T$5:$AE$29,22,AC396-1)&gt;0.01))*('Recurring Items'!$H$29&lt;&gt;"Skip")*(DAY(AB396)='Recurring Items'!$F$29)*IFERROR(N('Recurring Items'!$D$29),0)+(IF(AC396=1,'Debt Tracker'!$P$27&gt;0.01,INDEX('Debt Tracker'!$T$5:$AE$29,23,AC396-1)&gt;0.01))*('Recurring Items'!$H$30&lt;&gt;"Skip")*(DAY(AB396)='Recurring Items'!$F$30)*IFERROR(N('Recurring Items'!$D$30),0)+(IF(AC396=1,'Debt Tracker'!$P$28&gt;0.01,INDEX('Debt Tracker'!$T$5:$AE$29,24,AC396-1)&gt;0.01))*('Recurring Items'!$H$31&lt;&gt;"Skip")*(DAY(AB396)='Recurring Items'!$F$31)*IFERROR(N('Recurring Items'!$D$31),0)+(IF(AC396=1,'Debt Tracker'!$P$29&gt;0.01,INDEX('Debt Tracker'!$T$5:$AE$29,25,AC396-1)&gt;0.01))*('Recurring Items'!$H$32&lt;&gt;"Skip")*(DAY(AB396)='Recurring Items'!$F$32)*IFERROR(N('Recurring Items'!$D$32),0)</f>
        <v>40</v>
      </c>
      <c r="AG396" s="1" t="n">
        <f aca="false">AD396-AE396-AF396</f>
        <v>3319.79</v>
      </c>
      <c r="AH396" s="1" t="n">
        <f aca="false">AH395+AG396</f>
        <v>15313.57</v>
      </c>
    </row>
    <row r="397" customFormat="false" ht="15" hidden="false" customHeight="true" outlineLevel="0" collapsed="false">
      <c r="AA397" s="1" t="n">
        <v>197</v>
      </c>
      <c r="AB397" s="145" t="n">
        <f aca="false">$D$3+197</f>
        <v>46340</v>
      </c>
      <c r="AC397" s="1" t="n">
        <f aca="false">MIN(12,1+DATEDIF($D$3,AB397,"M"))</f>
        <v>7</v>
      </c>
      <c r="AD397" s="1" t="n">
        <f aca="false">SUMPRODUCT(('Recurring Items'!$C$6:$C$56="Income")*('Recurring Items'!$H$6:$H$56&lt;&gt;"Skip")*IFERROR(N('Recurring Items'!$D$6:$D$56),0)*(('Recurring Items'!$E$6:$E$56="Monthly")*(DAY(AB397)='Recurring Items'!$F$6:$F$56)+('Recurring Items'!$E$6:$E$56="Bi-weekly")*(WEEKDAY(AB397)=IFERROR(WEEKDAY('Recurring Items'!$G$6:$G$56),0))*(MOD(AB397-IFERROR('Recurring Items'!$G$6:$G$56,0),14)=0)*(AB397&gt;=IFERROR('Recurring Items'!$G$6:$G$56,9000000000))+('Recurring Items'!$E$6:$E$56="Weekly")*(WEEKDAY(AB397)=IFERROR(WEEKDAY('Recurring Items'!$G$6:$G$56),0))*(AB397&gt;=IFERROR('Recurring Items'!$G$6:$G$56,9000000000))+('Recurring Items'!$E$6:$E$56="One-time")*(AB397='Recurring Items'!$G$6:$G$56)))</f>
        <v>0</v>
      </c>
      <c r="AE397" s="1" t="n">
        <f aca="false">SUMPRODUCT(('Recurring Items'!$C$6:$C$56="Expense")*('Recurring Items'!$H$6:$H$56&lt;&gt;"Skip")*IFERROR(N('Recurring Items'!$D$6:$D$56),0)*(('Recurring Items'!$E$6:$E$56="Monthly")*(DAY(AB397)='Recurring Items'!$F$6:$F$56)+('Recurring Items'!$E$6:$E$56="Bi-weekly")*(WEEKDAY(AB397)=IFERROR(WEEKDAY('Recurring Items'!$G$6:$G$56),0))*(MOD(AB397-IFERROR('Recurring Items'!$G$6:$G$56,0),14)=0)*(AB397&gt;=IFERROR('Recurring Items'!$G$6:$G$56,9000000000))+('Recurring Items'!$E$6:$E$56="Weekly")*(WEEKDAY(AB397)=IFERROR(WEEKDAY('Recurring Items'!$G$6:$G$56),0))*(AB397&gt;=IFERROR('Recurring Items'!$G$6:$G$56,9000000000))+('Recurring Items'!$E$6:$E$56="One-time")*(AB397='Recurring Items'!$G$6:$G$56)))</f>
        <v>0</v>
      </c>
      <c r="AF397" s="1" t="n">
        <f aca="false">(IF(AC397=1,'Debt Tracker'!$P$5&gt;0.01,INDEX('Debt Tracker'!$T$5:$AE$29,1,AC397-1)&gt;0.01))*('Recurring Items'!$H$8&lt;&gt;"Skip")*(DAY(AB397)='Recurring Items'!$F$8)*IFERROR(N('Recurring Items'!$D$8),0)+(IF(AC397=1,'Debt Tracker'!$P$6&gt;0.01,INDEX('Debt Tracker'!$T$5:$AE$29,2,AC397-1)&gt;0.01))*('Recurring Items'!$H$9&lt;&gt;"Skip")*(DAY(AB397)='Recurring Items'!$F$9)*IFERROR(N('Recurring Items'!$D$9),0)+(IF(AC397=1,'Debt Tracker'!$P$7&gt;0.01,INDEX('Debt Tracker'!$T$5:$AE$29,3,AC397-1)&gt;0.01))*('Recurring Items'!$H$10&lt;&gt;"Skip")*(DAY(AB397)='Recurring Items'!$F$10)*IFERROR(N('Recurring Items'!$D$10),0)+(IF(AC397=1,'Debt Tracker'!$P$8&gt;0.01,INDEX('Debt Tracker'!$T$5:$AE$29,4,AC397-1)&gt;0.01))*('Recurring Items'!$H$11&lt;&gt;"Skip")*(DAY(AB397)='Recurring Items'!$F$11)*IFERROR(N('Recurring Items'!$D$11),0)+(IF(AC397=1,'Debt Tracker'!$P$9&gt;0.01,INDEX('Debt Tracker'!$T$5:$AE$29,5,AC397-1)&gt;0.01))*('Recurring Items'!$H$12&lt;&gt;"Skip")*(DAY(AB397)='Recurring Items'!$F$12)*IFERROR(N('Recurring Items'!$D$12),0)+(IF(AC397=1,'Debt Tracker'!$P$10&gt;0.01,INDEX('Debt Tracker'!$T$5:$AE$29,6,AC397-1)&gt;0.01))*('Recurring Items'!$H$13&lt;&gt;"Skip")*(DAY(AB397)='Recurring Items'!$F$13)*IFERROR(N('Recurring Items'!$D$13),0)+(IF(AC397=1,'Debt Tracker'!$P$11&gt;0.01,INDEX('Debt Tracker'!$T$5:$AE$29,7,AC397-1)&gt;0.01))*('Recurring Items'!$H$14&lt;&gt;"Skip")*(DAY(AB397)='Recurring Items'!$F$14)*IFERROR(N('Recurring Items'!$D$14),0)+(IF(AC397=1,'Debt Tracker'!$P$12&gt;0.01,INDEX('Debt Tracker'!$T$5:$AE$29,8,AC397-1)&gt;0.01))*('Recurring Items'!$H$15&lt;&gt;"Skip")*(DAY(AB397)='Recurring Items'!$F$15)*IFERROR(N('Recurring Items'!$D$15),0)+(IF(AC397=1,'Debt Tracker'!$P$13&gt;0.01,INDEX('Debt Tracker'!$T$5:$AE$29,9,AC397-1)&gt;0.01))*('Recurring Items'!$H$16&lt;&gt;"Skip")*(DAY(AB397)='Recurring Items'!$F$16)*IFERROR(N('Recurring Items'!$D$16),0)+(IF(AC397=1,'Debt Tracker'!$P$14&gt;0.01,INDEX('Debt Tracker'!$T$5:$AE$29,10,AC397-1)&gt;0.01))*('Recurring Items'!$H$17&lt;&gt;"Skip")*(DAY(AB397)='Recurring Items'!$F$17)*IFERROR(N('Recurring Items'!$D$17),0)+(IF(AC397=1,'Debt Tracker'!$P$15&gt;0.01,INDEX('Debt Tracker'!$T$5:$AE$29,11,AC397-1)&gt;0.01))*('Recurring Items'!$H$18&lt;&gt;"Skip")*(DAY(AB397)='Recurring Items'!$F$18)*IFERROR(N('Recurring Items'!$D$18),0)+(IF(AC397=1,'Debt Tracker'!$P$16&gt;0.01,INDEX('Debt Tracker'!$T$5:$AE$29,12,AC397-1)&gt;0.01))*('Recurring Items'!$H$19&lt;&gt;"Skip")*(DAY(AB397)='Recurring Items'!$F$19)*IFERROR(N('Recurring Items'!$D$19),0)+(IF(AC397=1,'Debt Tracker'!$P$17&gt;0.01,INDEX('Debt Tracker'!$T$5:$AE$29,13,AC397-1)&gt;0.01))*('Recurring Items'!$H$20&lt;&gt;"Skip")*(DAY(AB397)='Recurring Items'!$F$20)*IFERROR(N('Recurring Items'!$D$20),0)+(IF(AC397=1,'Debt Tracker'!$P$18&gt;0.01,INDEX('Debt Tracker'!$T$5:$AE$29,14,AC397-1)&gt;0.01))*('Recurring Items'!$H$21&lt;&gt;"Skip")*(DAY(AB397)='Recurring Items'!$F$21)*IFERROR(N('Recurring Items'!$D$21),0)+(IF(AC397=1,'Debt Tracker'!$P$19&gt;0.01,INDEX('Debt Tracker'!$T$5:$AE$29,15,AC397-1)&gt;0.01))*('Recurring Items'!$H$22&lt;&gt;"Skip")*(DAY(AB397)='Recurring Items'!$F$22)*IFERROR(N('Recurring Items'!$D$22),0)+(IF(AC397=1,'Debt Tracker'!$P$20&gt;0.01,INDEX('Debt Tracker'!$T$5:$AE$29,16,AC397-1)&gt;0.01))*('Recurring Items'!$H$23&lt;&gt;"Skip")*(DAY(AB397)='Recurring Items'!$F$23)*IFERROR(N('Recurring Items'!$D$23),0)+(IF(AC397=1,'Debt Tracker'!$P$21&gt;0.01,INDEX('Debt Tracker'!$T$5:$AE$29,17,AC397-1)&gt;0.01))*('Recurring Items'!$H$24&lt;&gt;"Skip")*(DAY(AB397)='Recurring Items'!$F$24)*IFERROR(N('Recurring Items'!$D$24),0)+(IF(AC397=1,'Debt Tracker'!$P$22&gt;0.01,INDEX('Debt Tracker'!$T$5:$AE$29,18,AC397-1)&gt;0.01))*('Recurring Items'!$H$25&lt;&gt;"Skip")*(DAY(AB397)='Recurring Items'!$F$25)*IFERROR(N('Recurring Items'!$D$25),0)+(IF(AC397=1,'Debt Tracker'!$P$23&gt;0.01,INDEX('Debt Tracker'!$T$5:$AE$29,19,AC397-1)&gt;0.01))*('Recurring Items'!$H$26&lt;&gt;"Skip")*(DAY(AB397)='Recurring Items'!$F$26)*IFERROR(N('Recurring Items'!$D$26),0)+(IF(AC397=1,'Debt Tracker'!$P$24&gt;0.01,INDEX('Debt Tracker'!$T$5:$AE$29,20,AC397-1)&gt;0.01))*('Recurring Items'!$H$27&lt;&gt;"Skip")*(DAY(AB397)='Recurring Items'!$F$27)*IFERROR(N('Recurring Items'!$D$27),0)+(IF(AC397=1,'Debt Tracker'!$P$25&gt;0.01,INDEX('Debt Tracker'!$T$5:$AE$29,21,AC397-1)&gt;0.01))*('Recurring Items'!$H$28&lt;&gt;"Skip")*(DAY(AB397)='Recurring Items'!$F$28)*IFERROR(N('Recurring Items'!$D$28),0)+(IF(AC397=1,'Debt Tracker'!$P$26&gt;0.01,INDEX('Debt Tracker'!$T$5:$AE$29,22,AC397-1)&gt;0.01))*('Recurring Items'!$H$29&lt;&gt;"Skip")*(DAY(AB397)='Recurring Items'!$F$29)*IFERROR(N('Recurring Items'!$D$29),0)+(IF(AC397=1,'Debt Tracker'!$P$27&gt;0.01,INDEX('Debt Tracker'!$T$5:$AE$29,23,AC397-1)&gt;0.01))*('Recurring Items'!$H$30&lt;&gt;"Skip")*(DAY(AB397)='Recurring Items'!$F$30)*IFERROR(N('Recurring Items'!$D$30),0)+(IF(AC397=1,'Debt Tracker'!$P$28&gt;0.01,INDEX('Debt Tracker'!$T$5:$AE$29,24,AC397-1)&gt;0.01))*('Recurring Items'!$H$31&lt;&gt;"Skip")*(DAY(AB397)='Recurring Items'!$F$31)*IFERROR(N('Recurring Items'!$D$31),0)+(IF(AC397=1,'Debt Tracker'!$P$29&gt;0.01,INDEX('Debt Tracker'!$T$5:$AE$29,25,AC397-1)&gt;0.01))*('Recurring Items'!$H$32&lt;&gt;"Skip")*(DAY(AB397)='Recurring Items'!$F$32)*IFERROR(N('Recurring Items'!$D$32),0)</f>
        <v>95.51</v>
      </c>
      <c r="AG397" s="1" t="n">
        <f aca="false">AD397-AE397-AF397</f>
        <v>-95.51</v>
      </c>
      <c r="AH397" s="1" t="n">
        <f aca="false">AH396+AG397</f>
        <v>15218.06</v>
      </c>
    </row>
    <row r="398" customFormat="false" ht="15" hidden="false" customHeight="true" outlineLevel="0" collapsed="false">
      <c r="AA398" s="1" t="n">
        <v>198</v>
      </c>
      <c r="AB398" s="145" t="n">
        <f aca="false">$D$3+198</f>
        <v>46341</v>
      </c>
      <c r="AC398" s="1" t="n">
        <f aca="false">MIN(12,1+DATEDIF($D$3,AB398,"M"))</f>
        <v>7</v>
      </c>
      <c r="AD398" s="1" t="n">
        <f aca="false">SUMPRODUCT(('Recurring Items'!$C$6:$C$56="Income")*('Recurring Items'!$H$6:$H$56&lt;&gt;"Skip")*IFERROR(N('Recurring Items'!$D$6:$D$56),0)*(('Recurring Items'!$E$6:$E$56="Monthly")*(DAY(AB398)='Recurring Items'!$F$6:$F$56)+('Recurring Items'!$E$6:$E$56="Bi-weekly")*(WEEKDAY(AB398)=IFERROR(WEEKDAY('Recurring Items'!$G$6:$G$56),0))*(MOD(AB398-IFERROR('Recurring Items'!$G$6:$G$56,0),14)=0)*(AB398&gt;=IFERROR('Recurring Items'!$G$6:$G$56,9000000000))+('Recurring Items'!$E$6:$E$56="Weekly")*(WEEKDAY(AB398)=IFERROR(WEEKDAY('Recurring Items'!$G$6:$G$56),0))*(AB398&gt;=IFERROR('Recurring Items'!$G$6:$G$56,9000000000))+('Recurring Items'!$E$6:$E$56="One-time")*(AB398='Recurring Items'!$G$6:$G$56)))</f>
        <v>0</v>
      </c>
      <c r="AE398" s="1" t="n">
        <f aca="false">SUMPRODUCT(('Recurring Items'!$C$6:$C$56="Expense")*('Recurring Items'!$H$6:$H$56&lt;&gt;"Skip")*IFERROR(N('Recurring Items'!$D$6:$D$56),0)*(('Recurring Items'!$E$6:$E$56="Monthly")*(DAY(AB398)='Recurring Items'!$F$6:$F$56)+('Recurring Items'!$E$6:$E$56="Bi-weekly")*(WEEKDAY(AB398)=IFERROR(WEEKDAY('Recurring Items'!$G$6:$G$56),0))*(MOD(AB398-IFERROR('Recurring Items'!$G$6:$G$56,0),14)=0)*(AB398&gt;=IFERROR('Recurring Items'!$G$6:$G$56,9000000000))+('Recurring Items'!$E$6:$E$56="Weekly")*(WEEKDAY(AB398)=IFERROR(WEEKDAY('Recurring Items'!$G$6:$G$56),0))*(AB398&gt;=IFERROR('Recurring Items'!$G$6:$G$56,9000000000))+('Recurring Items'!$E$6:$E$56="One-time")*(AB398='Recurring Items'!$G$6:$G$56)))</f>
        <v>2990.57</v>
      </c>
      <c r="AF398" s="1" t="n">
        <f aca="false">(IF(AC398=1,'Debt Tracker'!$P$5&gt;0.01,INDEX('Debt Tracker'!$T$5:$AE$29,1,AC398-1)&gt;0.01))*('Recurring Items'!$H$8&lt;&gt;"Skip")*(DAY(AB398)='Recurring Items'!$F$8)*IFERROR(N('Recurring Items'!$D$8),0)+(IF(AC398=1,'Debt Tracker'!$P$6&gt;0.01,INDEX('Debt Tracker'!$T$5:$AE$29,2,AC398-1)&gt;0.01))*('Recurring Items'!$H$9&lt;&gt;"Skip")*(DAY(AB398)='Recurring Items'!$F$9)*IFERROR(N('Recurring Items'!$D$9),0)+(IF(AC398=1,'Debt Tracker'!$P$7&gt;0.01,INDEX('Debt Tracker'!$T$5:$AE$29,3,AC398-1)&gt;0.01))*('Recurring Items'!$H$10&lt;&gt;"Skip")*(DAY(AB398)='Recurring Items'!$F$10)*IFERROR(N('Recurring Items'!$D$10),0)+(IF(AC398=1,'Debt Tracker'!$P$8&gt;0.01,INDEX('Debt Tracker'!$T$5:$AE$29,4,AC398-1)&gt;0.01))*('Recurring Items'!$H$11&lt;&gt;"Skip")*(DAY(AB398)='Recurring Items'!$F$11)*IFERROR(N('Recurring Items'!$D$11),0)+(IF(AC398=1,'Debt Tracker'!$P$9&gt;0.01,INDEX('Debt Tracker'!$T$5:$AE$29,5,AC398-1)&gt;0.01))*('Recurring Items'!$H$12&lt;&gt;"Skip")*(DAY(AB398)='Recurring Items'!$F$12)*IFERROR(N('Recurring Items'!$D$12),0)+(IF(AC398=1,'Debt Tracker'!$P$10&gt;0.01,INDEX('Debt Tracker'!$T$5:$AE$29,6,AC398-1)&gt;0.01))*('Recurring Items'!$H$13&lt;&gt;"Skip")*(DAY(AB398)='Recurring Items'!$F$13)*IFERROR(N('Recurring Items'!$D$13),0)+(IF(AC398=1,'Debt Tracker'!$P$11&gt;0.01,INDEX('Debt Tracker'!$T$5:$AE$29,7,AC398-1)&gt;0.01))*('Recurring Items'!$H$14&lt;&gt;"Skip")*(DAY(AB398)='Recurring Items'!$F$14)*IFERROR(N('Recurring Items'!$D$14),0)+(IF(AC398=1,'Debt Tracker'!$P$12&gt;0.01,INDEX('Debt Tracker'!$T$5:$AE$29,8,AC398-1)&gt;0.01))*('Recurring Items'!$H$15&lt;&gt;"Skip")*(DAY(AB398)='Recurring Items'!$F$15)*IFERROR(N('Recurring Items'!$D$15),0)+(IF(AC398=1,'Debt Tracker'!$P$13&gt;0.01,INDEX('Debt Tracker'!$T$5:$AE$29,9,AC398-1)&gt;0.01))*('Recurring Items'!$H$16&lt;&gt;"Skip")*(DAY(AB398)='Recurring Items'!$F$16)*IFERROR(N('Recurring Items'!$D$16),0)+(IF(AC398=1,'Debt Tracker'!$P$14&gt;0.01,INDEX('Debt Tracker'!$T$5:$AE$29,10,AC398-1)&gt;0.01))*('Recurring Items'!$H$17&lt;&gt;"Skip")*(DAY(AB398)='Recurring Items'!$F$17)*IFERROR(N('Recurring Items'!$D$17),0)+(IF(AC398=1,'Debt Tracker'!$P$15&gt;0.01,INDEX('Debt Tracker'!$T$5:$AE$29,11,AC398-1)&gt;0.01))*('Recurring Items'!$H$18&lt;&gt;"Skip")*(DAY(AB398)='Recurring Items'!$F$18)*IFERROR(N('Recurring Items'!$D$18),0)+(IF(AC398=1,'Debt Tracker'!$P$16&gt;0.01,INDEX('Debt Tracker'!$T$5:$AE$29,12,AC398-1)&gt;0.01))*('Recurring Items'!$H$19&lt;&gt;"Skip")*(DAY(AB398)='Recurring Items'!$F$19)*IFERROR(N('Recurring Items'!$D$19),0)+(IF(AC398=1,'Debt Tracker'!$P$17&gt;0.01,INDEX('Debt Tracker'!$T$5:$AE$29,13,AC398-1)&gt;0.01))*('Recurring Items'!$H$20&lt;&gt;"Skip")*(DAY(AB398)='Recurring Items'!$F$20)*IFERROR(N('Recurring Items'!$D$20),0)+(IF(AC398=1,'Debt Tracker'!$P$18&gt;0.01,INDEX('Debt Tracker'!$T$5:$AE$29,14,AC398-1)&gt;0.01))*('Recurring Items'!$H$21&lt;&gt;"Skip")*(DAY(AB398)='Recurring Items'!$F$21)*IFERROR(N('Recurring Items'!$D$21),0)+(IF(AC398=1,'Debt Tracker'!$P$19&gt;0.01,INDEX('Debt Tracker'!$T$5:$AE$29,15,AC398-1)&gt;0.01))*('Recurring Items'!$H$22&lt;&gt;"Skip")*(DAY(AB398)='Recurring Items'!$F$22)*IFERROR(N('Recurring Items'!$D$22),0)+(IF(AC398=1,'Debt Tracker'!$P$20&gt;0.01,INDEX('Debt Tracker'!$T$5:$AE$29,16,AC398-1)&gt;0.01))*('Recurring Items'!$H$23&lt;&gt;"Skip")*(DAY(AB398)='Recurring Items'!$F$23)*IFERROR(N('Recurring Items'!$D$23),0)+(IF(AC398=1,'Debt Tracker'!$P$21&gt;0.01,INDEX('Debt Tracker'!$T$5:$AE$29,17,AC398-1)&gt;0.01))*('Recurring Items'!$H$24&lt;&gt;"Skip")*(DAY(AB398)='Recurring Items'!$F$24)*IFERROR(N('Recurring Items'!$D$24),0)+(IF(AC398=1,'Debt Tracker'!$P$22&gt;0.01,INDEX('Debt Tracker'!$T$5:$AE$29,18,AC398-1)&gt;0.01))*('Recurring Items'!$H$25&lt;&gt;"Skip")*(DAY(AB398)='Recurring Items'!$F$25)*IFERROR(N('Recurring Items'!$D$25),0)+(IF(AC398=1,'Debt Tracker'!$P$23&gt;0.01,INDEX('Debt Tracker'!$T$5:$AE$29,19,AC398-1)&gt;0.01))*('Recurring Items'!$H$26&lt;&gt;"Skip")*(DAY(AB398)='Recurring Items'!$F$26)*IFERROR(N('Recurring Items'!$D$26),0)+(IF(AC398=1,'Debt Tracker'!$P$24&gt;0.01,INDEX('Debt Tracker'!$T$5:$AE$29,20,AC398-1)&gt;0.01))*('Recurring Items'!$H$27&lt;&gt;"Skip")*(DAY(AB398)='Recurring Items'!$F$27)*IFERROR(N('Recurring Items'!$D$27),0)+(IF(AC398=1,'Debt Tracker'!$P$25&gt;0.01,INDEX('Debt Tracker'!$T$5:$AE$29,21,AC398-1)&gt;0.01))*('Recurring Items'!$H$28&lt;&gt;"Skip")*(DAY(AB398)='Recurring Items'!$F$28)*IFERROR(N('Recurring Items'!$D$28),0)+(IF(AC398=1,'Debt Tracker'!$P$26&gt;0.01,INDEX('Debt Tracker'!$T$5:$AE$29,22,AC398-1)&gt;0.01))*('Recurring Items'!$H$29&lt;&gt;"Skip")*(DAY(AB398)='Recurring Items'!$F$29)*IFERROR(N('Recurring Items'!$D$29),0)+(IF(AC398=1,'Debt Tracker'!$P$27&gt;0.01,INDEX('Debt Tracker'!$T$5:$AE$29,23,AC398-1)&gt;0.01))*('Recurring Items'!$H$30&lt;&gt;"Skip")*(DAY(AB398)='Recurring Items'!$F$30)*IFERROR(N('Recurring Items'!$D$30),0)+(IF(AC398=1,'Debt Tracker'!$P$28&gt;0.01,INDEX('Debt Tracker'!$T$5:$AE$29,24,AC398-1)&gt;0.01))*('Recurring Items'!$H$31&lt;&gt;"Skip")*(DAY(AB398)='Recurring Items'!$F$31)*IFERROR(N('Recurring Items'!$D$31),0)+(IF(AC398=1,'Debt Tracker'!$P$29&gt;0.01,INDEX('Debt Tracker'!$T$5:$AE$29,25,AC398-1)&gt;0.01))*('Recurring Items'!$H$32&lt;&gt;"Skip")*(DAY(AB398)='Recurring Items'!$F$32)*IFERROR(N('Recurring Items'!$D$32),0)</f>
        <v>107.75</v>
      </c>
      <c r="AG398" s="1" t="n">
        <f aca="false">AD398-AE398-AF398</f>
        <v>-3098.32</v>
      </c>
      <c r="AH398" s="1" t="n">
        <f aca="false">AH397+AG398</f>
        <v>12119.74</v>
      </c>
    </row>
    <row r="399" customFormat="false" ht="15" hidden="false" customHeight="true" outlineLevel="0" collapsed="false">
      <c r="AA399" s="1" t="n">
        <v>199</v>
      </c>
      <c r="AB399" s="145" t="n">
        <f aca="false">$D$3+199</f>
        <v>46342</v>
      </c>
      <c r="AC399" s="1" t="n">
        <f aca="false">MIN(12,1+DATEDIF($D$3,AB399,"M"))</f>
        <v>7</v>
      </c>
      <c r="AD399" s="1" t="n">
        <f aca="false">SUMPRODUCT(('Recurring Items'!$C$6:$C$56="Income")*('Recurring Items'!$H$6:$H$56&lt;&gt;"Skip")*IFERROR(N('Recurring Items'!$D$6:$D$56),0)*(('Recurring Items'!$E$6:$E$56="Monthly")*(DAY(AB399)='Recurring Items'!$F$6:$F$56)+('Recurring Items'!$E$6:$E$56="Bi-weekly")*(WEEKDAY(AB399)=IFERROR(WEEKDAY('Recurring Items'!$G$6:$G$56),0))*(MOD(AB399-IFERROR('Recurring Items'!$G$6:$G$56,0),14)=0)*(AB399&gt;=IFERROR('Recurring Items'!$G$6:$G$56,9000000000))+('Recurring Items'!$E$6:$E$56="Weekly")*(WEEKDAY(AB399)=IFERROR(WEEKDAY('Recurring Items'!$G$6:$G$56),0))*(AB399&gt;=IFERROR('Recurring Items'!$G$6:$G$56,9000000000))+('Recurring Items'!$E$6:$E$56="One-time")*(AB399='Recurring Items'!$G$6:$G$56)))</f>
        <v>0</v>
      </c>
      <c r="AE399" s="1" t="n">
        <f aca="false">SUMPRODUCT(('Recurring Items'!$C$6:$C$56="Expense")*('Recurring Items'!$H$6:$H$56&lt;&gt;"Skip")*IFERROR(N('Recurring Items'!$D$6:$D$56),0)*(('Recurring Items'!$E$6:$E$56="Monthly")*(DAY(AB399)='Recurring Items'!$F$6:$F$56)+('Recurring Items'!$E$6:$E$56="Bi-weekly")*(WEEKDAY(AB399)=IFERROR(WEEKDAY('Recurring Items'!$G$6:$G$56),0))*(MOD(AB399-IFERROR('Recurring Items'!$G$6:$G$56,0),14)=0)*(AB399&gt;=IFERROR('Recurring Items'!$G$6:$G$56,9000000000))+('Recurring Items'!$E$6:$E$56="Weekly")*(WEEKDAY(AB399)=IFERROR(WEEKDAY('Recurring Items'!$G$6:$G$56),0))*(AB399&gt;=IFERROR('Recurring Items'!$G$6:$G$56,9000000000))+('Recurring Items'!$E$6:$E$56="One-time")*(AB399='Recurring Items'!$G$6:$G$56)))</f>
        <v>342</v>
      </c>
      <c r="AF399" s="1" t="n">
        <f aca="false">(IF(AC399=1,'Debt Tracker'!$P$5&gt;0.01,INDEX('Debt Tracker'!$T$5:$AE$29,1,AC399-1)&gt;0.01))*('Recurring Items'!$H$8&lt;&gt;"Skip")*(DAY(AB399)='Recurring Items'!$F$8)*IFERROR(N('Recurring Items'!$D$8),0)+(IF(AC399=1,'Debt Tracker'!$P$6&gt;0.01,INDEX('Debt Tracker'!$T$5:$AE$29,2,AC399-1)&gt;0.01))*('Recurring Items'!$H$9&lt;&gt;"Skip")*(DAY(AB399)='Recurring Items'!$F$9)*IFERROR(N('Recurring Items'!$D$9),0)+(IF(AC399=1,'Debt Tracker'!$P$7&gt;0.01,INDEX('Debt Tracker'!$T$5:$AE$29,3,AC399-1)&gt;0.01))*('Recurring Items'!$H$10&lt;&gt;"Skip")*(DAY(AB399)='Recurring Items'!$F$10)*IFERROR(N('Recurring Items'!$D$10),0)+(IF(AC399=1,'Debt Tracker'!$P$8&gt;0.01,INDEX('Debt Tracker'!$T$5:$AE$29,4,AC399-1)&gt;0.01))*('Recurring Items'!$H$11&lt;&gt;"Skip")*(DAY(AB399)='Recurring Items'!$F$11)*IFERROR(N('Recurring Items'!$D$11),0)+(IF(AC399=1,'Debt Tracker'!$P$9&gt;0.01,INDEX('Debt Tracker'!$T$5:$AE$29,5,AC399-1)&gt;0.01))*('Recurring Items'!$H$12&lt;&gt;"Skip")*(DAY(AB399)='Recurring Items'!$F$12)*IFERROR(N('Recurring Items'!$D$12),0)+(IF(AC399=1,'Debt Tracker'!$P$10&gt;0.01,INDEX('Debt Tracker'!$T$5:$AE$29,6,AC399-1)&gt;0.01))*('Recurring Items'!$H$13&lt;&gt;"Skip")*(DAY(AB399)='Recurring Items'!$F$13)*IFERROR(N('Recurring Items'!$D$13),0)+(IF(AC399=1,'Debt Tracker'!$P$11&gt;0.01,INDEX('Debt Tracker'!$T$5:$AE$29,7,AC399-1)&gt;0.01))*('Recurring Items'!$H$14&lt;&gt;"Skip")*(DAY(AB399)='Recurring Items'!$F$14)*IFERROR(N('Recurring Items'!$D$14),0)+(IF(AC399=1,'Debt Tracker'!$P$12&gt;0.01,INDEX('Debt Tracker'!$T$5:$AE$29,8,AC399-1)&gt;0.01))*('Recurring Items'!$H$15&lt;&gt;"Skip")*(DAY(AB399)='Recurring Items'!$F$15)*IFERROR(N('Recurring Items'!$D$15),0)+(IF(AC399=1,'Debt Tracker'!$P$13&gt;0.01,INDEX('Debt Tracker'!$T$5:$AE$29,9,AC399-1)&gt;0.01))*('Recurring Items'!$H$16&lt;&gt;"Skip")*(DAY(AB399)='Recurring Items'!$F$16)*IFERROR(N('Recurring Items'!$D$16),0)+(IF(AC399=1,'Debt Tracker'!$P$14&gt;0.01,INDEX('Debt Tracker'!$T$5:$AE$29,10,AC399-1)&gt;0.01))*('Recurring Items'!$H$17&lt;&gt;"Skip")*(DAY(AB399)='Recurring Items'!$F$17)*IFERROR(N('Recurring Items'!$D$17),0)+(IF(AC399=1,'Debt Tracker'!$P$15&gt;0.01,INDEX('Debt Tracker'!$T$5:$AE$29,11,AC399-1)&gt;0.01))*('Recurring Items'!$H$18&lt;&gt;"Skip")*(DAY(AB399)='Recurring Items'!$F$18)*IFERROR(N('Recurring Items'!$D$18),0)+(IF(AC399=1,'Debt Tracker'!$P$16&gt;0.01,INDEX('Debt Tracker'!$T$5:$AE$29,12,AC399-1)&gt;0.01))*('Recurring Items'!$H$19&lt;&gt;"Skip")*(DAY(AB399)='Recurring Items'!$F$19)*IFERROR(N('Recurring Items'!$D$19),0)+(IF(AC399=1,'Debt Tracker'!$P$17&gt;0.01,INDEX('Debt Tracker'!$T$5:$AE$29,13,AC399-1)&gt;0.01))*('Recurring Items'!$H$20&lt;&gt;"Skip")*(DAY(AB399)='Recurring Items'!$F$20)*IFERROR(N('Recurring Items'!$D$20),0)+(IF(AC399=1,'Debt Tracker'!$P$18&gt;0.01,INDEX('Debt Tracker'!$T$5:$AE$29,14,AC399-1)&gt;0.01))*('Recurring Items'!$H$21&lt;&gt;"Skip")*(DAY(AB399)='Recurring Items'!$F$21)*IFERROR(N('Recurring Items'!$D$21),0)+(IF(AC399=1,'Debt Tracker'!$P$19&gt;0.01,INDEX('Debt Tracker'!$T$5:$AE$29,15,AC399-1)&gt;0.01))*('Recurring Items'!$H$22&lt;&gt;"Skip")*(DAY(AB399)='Recurring Items'!$F$22)*IFERROR(N('Recurring Items'!$D$22),0)+(IF(AC399=1,'Debt Tracker'!$P$20&gt;0.01,INDEX('Debt Tracker'!$T$5:$AE$29,16,AC399-1)&gt;0.01))*('Recurring Items'!$H$23&lt;&gt;"Skip")*(DAY(AB399)='Recurring Items'!$F$23)*IFERROR(N('Recurring Items'!$D$23),0)+(IF(AC399=1,'Debt Tracker'!$P$21&gt;0.01,INDEX('Debt Tracker'!$T$5:$AE$29,17,AC399-1)&gt;0.01))*('Recurring Items'!$H$24&lt;&gt;"Skip")*(DAY(AB399)='Recurring Items'!$F$24)*IFERROR(N('Recurring Items'!$D$24),0)+(IF(AC399=1,'Debt Tracker'!$P$22&gt;0.01,INDEX('Debt Tracker'!$T$5:$AE$29,18,AC399-1)&gt;0.01))*('Recurring Items'!$H$25&lt;&gt;"Skip")*(DAY(AB399)='Recurring Items'!$F$25)*IFERROR(N('Recurring Items'!$D$25),0)+(IF(AC399=1,'Debt Tracker'!$P$23&gt;0.01,INDEX('Debt Tracker'!$T$5:$AE$29,19,AC399-1)&gt;0.01))*('Recurring Items'!$H$26&lt;&gt;"Skip")*(DAY(AB399)='Recurring Items'!$F$26)*IFERROR(N('Recurring Items'!$D$26),0)+(IF(AC399=1,'Debt Tracker'!$P$24&gt;0.01,INDEX('Debt Tracker'!$T$5:$AE$29,20,AC399-1)&gt;0.01))*('Recurring Items'!$H$27&lt;&gt;"Skip")*(DAY(AB399)='Recurring Items'!$F$27)*IFERROR(N('Recurring Items'!$D$27),0)+(IF(AC399=1,'Debt Tracker'!$P$25&gt;0.01,INDEX('Debt Tracker'!$T$5:$AE$29,21,AC399-1)&gt;0.01))*('Recurring Items'!$H$28&lt;&gt;"Skip")*(DAY(AB399)='Recurring Items'!$F$28)*IFERROR(N('Recurring Items'!$D$28),0)+(IF(AC399=1,'Debt Tracker'!$P$26&gt;0.01,INDEX('Debt Tracker'!$T$5:$AE$29,22,AC399-1)&gt;0.01))*('Recurring Items'!$H$29&lt;&gt;"Skip")*(DAY(AB399)='Recurring Items'!$F$29)*IFERROR(N('Recurring Items'!$D$29),0)+(IF(AC399=1,'Debt Tracker'!$P$27&gt;0.01,INDEX('Debt Tracker'!$T$5:$AE$29,23,AC399-1)&gt;0.01))*('Recurring Items'!$H$30&lt;&gt;"Skip")*(DAY(AB399)='Recurring Items'!$F$30)*IFERROR(N('Recurring Items'!$D$30),0)+(IF(AC399=1,'Debt Tracker'!$P$28&gt;0.01,INDEX('Debt Tracker'!$T$5:$AE$29,24,AC399-1)&gt;0.01))*('Recurring Items'!$H$31&lt;&gt;"Skip")*(DAY(AB399)='Recurring Items'!$F$31)*IFERROR(N('Recurring Items'!$D$31),0)+(IF(AC399=1,'Debt Tracker'!$P$29&gt;0.01,INDEX('Debt Tracker'!$T$5:$AE$29,25,AC399-1)&gt;0.01))*('Recurring Items'!$H$32&lt;&gt;"Skip")*(DAY(AB399)='Recurring Items'!$F$32)*IFERROR(N('Recurring Items'!$D$32),0)</f>
        <v>143</v>
      </c>
      <c r="AG399" s="1" t="n">
        <f aca="false">AD399-AE399-AF399</f>
        <v>-485</v>
      </c>
      <c r="AH399" s="1" t="n">
        <f aca="false">AH398+AG399</f>
        <v>11634.74</v>
      </c>
    </row>
    <row r="400" customFormat="false" ht="15" hidden="false" customHeight="true" outlineLevel="0" collapsed="false">
      <c r="AA400" s="1" t="n">
        <v>200</v>
      </c>
      <c r="AB400" s="145" t="n">
        <f aca="false">$D$3+200</f>
        <v>46343</v>
      </c>
      <c r="AC400" s="1" t="n">
        <f aca="false">MIN(12,1+DATEDIF($D$3,AB400,"M"))</f>
        <v>7</v>
      </c>
      <c r="AD400" s="1" t="n">
        <f aca="false">SUMPRODUCT(('Recurring Items'!$C$6:$C$56="Income")*('Recurring Items'!$H$6:$H$56&lt;&gt;"Skip")*IFERROR(N('Recurring Items'!$D$6:$D$56),0)*(('Recurring Items'!$E$6:$E$56="Monthly")*(DAY(AB400)='Recurring Items'!$F$6:$F$56)+('Recurring Items'!$E$6:$E$56="Bi-weekly")*(WEEKDAY(AB400)=IFERROR(WEEKDAY('Recurring Items'!$G$6:$G$56),0))*(MOD(AB400-IFERROR('Recurring Items'!$G$6:$G$56,0),14)=0)*(AB400&gt;=IFERROR('Recurring Items'!$G$6:$G$56,9000000000))+('Recurring Items'!$E$6:$E$56="Weekly")*(WEEKDAY(AB400)=IFERROR(WEEKDAY('Recurring Items'!$G$6:$G$56),0))*(AB400&gt;=IFERROR('Recurring Items'!$G$6:$G$56,9000000000))+('Recurring Items'!$E$6:$E$56="One-time")*(AB400='Recurring Items'!$G$6:$G$56)))</f>
        <v>0</v>
      </c>
      <c r="AE400" s="1" t="n">
        <f aca="false">SUMPRODUCT(('Recurring Items'!$C$6:$C$56="Expense")*('Recurring Items'!$H$6:$H$56&lt;&gt;"Skip")*IFERROR(N('Recurring Items'!$D$6:$D$56),0)*(('Recurring Items'!$E$6:$E$56="Monthly")*(DAY(AB400)='Recurring Items'!$F$6:$F$56)+('Recurring Items'!$E$6:$E$56="Bi-weekly")*(WEEKDAY(AB400)=IFERROR(WEEKDAY('Recurring Items'!$G$6:$G$56),0))*(MOD(AB400-IFERROR('Recurring Items'!$G$6:$G$56,0),14)=0)*(AB400&gt;=IFERROR('Recurring Items'!$G$6:$G$56,9000000000))+('Recurring Items'!$E$6:$E$56="Weekly")*(WEEKDAY(AB400)=IFERROR(WEEKDAY('Recurring Items'!$G$6:$G$56),0))*(AB400&gt;=IFERROR('Recurring Items'!$G$6:$G$56,9000000000))+('Recurring Items'!$E$6:$E$56="One-time")*(AB400='Recurring Items'!$G$6:$G$56)))</f>
        <v>0</v>
      </c>
      <c r="AF400" s="1" t="n">
        <f aca="false">(IF(AC400=1,'Debt Tracker'!$P$5&gt;0.01,INDEX('Debt Tracker'!$T$5:$AE$29,1,AC400-1)&gt;0.01))*('Recurring Items'!$H$8&lt;&gt;"Skip")*(DAY(AB400)='Recurring Items'!$F$8)*IFERROR(N('Recurring Items'!$D$8),0)+(IF(AC400=1,'Debt Tracker'!$P$6&gt;0.01,INDEX('Debt Tracker'!$T$5:$AE$29,2,AC400-1)&gt;0.01))*('Recurring Items'!$H$9&lt;&gt;"Skip")*(DAY(AB400)='Recurring Items'!$F$9)*IFERROR(N('Recurring Items'!$D$9),0)+(IF(AC400=1,'Debt Tracker'!$P$7&gt;0.01,INDEX('Debt Tracker'!$T$5:$AE$29,3,AC400-1)&gt;0.01))*('Recurring Items'!$H$10&lt;&gt;"Skip")*(DAY(AB400)='Recurring Items'!$F$10)*IFERROR(N('Recurring Items'!$D$10),0)+(IF(AC400=1,'Debt Tracker'!$P$8&gt;0.01,INDEX('Debt Tracker'!$T$5:$AE$29,4,AC400-1)&gt;0.01))*('Recurring Items'!$H$11&lt;&gt;"Skip")*(DAY(AB400)='Recurring Items'!$F$11)*IFERROR(N('Recurring Items'!$D$11),0)+(IF(AC400=1,'Debt Tracker'!$P$9&gt;0.01,INDEX('Debt Tracker'!$T$5:$AE$29,5,AC400-1)&gt;0.01))*('Recurring Items'!$H$12&lt;&gt;"Skip")*(DAY(AB400)='Recurring Items'!$F$12)*IFERROR(N('Recurring Items'!$D$12),0)+(IF(AC400=1,'Debt Tracker'!$P$10&gt;0.01,INDEX('Debt Tracker'!$T$5:$AE$29,6,AC400-1)&gt;0.01))*('Recurring Items'!$H$13&lt;&gt;"Skip")*(DAY(AB400)='Recurring Items'!$F$13)*IFERROR(N('Recurring Items'!$D$13),0)+(IF(AC400=1,'Debt Tracker'!$P$11&gt;0.01,INDEX('Debt Tracker'!$T$5:$AE$29,7,AC400-1)&gt;0.01))*('Recurring Items'!$H$14&lt;&gt;"Skip")*(DAY(AB400)='Recurring Items'!$F$14)*IFERROR(N('Recurring Items'!$D$14),0)+(IF(AC400=1,'Debt Tracker'!$P$12&gt;0.01,INDEX('Debt Tracker'!$T$5:$AE$29,8,AC400-1)&gt;0.01))*('Recurring Items'!$H$15&lt;&gt;"Skip")*(DAY(AB400)='Recurring Items'!$F$15)*IFERROR(N('Recurring Items'!$D$15),0)+(IF(AC400=1,'Debt Tracker'!$P$13&gt;0.01,INDEX('Debt Tracker'!$T$5:$AE$29,9,AC400-1)&gt;0.01))*('Recurring Items'!$H$16&lt;&gt;"Skip")*(DAY(AB400)='Recurring Items'!$F$16)*IFERROR(N('Recurring Items'!$D$16),0)+(IF(AC400=1,'Debt Tracker'!$P$14&gt;0.01,INDEX('Debt Tracker'!$T$5:$AE$29,10,AC400-1)&gt;0.01))*('Recurring Items'!$H$17&lt;&gt;"Skip")*(DAY(AB400)='Recurring Items'!$F$17)*IFERROR(N('Recurring Items'!$D$17),0)+(IF(AC400=1,'Debt Tracker'!$P$15&gt;0.01,INDEX('Debt Tracker'!$T$5:$AE$29,11,AC400-1)&gt;0.01))*('Recurring Items'!$H$18&lt;&gt;"Skip")*(DAY(AB400)='Recurring Items'!$F$18)*IFERROR(N('Recurring Items'!$D$18),0)+(IF(AC400=1,'Debt Tracker'!$P$16&gt;0.01,INDEX('Debt Tracker'!$T$5:$AE$29,12,AC400-1)&gt;0.01))*('Recurring Items'!$H$19&lt;&gt;"Skip")*(DAY(AB400)='Recurring Items'!$F$19)*IFERROR(N('Recurring Items'!$D$19),0)+(IF(AC400=1,'Debt Tracker'!$P$17&gt;0.01,INDEX('Debt Tracker'!$T$5:$AE$29,13,AC400-1)&gt;0.01))*('Recurring Items'!$H$20&lt;&gt;"Skip")*(DAY(AB400)='Recurring Items'!$F$20)*IFERROR(N('Recurring Items'!$D$20),0)+(IF(AC400=1,'Debt Tracker'!$P$18&gt;0.01,INDEX('Debt Tracker'!$T$5:$AE$29,14,AC400-1)&gt;0.01))*('Recurring Items'!$H$21&lt;&gt;"Skip")*(DAY(AB400)='Recurring Items'!$F$21)*IFERROR(N('Recurring Items'!$D$21),0)+(IF(AC400=1,'Debt Tracker'!$P$19&gt;0.01,INDEX('Debt Tracker'!$T$5:$AE$29,15,AC400-1)&gt;0.01))*('Recurring Items'!$H$22&lt;&gt;"Skip")*(DAY(AB400)='Recurring Items'!$F$22)*IFERROR(N('Recurring Items'!$D$22),0)+(IF(AC400=1,'Debt Tracker'!$P$20&gt;0.01,INDEX('Debt Tracker'!$T$5:$AE$29,16,AC400-1)&gt;0.01))*('Recurring Items'!$H$23&lt;&gt;"Skip")*(DAY(AB400)='Recurring Items'!$F$23)*IFERROR(N('Recurring Items'!$D$23),0)+(IF(AC400=1,'Debt Tracker'!$P$21&gt;0.01,INDEX('Debt Tracker'!$T$5:$AE$29,17,AC400-1)&gt;0.01))*('Recurring Items'!$H$24&lt;&gt;"Skip")*(DAY(AB400)='Recurring Items'!$F$24)*IFERROR(N('Recurring Items'!$D$24),0)+(IF(AC400=1,'Debt Tracker'!$P$22&gt;0.01,INDEX('Debt Tracker'!$T$5:$AE$29,18,AC400-1)&gt;0.01))*('Recurring Items'!$H$25&lt;&gt;"Skip")*(DAY(AB400)='Recurring Items'!$F$25)*IFERROR(N('Recurring Items'!$D$25),0)+(IF(AC400=1,'Debt Tracker'!$P$23&gt;0.01,INDEX('Debt Tracker'!$T$5:$AE$29,19,AC400-1)&gt;0.01))*('Recurring Items'!$H$26&lt;&gt;"Skip")*(DAY(AB400)='Recurring Items'!$F$26)*IFERROR(N('Recurring Items'!$D$26),0)+(IF(AC400=1,'Debt Tracker'!$P$24&gt;0.01,INDEX('Debt Tracker'!$T$5:$AE$29,20,AC400-1)&gt;0.01))*('Recurring Items'!$H$27&lt;&gt;"Skip")*(DAY(AB400)='Recurring Items'!$F$27)*IFERROR(N('Recurring Items'!$D$27),0)+(IF(AC400=1,'Debt Tracker'!$P$25&gt;0.01,INDEX('Debt Tracker'!$T$5:$AE$29,21,AC400-1)&gt;0.01))*('Recurring Items'!$H$28&lt;&gt;"Skip")*(DAY(AB400)='Recurring Items'!$F$28)*IFERROR(N('Recurring Items'!$D$28),0)+(IF(AC400=1,'Debt Tracker'!$P$26&gt;0.01,INDEX('Debt Tracker'!$T$5:$AE$29,22,AC400-1)&gt;0.01))*('Recurring Items'!$H$29&lt;&gt;"Skip")*(DAY(AB400)='Recurring Items'!$F$29)*IFERROR(N('Recurring Items'!$D$29),0)+(IF(AC400=1,'Debt Tracker'!$P$27&gt;0.01,INDEX('Debt Tracker'!$T$5:$AE$29,23,AC400-1)&gt;0.01))*('Recurring Items'!$H$30&lt;&gt;"Skip")*(DAY(AB400)='Recurring Items'!$F$30)*IFERROR(N('Recurring Items'!$D$30),0)+(IF(AC400=1,'Debt Tracker'!$P$28&gt;0.01,INDEX('Debt Tracker'!$T$5:$AE$29,24,AC400-1)&gt;0.01))*('Recurring Items'!$H$31&lt;&gt;"Skip")*(DAY(AB400)='Recurring Items'!$F$31)*IFERROR(N('Recurring Items'!$D$31),0)+(IF(AC400=1,'Debt Tracker'!$P$29&gt;0.01,INDEX('Debt Tracker'!$T$5:$AE$29,25,AC400-1)&gt;0.01))*('Recurring Items'!$H$32&lt;&gt;"Skip")*(DAY(AB400)='Recurring Items'!$F$32)*IFERROR(N('Recurring Items'!$D$32),0)</f>
        <v>0</v>
      </c>
      <c r="AG400" s="1" t="n">
        <f aca="false">AD400-AE400-AF400</f>
        <v>0</v>
      </c>
      <c r="AH400" s="1" t="n">
        <f aca="false">AH399+AG400</f>
        <v>11634.74</v>
      </c>
    </row>
    <row r="401" customFormat="false" ht="15" hidden="false" customHeight="true" outlineLevel="0" collapsed="false">
      <c r="AA401" s="1" t="n">
        <v>201</v>
      </c>
      <c r="AB401" s="145" t="n">
        <f aca="false">$D$3+201</f>
        <v>46344</v>
      </c>
      <c r="AC401" s="1" t="n">
        <f aca="false">MIN(12,1+DATEDIF($D$3,AB401,"M"))</f>
        <v>7</v>
      </c>
      <c r="AD401" s="1" t="n">
        <f aca="false">SUMPRODUCT(('Recurring Items'!$C$6:$C$56="Income")*('Recurring Items'!$H$6:$H$56&lt;&gt;"Skip")*IFERROR(N('Recurring Items'!$D$6:$D$56),0)*(('Recurring Items'!$E$6:$E$56="Monthly")*(DAY(AB401)='Recurring Items'!$F$6:$F$56)+('Recurring Items'!$E$6:$E$56="Bi-weekly")*(WEEKDAY(AB401)=IFERROR(WEEKDAY('Recurring Items'!$G$6:$G$56),0))*(MOD(AB401-IFERROR('Recurring Items'!$G$6:$G$56,0),14)=0)*(AB401&gt;=IFERROR('Recurring Items'!$G$6:$G$56,9000000000))+('Recurring Items'!$E$6:$E$56="Weekly")*(WEEKDAY(AB401)=IFERROR(WEEKDAY('Recurring Items'!$G$6:$G$56),0))*(AB401&gt;=IFERROR('Recurring Items'!$G$6:$G$56,9000000000))+('Recurring Items'!$E$6:$E$56="One-time")*(AB401='Recurring Items'!$G$6:$G$56)))</f>
        <v>0</v>
      </c>
      <c r="AE401" s="1" t="n">
        <f aca="false">SUMPRODUCT(('Recurring Items'!$C$6:$C$56="Expense")*('Recurring Items'!$H$6:$H$56&lt;&gt;"Skip")*IFERROR(N('Recurring Items'!$D$6:$D$56),0)*(('Recurring Items'!$E$6:$E$56="Monthly")*(DAY(AB401)='Recurring Items'!$F$6:$F$56)+('Recurring Items'!$E$6:$E$56="Bi-weekly")*(WEEKDAY(AB401)=IFERROR(WEEKDAY('Recurring Items'!$G$6:$G$56),0))*(MOD(AB401-IFERROR('Recurring Items'!$G$6:$G$56,0),14)=0)*(AB401&gt;=IFERROR('Recurring Items'!$G$6:$G$56,9000000000))+('Recurring Items'!$E$6:$E$56="Weekly")*(WEEKDAY(AB401)=IFERROR(WEEKDAY('Recurring Items'!$G$6:$G$56),0))*(AB401&gt;=IFERROR('Recurring Items'!$G$6:$G$56,9000000000))+('Recurring Items'!$E$6:$E$56="One-time")*(AB401='Recurring Items'!$G$6:$G$56)))</f>
        <v>0</v>
      </c>
      <c r="AF401" s="1" t="n">
        <f aca="false">(IF(AC401=1,'Debt Tracker'!$P$5&gt;0.01,INDEX('Debt Tracker'!$T$5:$AE$29,1,AC401-1)&gt;0.01))*('Recurring Items'!$H$8&lt;&gt;"Skip")*(DAY(AB401)='Recurring Items'!$F$8)*IFERROR(N('Recurring Items'!$D$8),0)+(IF(AC401=1,'Debt Tracker'!$P$6&gt;0.01,INDEX('Debt Tracker'!$T$5:$AE$29,2,AC401-1)&gt;0.01))*('Recurring Items'!$H$9&lt;&gt;"Skip")*(DAY(AB401)='Recurring Items'!$F$9)*IFERROR(N('Recurring Items'!$D$9),0)+(IF(AC401=1,'Debt Tracker'!$P$7&gt;0.01,INDEX('Debt Tracker'!$T$5:$AE$29,3,AC401-1)&gt;0.01))*('Recurring Items'!$H$10&lt;&gt;"Skip")*(DAY(AB401)='Recurring Items'!$F$10)*IFERROR(N('Recurring Items'!$D$10),0)+(IF(AC401=1,'Debt Tracker'!$P$8&gt;0.01,INDEX('Debt Tracker'!$T$5:$AE$29,4,AC401-1)&gt;0.01))*('Recurring Items'!$H$11&lt;&gt;"Skip")*(DAY(AB401)='Recurring Items'!$F$11)*IFERROR(N('Recurring Items'!$D$11),0)+(IF(AC401=1,'Debt Tracker'!$P$9&gt;0.01,INDEX('Debt Tracker'!$T$5:$AE$29,5,AC401-1)&gt;0.01))*('Recurring Items'!$H$12&lt;&gt;"Skip")*(DAY(AB401)='Recurring Items'!$F$12)*IFERROR(N('Recurring Items'!$D$12),0)+(IF(AC401=1,'Debt Tracker'!$P$10&gt;0.01,INDEX('Debt Tracker'!$T$5:$AE$29,6,AC401-1)&gt;0.01))*('Recurring Items'!$H$13&lt;&gt;"Skip")*(DAY(AB401)='Recurring Items'!$F$13)*IFERROR(N('Recurring Items'!$D$13),0)+(IF(AC401=1,'Debt Tracker'!$P$11&gt;0.01,INDEX('Debt Tracker'!$T$5:$AE$29,7,AC401-1)&gt;0.01))*('Recurring Items'!$H$14&lt;&gt;"Skip")*(DAY(AB401)='Recurring Items'!$F$14)*IFERROR(N('Recurring Items'!$D$14),0)+(IF(AC401=1,'Debt Tracker'!$P$12&gt;0.01,INDEX('Debt Tracker'!$T$5:$AE$29,8,AC401-1)&gt;0.01))*('Recurring Items'!$H$15&lt;&gt;"Skip")*(DAY(AB401)='Recurring Items'!$F$15)*IFERROR(N('Recurring Items'!$D$15),0)+(IF(AC401=1,'Debt Tracker'!$P$13&gt;0.01,INDEX('Debt Tracker'!$T$5:$AE$29,9,AC401-1)&gt;0.01))*('Recurring Items'!$H$16&lt;&gt;"Skip")*(DAY(AB401)='Recurring Items'!$F$16)*IFERROR(N('Recurring Items'!$D$16),0)+(IF(AC401=1,'Debt Tracker'!$P$14&gt;0.01,INDEX('Debt Tracker'!$T$5:$AE$29,10,AC401-1)&gt;0.01))*('Recurring Items'!$H$17&lt;&gt;"Skip")*(DAY(AB401)='Recurring Items'!$F$17)*IFERROR(N('Recurring Items'!$D$17),0)+(IF(AC401=1,'Debt Tracker'!$P$15&gt;0.01,INDEX('Debt Tracker'!$T$5:$AE$29,11,AC401-1)&gt;0.01))*('Recurring Items'!$H$18&lt;&gt;"Skip")*(DAY(AB401)='Recurring Items'!$F$18)*IFERROR(N('Recurring Items'!$D$18),0)+(IF(AC401=1,'Debt Tracker'!$P$16&gt;0.01,INDEX('Debt Tracker'!$T$5:$AE$29,12,AC401-1)&gt;0.01))*('Recurring Items'!$H$19&lt;&gt;"Skip")*(DAY(AB401)='Recurring Items'!$F$19)*IFERROR(N('Recurring Items'!$D$19),0)+(IF(AC401=1,'Debt Tracker'!$P$17&gt;0.01,INDEX('Debt Tracker'!$T$5:$AE$29,13,AC401-1)&gt;0.01))*('Recurring Items'!$H$20&lt;&gt;"Skip")*(DAY(AB401)='Recurring Items'!$F$20)*IFERROR(N('Recurring Items'!$D$20),0)+(IF(AC401=1,'Debt Tracker'!$P$18&gt;0.01,INDEX('Debt Tracker'!$T$5:$AE$29,14,AC401-1)&gt;0.01))*('Recurring Items'!$H$21&lt;&gt;"Skip")*(DAY(AB401)='Recurring Items'!$F$21)*IFERROR(N('Recurring Items'!$D$21),0)+(IF(AC401=1,'Debt Tracker'!$P$19&gt;0.01,INDEX('Debt Tracker'!$T$5:$AE$29,15,AC401-1)&gt;0.01))*('Recurring Items'!$H$22&lt;&gt;"Skip")*(DAY(AB401)='Recurring Items'!$F$22)*IFERROR(N('Recurring Items'!$D$22),0)+(IF(AC401=1,'Debt Tracker'!$P$20&gt;0.01,INDEX('Debt Tracker'!$T$5:$AE$29,16,AC401-1)&gt;0.01))*('Recurring Items'!$H$23&lt;&gt;"Skip")*(DAY(AB401)='Recurring Items'!$F$23)*IFERROR(N('Recurring Items'!$D$23),0)+(IF(AC401=1,'Debt Tracker'!$P$21&gt;0.01,INDEX('Debt Tracker'!$T$5:$AE$29,17,AC401-1)&gt;0.01))*('Recurring Items'!$H$24&lt;&gt;"Skip")*(DAY(AB401)='Recurring Items'!$F$24)*IFERROR(N('Recurring Items'!$D$24),0)+(IF(AC401=1,'Debt Tracker'!$P$22&gt;0.01,INDEX('Debt Tracker'!$T$5:$AE$29,18,AC401-1)&gt;0.01))*('Recurring Items'!$H$25&lt;&gt;"Skip")*(DAY(AB401)='Recurring Items'!$F$25)*IFERROR(N('Recurring Items'!$D$25),0)+(IF(AC401=1,'Debt Tracker'!$P$23&gt;0.01,INDEX('Debt Tracker'!$T$5:$AE$29,19,AC401-1)&gt;0.01))*('Recurring Items'!$H$26&lt;&gt;"Skip")*(DAY(AB401)='Recurring Items'!$F$26)*IFERROR(N('Recurring Items'!$D$26),0)+(IF(AC401=1,'Debt Tracker'!$P$24&gt;0.01,INDEX('Debt Tracker'!$T$5:$AE$29,20,AC401-1)&gt;0.01))*('Recurring Items'!$H$27&lt;&gt;"Skip")*(DAY(AB401)='Recurring Items'!$F$27)*IFERROR(N('Recurring Items'!$D$27),0)+(IF(AC401=1,'Debt Tracker'!$P$25&gt;0.01,INDEX('Debt Tracker'!$T$5:$AE$29,21,AC401-1)&gt;0.01))*('Recurring Items'!$H$28&lt;&gt;"Skip")*(DAY(AB401)='Recurring Items'!$F$28)*IFERROR(N('Recurring Items'!$D$28),0)+(IF(AC401=1,'Debt Tracker'!$P$26&gt;0.01,INDEX('Debt Tracker'!$T$5:$AE$29,22,AC401-1)&gt;0.01))*('Recurring Items'!$H$29&lt;&gt;"Skip")*(DAY(AB401)='Recurring Items'!$F$29)*IFERROR(N('Recurring Items'!$D$29),0)+(IF(AC401=1,'Debt Tracker'!$P$27&gt;0.01,INDEX('Debt Tracker'!$T$5:$AE$29,23,AC401-1)&gt;0.01))*('Recurring Items'!$H$30&lt;&gt;"Skip")*(DAY(AB401)='Recurring Items'!$F$30)*IFERROR(N('Recurring Items'!$D$30),0)+(IF(AC401=1,'Debt Tracker'!$P$28&gt;0.01,INDEX('Debt Tracker'!$T$5:$AE$29,24,AC401-1)&gt;0.01))*('Recurring Items'!$H$31&lt;&gt;"Skip")*(DAY(AB401)='Recurring Items'!$F$31)*IFERROR(N('Recurring Items'!$D$31),0)+(IF(AC401=1,'Debt Tracker'!$P$29&gt;0.01,INDEX('Debt Tracker'!$T$5:$AE$29,25,AC401-1)&gt;0.01))*('Recurring Items'!$H$32&lt;&gt;"Skip")*(DAY(AB401)='Recurring Items'!$F$32)*IFERROR(N('Recurring Items'!$D$32),0)</f>
        <v>0</v>
      </c>
      <c r="AG401" s="1" t="n">
        <f aca="false">AD401-AE401-AF401</f>
        <v>0</v>
      </c>
      <c r="AH401" s="1" t="n">
        <f aca="false">AH400+AG401</f>
        <v>11634.74</v>
      </c>
    </row>
    <row r="402" customFormat="false" ht="15" hidden="false" customHeight="true" outlineLevel="0" collapsed="false">
      <c r="AA402" s="1" t="n">
        <v>202</v>
      </c>
      <c r="AB402" s="145" t="n">
        <f aca="false">$D$3+202</f>
        <v>46345</v>
      </c>
      <c r="AC402" s="1" t="n">
        <f aca="false">MIN(12,1+DATEDIF($D$3,AB402,"M"))</f>
        <v>7</v>
      </c>
      <c r="AD402" s="1" t="n">
        <f aca="false">SUMPRODUCT(('Recurring Items'!$C$6:$C$56="Income")*('Recurring Items'!$H$6:$H$56&lt;&gt;"Skip")*IFERROR(N('Recurring Items'!$D$6:$D$56),0)*(('Recurring Items'!$E$6:$E$56="Monthly")*(DAY(AB402)='Recurring Items'!$F$6:$F$56)+('Recurring Items'!$E$6:$E$56="Bi-weekly")*(WEEKDAY(AB402)=IFERROR(WEEKDAY('Recurring Items'!$G$6:$G$56),0))*(MOD(AB402-IFERROR('Recurring Items'!$G$6:$G$56,0),14)=0)*(AB402&gt;=IFERROR('Recurring Items'!$G$6:$G$56,9000000000))+('Recurring Items'!$E$6:$E$56="Weekly")*(WEEKDAY(AB402)=IFERROR(WEEKDAY('Recurring Items'!$G$6:$G$56),0))*(AB402&gt;=IFERROR('Recurring Items'!$G$6:$G$56,9000000000))+('Recurring Items'!$E$6:$E$56="One-time")*(AB402='Recurring Items'!$G$6:$G$56)))</f>
        <v>2274.42</v>
      </c>
      <c r="AE402" s="1" t="n">
        <f aca="false">SUMPRODUCT(('Recurring Items'!$C$6:$C$56="Expense")*('Recurring Items'!$H$6:$H$56&lt;&gt;"Skip")*IFERROR(N('Recurring Items'!$D$6:$D$56),0)*(('Recurring Items'!$E$6:$E$56="Monthly")*(DAY(AB402)='Recurring Items'!$F$6:$F$56)+('Recurring Items'!$E$6:$E$56="Bi-weekly")*(WEEKDAY(AB402)=IFERROR(WEEKDAY('Recurring Items'!$G$6:$G$56),0))*(MOD(AB402-IFERROR('Recurring Items'!$G$6:$G$56,0),14)=0)*(AB402&gt;=IFERROR('Recurring Items'!$G$6:$G$56,9000000000))+('Recurring Items'!$E$6:$E$56="Weekly")*(WEEKDAY(AB402)=IFERROR(WEEKDAY('Recurring Items'!$G$6:$G$56),0))*(AB402&gt;=IFERROR('Recurring Items'!$G$6:$G$56,9000000000))+('Recurring Items'!$E$6:$E$56="One-time")*(AB402='Recurring Items'!$G$6:$G$56)))</f>
        <v>0</v>
      </c>
      <c r="AF402" s="1" t="n">
        <f aca="false">(IF(AC402=1,'Debt Tracker'!$P$5&gt;0.01,INDEX('Debt Tracker'!$T$5:$AE$29,1,AC402-1)&gt;0.01))*('Recurring Items'!$H$8&lt;&gt;"Skip")*(DAY(AB402)='Recurring Items'!$F$8)*IFERROR(N('Recurring Items'!$D$8),0)+(IF(AC402=1,'Debt Tracker'!$P$6&gt;0.01,INDEX('Debt Tracker'!$T$5:$AE$29,2,AC402-1)&gt;0.01))*('Recurring Items'!$H$9&lt;&gt;"Skip")*(DAY(AB402)='Recurring Items'!$F$9)*IFERROR(N('Recurring Items'!$D$9),0)+(IF(AC402=1,'Debt Tracker'!$P$7&gt;0.01,INDEX('Debt Tracker'!$T$5:$AE$29,3,AC402-1)&gt;0.01))*('Recurring Items'!$H$10&lt;&gt;"Skip")*(DAY(AB402)='Recurring Items'!$F$10)*IFERROR(N('Recurring Items'!$D$10),0)+(IF(AC402=1,'Debt Tracker'!$P$8&gt;0.01,INDEX('Debt Tracker'!$T$5:$AE$29,4,AC402-1)&gt;0.01))*('Recurring Items'!$H$11&lt;&gt;"Skip")*(DAY(AB402)='Recurring Items'!$F$11)*IFERROR(N('Recurring Items'!$D$11),0)+(IF(AC402=1,'Debt Tracker'!$P$9&gt;0.01,INDEX('Debt Tracker'!$T$5:$AE$29,5,AC402-1)&gt;0.01))*('Recurring Items'!$H$12&lt;&gt;"Skip")*(DAY(AB402)='Recurring Items'!$F$12)*IFERROR(N('Recurring Items'!$D$12),0)+(IF(AC402=1,'Debt Tracker'!$P$10&gt;0.01,INDEX('Debt Tracker'!$T$5:$AE$29,6,AC402-1)&gt;0.01))*('Recurring Items'!$H$13&lt;&gt;"Skip")*(DAY(AB402)='Recurring Items'!$F$13)*IFERROR(N('Recurring Items'!$D$13),0)+(IF(AC402=1,'Debt Tracker'!$P$11&gt;0.01,INDEX('Debt Tracker'!$T$5:$AE$29,7,AC402-1)&gt;0.01))*('Recurring Items'!$H$14&lt;&gt;"Skip")*(DAY(AB402)='Recurring Items'!$F$14)*IFERROR(N('Recurring Items'!$D$14),0)+(IF(AC402=1,'Debt Tracker'!$P$12&gt;0.01,INDEX('Debt Tracker'!$T$5:$AE$29,8,AC402-1)&gt;0.01))*('Recurring Items'!$H$15&lt;&gt;"Skip")*(DAY(AB402)='Recurring Items'!$F$15)*IFERROR(N('Recurring Items'!$D$15),0)+(IF(AC402=1,'Debt Tracker'!$P$13&gt;0.01,INDEX('Debt Tracker'!$T$5:$AE$29,9,AC402-1)&gt;0.01))*('Recurring Items'!$H$16&lt;&gt;"Skip")*(DAY(AB402)='Recurring Items'!$F$16)*IFERROR(N('Recurring Items'!$D$16),0)+(IF(AC402=1,'Debt Tracker'!$P$14&gt;0.01,INDEX('Debt Tracker'!$T$5:$AE$29,10,AC402-1)&gt;0.01))*('Recurring Items'!$H$17&lt;&gt;"Skip")*(DAY(AB402)='Recurring Items'!$F$17)*IFERROR(N('Recurring Items'!$D$17),0)+(IF(AC402=1,'Debt Tracker'!$P$15&gt;0.01,INDEX('Debt Tracker'!$T$5:$AE$29,11,AC402-1)&gt;0.01))*('Recurring Items'!$H$18&lt;&gt;"Skip")*(DAY(AB402)='Recurring Items'!$F$18)*IFERROR(N('Recurring Items'!$D$18),0)+(IF(AC402=1,'Debt Tracker'!$P$16&gt;0.01,INDEX('Debt Tracker'!$T$5:$AE$29,12,AC402-1)&gt;0.01))*('Recurring Items'!$H$19&lt;&gt;"Skip")*(DAY(AB402)='Recurring Items'!$F$19)*IFERROR(N('Recurring Items'!$D$19),0)+(IF(AC402=1,'Debt Tracker'!$P$17&gt;0.01,INDEX('Debt Tracker'!$T$5:$AE$29,13,AC402-1)&gt;0.01))*('Recurring Items'!$H$20&lt;&gt;"Skip")*(DAY(AB402)='Recurring Items'!$F$20)*IFERROR(N('Recurring Items'!$D$20),0)+(IF(AC402=1,'Debt Tracker'!$P$18&gt;0.01,INDEX('Debt Tracker'!$T$5:$AE$29,14,AC402-1)&gt;0.01))*('Recurring Items'!$H$21&lt;&gt;"Skip")*(DAY(AB402)='Recurring Items'!$F$21)*IFERROR(N('Recurring Items'!$D$21),0)+(IF(AC402=1,'Debt Tracker'!$P$19&gt;0.01,INDEX('Debt Tracker'!$T$5:$AE$29,15,AC402-1)&gt;0.01))*('Recurring Items'!$H$22&lt;&gt;"Skip")*(DAY(AB402)='Recurring Items'!$F$22)*IFERROR(N('Recurring Items'!$D$22),0)+(IF(AC402=1,'Debt Tracker'!$P$20&gt;0.01,INDEX('Debt Tracker'!$T$5:$AE$29,16,AC402-1)&gt;0.01))*('Recurring Items'!$H$23&lt;&gt;"Skip")*(DAY(AB402)='Recurring Items'!$F$23)*IFERROR(N('Recurring Items'!$D$23),0)+(IF(AC402=1,'Debt Tracker'!$P$21&gt;0.01,INDEX('Debt Tracker'!$T$5:$AE$29,17,AC402-1)&gt;0.01))*('Recurring Items'!$H$24&lt;&gt;"Skip")*(DAY(AB402)='Recurring Items'!$F$24)*IFERROR(N('Recurring Items'!$D$24),0)+(IF(AC402=1,'Debt Tracker'!$P$22&gt;0.01,INDEX('Debt Tracker'!$T$5:$AE$29,18,AC402-1)&gt;0.01))*('Recurring Items'!$H$25&lt;&gt;"Skip")*(DAY(AB402)='Recurring Items'!$F$25)*IFERROR(N('Recurring Items'!$D$25),0)+(IF(AC402=1,'Debt Tracker'!$P$23&gt;0.01,INDEX('Debt Tracker'!$T$5:$AE$29,19,AC402-1)&gt;0.01))*('Recurring Items'!$H$26&lt;&gt;"Skip")*(DAY(AB402)='Recurring Items'!$F$26)*IFERROR(N('Recurring Items'!$D$26),0)+(IF(AC402=1,'Debt Tracker'!$P$24&gt;0.01,INDEX('Debt Tracker'!$T$5:$AE$29,20,AC402-1)&gt;0.01))*('Recurring Items'!$H$27&lt;&gt;"Skip")*(DAY(AB402)='Recurring Items'!$F$27)*IFERROR(N('Recurring Items'!$D$27),0)+(IF(AC402=1,'Debt Tracker'!$P$25&gt;0.01,INDEX('Debt Tracker'!$T$5:$AE$29,21,AC402-1)&gt;0.01))*('Recurring Items'!$H$28&lt;&gt;"Skip")*(DAY(AB402)='Recurring Items'!$F$28)*IFERROR(N('Recurring Items'!$D$28),0)+(IF(AC402=1,'Debt Tracker'!$P$26&gt;0.01,INDEX('Debt Tracker'!$T$5:$AE$29,22,AC402-1)&gt;0.01))*('Recurring Items'!$H$29&lt;&gt;"Skip")*(DAY(AB402)='Recurring Items'!$F$29)*IFERROR(N('Recurring Items'!$D$29),0)+(IF(AC402=1,'Debt Tracker'!$P$27&gt;0.01,INDEX('Debt Tracker'!$T$5:$AE$29,23,AC402-1)&gt;0.01))*('Recurring Items'!$H$30&lt;&gt;"Skip")*(DAY(AB402)='Recurring Items'!$F$30)*IFERROR(N('Recurring Items'!$D$30),0)+(IF(AC402=1,'Debt Tracker'!$P$28&gt;0.01,INDEX('Debt Tracker'!$T$5:$AE$29,24,AC402-1)&gt;0.01))*('Recurring Items'!$H$31&lt;&gt;"Skip")*(DAY(AB402)='Recurring Items'!$F$31)*IFERROR(N('Recurring Items'!$D$31),0)+(IF(AC402=1,'Debt Tracker'!$P$29&gt;0.01,INDEX('Debt Tracker'!$T$5:$AE$29,25,AC402-1)&gt;0.01))*('Recurring Items'!$H$32&lt;&gt;"Skip")*(DAY(AB402)='Recurring Items'!$F$32)*IFERROR(N('Recurring Items'!$D$32),0)</f>
        <v>0</v>
      </c>
      <c r="AG402" s="1" t="n">
        <f aca="false">AD402-AE402-AF402</f>
        <v>2274.42</v>
      </c>
      <c r="AH402" s="1" t="n">
        <f aca="false">AH401+AG402</f>
        <v>13909.16</v>
      </c>
    </row>
    <row r="403" customFormat="false" ht="15" hidden="false" customHeight="true" outlineLevel="0" collapsed="false">
      <c r="AA403" s="1" t="n">
        <v>203</v>
      </c>
      <c r="AB403" s="145" t="n">
        <f aca="false">$D$3+203</f>
        <v>46346</v>
      </c>
      <c r="AC403" s="1" t="n">
        <f aca="false">MIN(12,1+DATEDIF($D$3,AB403,"M"))</f>
        <v>7</v>
      </c>
      <c r="AD403" s="1" t="n">
        <f aca="false">SUMPRODUCT(('Recurring Items'!$C$6:$C$56="Income")*('Recurring Items'!$H$6:$H$56&lt;&gt;"Skip")*IFERROR(N('Recurring Items'!$D$6:$D$56),0)*(('Recurring Items'!$E$6:$E$56="Monthly")*(DAY(AB403)='Recurring Items'!$F$6:$F$56)+('Recurring Items'!$E$6:$E$56="Bi-weekly")*(WEEKDAY(AB403)=IFERROR(WEEKDAY('Recurring Items'!$G$6:$G$56),0))*(MOD(AB403-IFERROR('Recurring Items'!$G$6:$G$56,0),14)=0)*(AB403&gt;=IFERROR('Recurring Items'!$G$6:$G$56,9000000000))+('Recurring Items'!$E$6:$E$56="Weekly")*(WEEKDAY(AB403)=IFERROR(WEEKDAY('Recurring Items'!$G$6:$G$56),0))*(AB403&gt;=IFERROR('Recurring Items'!$G$6:$G$56,9000000000))+('Recurring Items'!$E$6:$E$56="One-time")*(AB403='Recurring Items'!$G$6:$G$56)))</f>
        <v>0</v>
      </c>
      <c r="AE403" s="1" t="n">
        <f aca="false">SUMPRODUCT(('Recurring Items'!$C$6:$C$56="Expense")*('Recurring Items'!$H$6:$H$56&lt;&gt;"Skip")*IFERROR(N('Recurring Items'!$D$6:$D$56),0)*(('Recurring Items'!$E$6:$E$56="Monthly")*(DAY(AB403)='Recurring Items'!$F$6:$F$56)+('Recurring Items'!$E$6:$E$56="Bi-weekly")*(WEEKDAY(AB403)=IFERROR(WEEKDAY('Recurring Items'!$G$6:$G$56),0))*(MOD(AB403-IFERROR('Recurring Items'!$G$6:$G$56,0),14)=0)*(AB403&gt;=IFERROR('Recurring Items'!$G$6:$G$56,9000000000))+('Recurring Items'!$E$6:$E$56="Weekly")*(WEEKDAY(AB403)=IFERROR(WEEKDAY('Recurring Items'!$G$6:$G$56),0))*(AB403&gt;=IFERROR('Recurring Items'!$G$6:$G$56,9000000000))+('Recurring Items'!$E$6:$E$56="One-time")*(AB403='Recurring Items'!$G$6:$G$56)))</f>
        <v>460</v>
      </c>
      <c r="AF403" s="1" t="n">
        <f aca="false">(IF(AC403=1,'Debt Tracker'!$P$5&gt;0.01,INDEX('Debt Tracker'!$T$5:$AE$29,1,AC403-1)&gt;0.01))*('Recurring Items'!$H$8&lt;&gt;"Skip")*(DAY(AB403)='Recurring Items'!$F$8)*IFERROR(N('Recurring Items'!$D$8),0)+(IF(AC403=1,'Debt Tracker'!$P$6&gt;0.01,INDEX('Debt Tracker'!$T$5:$AE$29,2,AC403-1)&gt;0.01))*('Recurring Items'!$H$9&lt;&gt;"Skip")*(DAY(AB403)='Recurring Items'!$F$9)*IFERROR(N('Recurring Items'!$D$9),0)+(IF(AC403=1,'Debt Tracker'!$P$7&gt;0.01,INDEX('Debt Tracker'!$T$5:$AE$29,3,AC403-1)&gt;0.01))*('Recurring Items'!$H$10&lt;&gt;"Skip")*(DAY(AB403)='Recurring Items'!$F$10)*IFERROR(N('Recurring Items'!$D$10),0)+(IF(AC403=1,'Debt Tracker'!$P$8&gt;0.01,INDEX('Debt Tracker'!$T$5:$AE$29,4,AC403-1)&gt;0.01))*('Recurring Items'!$H$11&lt;&gt;"Skip")*(DAY(AB403)='Recurring Items'!$F$11)*IFERROR(N('Recurring Items'!$D$11),0)+(IF(AC403=1,'Debt Tracker'!$P$9&gt;0.01,INDEX('Debt Tracker'!$T$5:$AE$29,5,AC403-1)&gt;0.01))*('Recurring Items'!$H$12&lt;&gt;"Skip")*(DAY(AB403)='Recurring Items'!$F$12)*IFERROR(N('Recurring Items'!$D$12),0)+(IF(AC403=1,'Debt Tracker'!$P$10&gt;0.01,INDEX('Debt Tracker'!$T$5:$AE$29,6,AC403-1)&gt;0.01))*('Recurring Items'!$H$13&lt;&gt;"Skip")*(DAY(AB403)='Recurring Items'!$F$13)*IFERROR(N('Recurring Items'!$D$13),0)+(IF(AC403=1,'Debt Tracker'!$P$11&gt;0.01,INDEX('Debt Tracker'!$T$5:$AE$29,7,AC403-1)&gt;0.01))*('Recurring Items'!$H$14&lt;&gt;"Skip")*(DAY(AB403)='Recurring Items'!$F$14)*IFERROR(N('Recurring Items'!$D$14),0)+(IF(AC403=1,'Debt Tracker'!$P$12&gt;0.01,INDEX('Debt Tracker'!$T$5:$AE$29,8,AC403-1)&gt;0.01))*('Recurring Items'!$H$15&lt;&gt;"Skip")*(DAY(AB403)='Recurring Items'!$F$15)*IFERROR(N('Recurring Items'!$D$15),0)+(IF(AC403=1,'Debt Tracker'!$P$13&gt;0.01,INDEX('Debt Tracker'!$T$5:$AE$29,9,AC403-1)&gt;0.01))*('Recurring Items'!$H$16&lt;&gt;"Skip")*(DAY(AB403)='Recurring Items'!$F$16)*IFERROR(N('Recurring Items'!$D$16),0)+(IF(AC403=1,'Debt Tracker'!$P$14&gt;0.01,INDEX('Debt Tracker'!$T$5:$AE$29,10,AC403-1)&gt;0.01))*('Recurring Items'!$H$17&lt;&gt;"Skip")*(DAY(AB403)='Recurring Items'!$F$17)*IFERROR(N('Recurring Items'!$D$17),0)+(IF(AC403=1,'Debt Tracker'!$P$15&gt;0.01,INDEX('Debt Tracker'!$T$5:$AE$29,11,AC403-1)&gt;0.01))*('Recurring Items'!$H$18&lt;&gt;"Skip")*(DAY(AB403)='Recurring Items'!$F$18)*IFERROR(N('Recurring Items'!$D$18),0)+(IF(AC403=1,'Debt Tracker'!$P$16&gt;0.01,INDEX('Debt Tracker'!$T$5:$AE$29,12,AC403-1)&gt;0.01))*('Recurring Items'!$H$19&lt;&gt;"Skip")*(DAY(AB403)='Recurring Items'!$F$19)*IFERROR(N('Recurring Items'!$D$19),0)+(IF(AC403=1,'Debt Tracker'!$P$17&gt;0.01,INDEX('Debt Tracker'!$T$5:$AE$29,13,AC403-1)&gt;0.01))*('Recurring Items'!$H$20&lt;&gt;"Skip")*(DAY(AB403)='Recurring Items'!$F$20)*IFERROR(N('Recurring Items'!$D$20),0)+(IF(AC403=1,'Debt Tracker'!$P$18&gt;0.01,INDEX('Debt Tracker'!$T$5:$AE$29,14,AC403-1)&gt;0.01))*('Recurring Items'!$H$21&lt;&gt;"Skip")*(DAY(AB403)='Recurring Items'!$F$21)*IFERROR(N('Recurring Items'!$D$21),0)+(IF(AC403=1,'Debt Tracker'!$P$19&gt;0.01,INDEX('Debt Tracker'!$T$5:$AE$29,15,AC403-1)&gt;0.01))*('Recurring Items'!$H$22&lt;&gt;"Skip")*(DAY(AB403)='Recurring Items'!$F$22)*IFERROR(N('Recurring Items'!$D$22),0)+(IF(AC403=1,'Debt Tracker'!$P$20&gt;0.01,INDEX('Debt Tracker'!$T$5:$AE$29,16,AC403-1)&gt;0.01))*('Recurring Items'!$H$23&lt;&gt;"Skip")*(DAY(AB403)='Recurring Items'!$F$23)*IFERROR(N('Recurring Items'!$D$23),0)+(IF(AC403=1,'Debt Tracker'!$P$21&gt;0.01,INDEX('Debt Tracker'!$T$5:$AE$29,17,AC403-1)&gt;0.01))*('Recurring Items'!$H$24&lt;&gt;"Skip")*(DAY(AB403)='Recurring Items'!$F$24)*IFERROR(N('Recurring Items'!$D$24),0)+(IF(AC403=1,'Debt Tracker'!$P$22&gt;0.01,INDEX('Debt Tracker'!$T$5:$AE$29,18,AC403-1)&gt;0.01))*('Recurring Items'!$H$25&lt;&gt;"Skip")*(DAY(AB403)='Recurring Items'!$F$25)*IFERROR(N('Recurring Items'!$D$25),0)+(IF(AC403=1,'Debt Tracker'!$P$23&gt;0.01,INDEX('Debt Tracker'!$T$5:$AE$29,19,AC403-1)&gt;0.01))*('Recurring Items'!$H$26&lt;&gt;"Skip")*(DAY(AB403)='Recurring Items'!$F$26)*IFERROR(N('Recurring Items'!$D$26),0)+(IF(AC403=1,'Debt Tracker'!$P$24&gt;0.01,INDEX('Debt Tracker'!$T$5:$AE$29,20,AC403-1)&gt;0.01))*('Recurring Items'!$H$27&lt;&gt;"Skip")*(DAY(AB403)='Recurring Items'!$F$27)*IFERROR(N('Recurring Items'!$D$27),0)+(IF(AC403=1,'Debt Tracker'!$P$25&gt;0.01,INDEX('Debt Tracker'!$T$5:$AE$29,21,AC403-1)&gt;0.01))*('Recurring Items'!$H$28&lt;&gt;"Skip")*(DAY(AB403)='Recurring Items'!$F$28)*IFERROR(N('Recurring Items'!$D$28),0)+(IF(AC403=1,'Debt Tracker'!$P$26&gt;0.01,INDEX('Debt Tracker'!$T$5:$AE$29,22,AC403-1)&gt;0.01))*('Recurring Items'!$H$29&lt;&gt;"Skip")*(DAY(AB403)='Recurring Items'!$F$29)*IFERROR(N('Recurring Items'!$D$29),0)+(IF(AC403=1,'Debt Tracker'!$P$27&gt;0.01,INDEX('Debt Tracker'!$T$5:$AE$29,23,AC403-1)&gt;0.01))*('Recurring Items'!$H$30&lt;&gt;"Skip")*(DAY(AB403)='Recurring Items'!$F$30)*IFERROR(N('Recurring Items'!$D$30),0)+(IF(AC403=1,'Debt Tracker'!$P$28&gt;0.01,INDEX('Debt Tracker'!$T$5:$AE$29,24,AC403-1)&gt;0.01))*('Recurring Items'!$H$31&lt;&gt;"Skip")*(DAY(AB403)='Recurring Items'!$F$31)*IFERROR(N('Recurring Items'!$D$31),0)+(IF(AC403=1,'Debt Tracker'!$P$29&gt;0.01,INDEX('Debt Tracker'!$T$5:$AE$29,25,AC403-1)&gt;0.01))*('Recurring Items'!$H$32&lt;&gt;"Skip")*(DAY(AB403)='Recurring Items'!$F$32)*IFERROR(N('Recurring Items'!$D$32),0)</f>
        <v>18.22</v>
      </c>
      <c r="AG403" s="1" t="n">
        <f aca="false">AD403-AE403-AF403</f>
        <v>-478.22</v>
      </c>
      <c r="AH403" s="1" t="n">
        <f aca="false">AH402+AG403</f>
        <v>13430.94</v>
      </c>
    </row>
    <row r="404" customFormat="false" ht="15" hidden="false" customHeight="true" outlineLevel="0" collapsed="false">
      <c r="AA404" s="1" t="n">
        <v>204</v>
      </c>
      <c r="AB404" s="145" t="n">
        <f aca="false">$D$3+204</f>
        <v>46347</v>
      </c>
      <c r="AC404" s="1" t="n">
        <f aca="false">MIN(12,1+DATEDIF($D$3,AB404,"M"))</f>
        <v>7</v>
      </c>
      <c r="AD404" s="1" t="n">
        <f aca="false">SUMPRODUCT(('Recurring Items'!$C$6:$C$56="Income")*('Recurring Items'!$H$6:$H$56&lt;&gt;"Skip")*IFERROR(N('Recurring Items'!$D$6:$D$56),0)*(('Recurring Items'!$E$6:$E$56="Monthly")*(DAY(AB404)='Recurring Items'!$F$6:$F$56)+('Recurring Items'!$E$6:$E$56="Bi-weekly")*(WEEKDAY(AB404)=IFERROR(WEEKDAY('Recurring Items'!$G$6:$G$56),0))*(MOD(AB404-IFERROR('Recurring Items'!$G$6:$G$56,0),14)=0)*(AB404&gt;=IFERROR('Recurring Items'!$G$6:$G$56,9000000000))+('Recurring Items'!$E$6:$E$56="Weekly")*(WEEKDAY(AB404)=IFERROR(WEEKDAY('Recurring Items'!$G$6:$G$56),0))*(AB404&gt;=IFERROR('Recurring Items'!$G$6:$G$56,9000000000))+('Recurring Items'!$E$6:$E$56="One-time")*(AB404='Recurring Items'!$G$6:$G$56)))</f>
        <v>0</v>
      </c>
      <c r="AE404" s="1" t="n">
        <f aca="false">SUMPRODUCT(('Recurring Items'!$C$6:$C$56="Expense")*('Recurring Items'!$H$6:$H$56&lt;&gt;"Skip")*IFERROR(N('Recurring Items'!$D$6:$D$56),0)*(('Recurring Items'!$E$6:$E$56="Monthly")*(DAY(AB404)='Recurring Items'!$F$6:$F$56)+('Recurring Items'!$E$6:$E$56="Bi-weekly")*(WEEKDAY(AB404)=IFERROR(WEEKDAY('Recurring Items'!$G$6:$G$56),0))*(MOD(AB404-IFERROR('Recurring Items'!$G$6:$G$56,0),14)=0)*(AB404&gt;=IFERROR('Recurring Items'!$G$6:$G$56,9000000000))+('Recurring Items'!$E$6:$E$56="Weekly")*(WEEKDAY(AB404)=IFERROR(WEEKDAY('Recurring Items'!$G$6:$G$56),0))*(AB404&gt;=IFERROR('Recurring Items'!$G$6:$G$56,9000000000))+('Recurring Items'!$E$6:$E$56="One-time")*(AB404='Recurring Items'!$G$6:$G$56)))</f>
        <v>241</v>
      </c>
      <c r="AF404" s="1" t="n">
        <f aca="false">(IF(AC404=1,'Debt Tracker'!$P$5&gt;0.01,INDEX('Debt Tracker'!$T$5:$AE$29,1,AC404-1)&gt;0.01))*('Recurring Items'!$H$8&lt;&gt;"Skip")*(DAY(AB404)='Recurring Items'!$F$8)*IFERROR(N('Recurring Items'!$D$8),0)+(IF(AC404=1,'Debt Tracker'!$P$6&gt;0.01,INDEX('Debt Tracker'!$T$5:$AE$29,2,AC404-1)&gt;0.01))*('Recurring Items'!$H$9&lt;&gt;"Skip")*(DAY(AB404)='Recurring Items'!$F$9)*IFERROR(N('Recurring Items'!$D$9),0)+(IF(AC404=1,'Debt Tracker'!$P$7&gt;0.01,INDEX('Debt Tracker'!$T$5:$AE$29,3,AC404-1)&gt;0.01))*('Recurring Items'!$H$10&lt;&gt;"Skip")*(DAY(AB404)='Recurring Items'!$F$10)*IFERROR(N('Recurring Items'!$D$10),0)+(IF(AC404=1,'Debt Tracker'!$P$8&gt;0.01,INDEX('Debt Tracker'!$T$5:$AE$29,4,AC404-1)&gt;0.01))*('Recurring Items'!$H$11&lt;&gt;"Skip")*(DAY(AB404)='Recurring Items'!$F$11)*IFERROR(N('Recurring Items'!$D$11),0)+(IF(AC404=1,'Debt Tracker'!$P$9&gt;0.01,INDEX('Debt Tracker'!$T$5:$AE$29,5,AC404-1)&gt;0.01))*('Recurring Items'!$H$12&lt;&gt;"Skip")*(DAY(AB404)='Recurring Items'!$F$12)*IFERROR(N('Recurring Items'!$D$12),0)+(IF(AC404=1,'Debt Tracker'!$P$10&gt;0.01,INDEX('Debt Tracker'!$T$5:$AE$29,6,AC404-1)&gt;0.01))*('Recurring Items'!$H$13&lt;&gt;"Skip")*(DAY(AB404)='Recurring Items'!$F$13)*IFERROR(N('Recurring Items'!$D$13),0)+(IF(AC404=1,'Debt Tracker'!$P$11&gt;0.01,INDEX('Debt Tracker'!$T$5:$AE$29,7,AC404-1)&gt;0.01))*('Recurring Items'!$H$14&lt;&gt;"Skip")*(DAY(AB404)='Recurring Items'!$F$14)*IFERROR(N('Recurring Items'!$D$14),0)+(IF(AC404=1,'Debt Tracker'!$P$12&gt;0.01,INDEX('Debt Tracker'!$T$5:$AE$29,8,AC404-1)&gt;0.01))*('Recurring Items'!$H$15&lt;&gt;"Skip")*(DAY(AB404)='Recurring Items'!$F$15)*IFERROR(N('Recurring Items'!$D$15),0)+(IF(AC404=1,'Debt Tracker'!$P$13&gt;0.01,INDEX('Debt Tracker'!$T$5:$AE$29,9,AC404-1)&gt;0.01))*('Recurring Items'!$H$16&lt;&gt;"Skip")*(DAY(AB404)='Recurring Items'!$F$16)*IFERROR(N('Recurring Items'!$D$16),0)+(IF(AC404=1,'Debt Tracker'!$P$14&gt;0.01,INDEX('Debt Tracker'!$T$5:$AE$29,10,AC404-1)&gt;0.01))*('Recurring Items'!$H$17&lt;&gt;"Skip")*(DAY(AB404)='Recurring Items'!$F$17)*IFERROR(N('Recurring Items'!$D$17),0)+(IF(AC404=1,'Debt Tracker'!$P$15&gt;0.01,INDEX('Debt Tracker'!$T$5:$AE$29,11,AC404-1)&gt;0.01))*('Recurring Items'!$H$18&lt;&gt;"Skip")*(DAY(AB404)='Recurring Items'!$F$18)*IFERROR(N('Recurring Items'!$D$18),0)+(IF(AC404=1,'Debt Tracker'!$P$16&gt;0.01,INDEX('Debt Tracker'!$T$5:$AE$29,12,AC404-1)&gt;0.01))*('Recurring Items'!$H$19&lt;&gt;"Skip")*(DAY(AB404)='Recurring Items'!$F$19)*IFERROR(N('Recurring Items'!$D$19),0)+(IF(AC404=1,'Debt Tracker'!$P$17&gt;0.01,INDEX('Debt Tracker'!$T$5:$AE$29,13,AC404-1)&gt;0.01))*('Recurring Items'!$H$20&lt;&gt;"Skip")*(DAY(AB404)='Recurring Items'!$F$20)*IFERROR(N('Recurring Items'!$D$20),0)+(IF(AC404=1,'Debt Tracker'!$P$18&gt;0.01,INDEX('Debt Tracker'!$T$5:$AE$29,14,AC404-1)&gt;0.01))*('Recurring Items'!$H$21&lt;&gt;"Skip")*(DAY(AB404)='Recurring Items'!$F$21)*IFERROR(N('Recurring Items'!$D$21),0)+(IF(AC404=1,'Debt Tracker'!$P$19&gt;0.01,INDEX('Debt Tracker'!$T$5:$AE$29,15,AC404-1)&gt;0.01))*('Recurring Items'!$H$22&lt;&gt;"Skip")*(DAY(AB404)='Recurring Items'!$F$22)*IFERROR(N('Recurring Items'!$D$22),0)+(IF(AC404=1,'Debt Tracker'!$P$20&gt;0.01,INDEX('Debt Tracker'!$T$5:$AE$29,16,AC404-1)&gt;0.01))*('Recurring Items'!$H$23&lt;&gt;"Skip")*(DAY(AB404)='Recurring Items'!$F$23)*IFERROR(N('Recurring Items'!$D$23),0)+(IF(AC404=1,'Debt Tracker'!$P$21&gt;0.01,INDEX('Debt Tracker'!$T$5:$AE$29,17,AC404-1)&gt;0.01))*('Recurring Items'!$H$24&lt;&gt;"Skip")*(DAY(AB404)='Recurring Items'!$F$24)*IFERROR(N('Recurring Items'!$D$24),0)+(IF(AC404=1,'Debt Tracker'!$P$22&gt;0.01,INDEX('Debt Tracker'!$T$5:$AE$29,18,AC404-1)&gt;0.01))*('Recurring Items'!$H$25&lt;&gt;"Skip")*(DAY(AB404)='Recurring Items'!$F$25)*IFERROR(N('Recurring Items'!$D$25),0)+(IF(AC404=1,'Debt Tracker'!$P$23&gt;0.01,INDEX('Debt Tracker'!$T$5:$AE$29,19,AC404-1)&gt;0.01))*('Recurring Items'!$H$26&lt;&gt;"Skip")*(DAY(AB404)='Recurring Items'!$F$26)*IFERROR(N('Recurring Items'!$D$26),0)+(IF(AC404=1,'Debt Tracker'!$P$24&gt;0.01,INDEX('Debt Tracker'!$T$5:$AE$29,20,AC404-1)&gt;0.01))*('Recurring Items'!$H$27&lt;&gt;"Skip")*(DAY(AB404)='Recurring Items'!$F$27)*IFERROR(N('Recurring Items'!$D$27),0)+(IF(AC404=1,'Debt Tracker'!$P$25&gt;0.01,INDEX('Debt Tracker'!$T$5:$AE$29,21,AC404-1)&gt;0.01))*('Recurring Items'!$H$28&lt;&gt;"Skip")*(DAY(AB404)='Recurring Items'!$F$28)*IFERROR(N('Recurring Items'!$D$28),0)+(IF(AC404=1,'Debt Tracker'!$P$26&gt;0.01,INDEX('Debt Tracker'!$T$5:$AE$29,22,AC404-1)&gt;0.01))*('Recurring Items'!$H$29&lt;&gt;"Skip")*(DAY(AB404)='Recurring Items'!$F$29)*IFERROR(N('Recurring Items'!$D$29),0)+(IF(AC404=1,'Debt Tracker'!$P$27&gt;0.01,INDEX('Debt Tracker'!$T$5:$AE$29,23,AC404-1)&gt;0.01))*('Recurring Items'!$H$30&lt;&gt;"Skip")*(DAY(AB404)='Recurring Items'!$F$30)*IFERROR(N('Recurring Items'!$D$30),0)+(IF(AC404=1,'Debt Tracker'!$P$28&gt;0.01,INDEX('Debt Tracker'!$T$5:$AE$29,24,AC404-1)&gt;0.01))*('Recurring Items'!$H$31&lt;&gt;"Skip")*(DAY(AB404)='Recurring Items'!$F$31)*IFERROR(N('Recurring Items'!$D$31),0)+(IF(AC404=1,'Debt Tracker'!$P$29&gt;0.01,INDEX('Debt Tracker'!$T$5:$AE$29,25,AC404-1)&gt;0.01))*('Recurring Items'!$H$32&lt;&gt;"Skip")*(DAY(AB404)='Recurring Items'!$F$32)*IFERROR(N('Recurring Items'!$D$32),0)</f>
        <v>80</v>
      </c>
      <c r="AG404" s="1" t="n">
        <f aca="false">AD404-AE404-AF404</f>
        <v>-321</v>
      </c>
      <c r="AH404" s="1" t="n">
        <f aca="false">AH403+AG404</f>
        <v>13109.94</v>
      </c>
    </row>
    <row r="405" customFormat="false" ht="15" hidden="false" customHeight="true" outlineLevel="0" collapsed="false">
      <c r="AA405" s="1" t="n">
        <v>205</v>
      </c>
      <c r="AB405" s="145" t="n">
        <f aca="false">$D$3+205</f>
        <v>46348</v>
      </c>
      <c r="AC405" s="1" t="n">
        <f aca="false">MIN(12,1+DATEDIF($D$3,AB405,"M"))</f>
        <v>7</v>
      </c>
      <c r="AD405" s="1" t="n">
        <f aca="false">SUMPRODUCT(('Recurring Items'!$C$6:$C$56="Income")*('Recurring Items'!$H$6:$H$56&lt;&gt;"Skip")*IFERROR(N('Recurring Items'!$D$6:$D$56),0)*(('Recurring Items'!$E$6:$E$56="Monthly")*(DAY(AB405)='Recurring Items'!$F$6:$F$56)+('Recurring Items'!$E$6:$E$56="Bi-weekly")*(WEEKDAY(AB405)=IFERROR(WEEKDAY('Recurring Items'!$G$6:$G$56),0))*(MOD(AB405-IFERROR('Recurring Items'!$G$6:$G$56,0),14)=0)*(AB405&gt;=IFERROR('Recurring Items'!$G$6:$G$56,9000000000))+('Recurring Items'!$E$6:$E$56="Weekly")*(WEEKDAY(AB405)=IFERROR(WEEKDAY('Recurring Items'!$G$6:$G$56),0))*(AB405&gt;=IFERROR('Recurring Items'!$G$6:$G$56,9000000000))+('Recurring Items'!$E$6:$E$56="One-time")*(AB405='Recurring Items'!$G$6:$G$56)))</f>
        <v>0</v>
      </c>
      <c r="AE405" s="1" t="n">
        <f aca="false">SUMPRODUCT(('Recurring Items'!$C$6:$C$56="Expense")*('Recurring Items'!$H$6:$H$56&lt;&gt;"Skip")*IFERROR(N('Recurring Items'!$D$6:$D$56),0)*(('Recurring Items'!$E$6:$E$56="Monthly")*(DAY(AB405)='Recurring Items'!$F$6:$F$56)+('Recurring Items'!$E$6:$E$56="Bi-weekly")*(WEEKDAY(AB405)=IFERROR(WEEKDAY('Recurring Items'!$G$6:$G$56),0))*(MOD(AB405-IFERROR('Recurring Items'!$G$6:$G$56,0),14)=0)*(AB405&gt;=IFERROR('Recurring Items'!$G$6:$G$56,9000000000))+('Recurring Items'!$E$6:$E$56="Weekly")*(WEEKDAY(AB405)=IFERROR(WEEKDAY('Recurring Items'!$G$6:$G$56),0))*(AB405&gt;=IFERROR('Recurring Items'!$G$6:$G$56,9000000000))+('Recurring Items'!$E$6:$E$56="One-time")*(AB405='Recurring Items'!$G$6:$G$56)))</f>
        <v>0</v>
      </c>
      <c r="AF405" s="1" t="n">
        <f aca="false">(IF(AC405=1,'Debt Tracker'!$P$5&gt;0.01,INDEX('Debt Tracker'!$T$5:$AE$29,1,AC405-1)&gt;0.01))*('Recurring Items'!$H$8&lt;&gt;"Skip")*(DAY(AB405)='Recurring Items'!$F$8)*IFERROR(N('Recurring Items'!$D$8),0)+(IF(AC405=1,'Debt Tracker'!$P$6&gt;0.01,INDEX('Debt Tracker'!$T$5:$AE$29,2,AC405-1)&gt;0.01))*('Recurring Items'!$H$9&lt;&gt;"Skip")*(DAY(AB405)='Recurring Items'!$F$9)*IFERROR(N('Recurring Items'!$D$9),0)+(IF(AC405=1,'Debt Tracker'!$P$7&gt;0.01,INDEX('Debt Tracker'!$T$5:$AE$29,3,AC405-1)&gt;0.01))*('Recurring Items'!$H$10&lt;&gt;"Skip")*(DAY(AB405)='Recurring Items'!$F$10)*IFERROR(N('Recurring Items'!$D$10),0)+(IF(AC405=1,'Debt Tracker'!$P$8&gt;0.01,INDEX('Debt Tracker'!$T$5:$AE$29,4,AC405-1)&gt;0.01))*('Recurring Items'!$H$11&lt;&gt;"Skip")*(DAY(AB405)='Recurring Items'!$F$11)*IFERROR(N('Recurring Items'!$D$11),0)+(IF(AC405=1,'Debt Tracker'!$P$9&gt;0.01,INDEX('Debt Tracker'!$T$5:$AE$29,5,AC405-1)&gt;0.01))*('Recurring Items'!$H$12&lt;&gt;"Skip")*(DAY(AB405)='Recurring Items'!$F$12)*IFERROR(N('Recurring Items'!$D$12),0)+(IF(AC405=1,'Debt Tracker'!$P$10&gt;0.01,INDEX('Debt Tracker'!$T$5:$AE$29,6,AC405-1)&gt;0.01))*('Recurring Items'!$H$13&lt;&gt;"Skip")*(DAY(AB405)='Recurring Items'!$F$13)*IFERROR(N('Recurring Items'!$D$13),0)+(IF(AC405=1,'Debt Tracker'!$P$11&gt;0.01,INDEX('Debt Tracker'!$T$5:$AE$29,7,AC405-1)&gt;0.01))*('Recurring Items'!$H$14&lt;&gt;"Skip")*(DAY(AB405)='Recurring Items'!$F$14)*IFERROR(N('Recurring Items'!$D$14),0)+(IF(AC405=1,'Debt Tracker'!$P$12&gt;0.01,INDEX('Debt Tracker'!$T$5:$AE$29,8,AC405-1)&gt;0.01))*('Recurring Items'!$H$15&lt;&gt;"Skip")*(DAY(AB405)='Recurring Items'!$F$15)*IFERROR(N('Recurring Items'!$D$15),0)+(IF(AC405=1,'Debt Tracker'!$P$13&gt;0.01,INDEX('Debt Tracker'!$T$5:$AE$29,9,AC405-1)&gt;0.01))*('Recurring Items'!$H$16&lt;&gt;"Skip")*(DAY(AB405)='Recurring Items'!$F$16)*IFERROR(N('Recurring Items'!$D$16),0)+(IF(AC405=1,'Debt Tracker'!$P$14&gt;0.01,INDEX('Debt Tracker'!$T$5:$AE$29,10,AC405-1)&gt;0.01))*('Recurring Items'!$H$17&lt;&gt;"Skip")*(DAY(AB405)='Recurring Items'!$F$17)*IFERROR(N('Recurring Items'!$D$17),0)+(IF(AC405=1,'Debt Tracker'!$P$15&gt;0.01,INDEX('Debt Tracker'!$T$5:$AE$29,11,AC405-1)&gt;0.01))*('Recurring Items'!$H$18&lt;&gt;"Skip")*(DAY(AB405)='Recurring Items'!$F$18)*IFERROR(N('Recurring Items'!$D$18),0)+(IF(AC405=1,'Debt Tracker'!$P$16&gt;0.01,INDEX('Debt Tracker'!$T$5:$AE$29,12,AC405-1)&gt;0.01))*('Recurring Items'!$H$19&lt;&gt;"Skip")*(DAY(AB405)='Recurring Items'!$F$19)*IFERROR(N('Recurring Items'!$D$19),0)+(IF(AC405=1,'Debt Tracker'!$P$17&gt;0.01,INDEX('Debt Tracker'!$T$5:$AE$29,13,AC405-1)&gt;0.01))*('Recurring Items'!$H$20&lt;&gt;"Skip")*(DAY(AB405)='Recurring Items'!$F$20)*IFERROR(N('Recurring Items'!$D$20),0)+(IF(AC405=1,'Debt Tracker'!$P$18&gt;0.01,INDEX('Debt Tracker'!$T$5:$AE$29,14,AC405-1)&gt;0.01))*('Recurring Items'!$H$21&lt;&gt;"Skip")*(DAY(AB405)='Recurring Items'!$F$21)*IFERROR(N('Recurring Items'!$D$21),0)+(IF(AC405=1,'Debt Tracker'!$P$19&gt;0.01,INDEX('Debt Tracker'!$T$5:$AE$29,15,AC405-1)&gt;0.01))*('Recurring Items'!$H$22&lt;&gt;"Skip")*(DAY(AB405)='Recurring Items'!$F$22)*IFERROR(N('Recurring Items'!$D$22),0)+(IF(AC405=1,'Debt Tracker'!$P$20&gt;0.01,INDEX('Debt Tracker'!$T$5:$AE$29,16,AC405-1)&gt;0.01))*('Recurring Items'!$H$23&lt;&gt;"Skip")*(DAY(AB405)='Recurring Items'!$F$23)*IFERROR(N('Recurring Items'!$D$23),0)+(IF(AC405=1,'Debt Tracker'!$P$21&gt;0.01,INDEX('Debt Tracker'!$T$5:$AE$29,17,AC405-1)&gt;0.01))*('Recurring Items'!$H$24&lt;&gt;"Skip")*(DAY(AB405)='Recurring Items'!$F$24)*IFERROR(N('Recurring Items'!$D$24),0)+(IF(AC405=1,'Debt Tracker'!$P$22&gt;0.01,INDEX('Debt Tracker'!$T$5:$AE$29,18,AC405-1)&gt;0.01))*('Recurring Items'!$H$25&lt;&gt;"Skip")*(DAY(AB405)='Recurring Items'!$F$25)*IFERROR(N('Recurring Items'!$D$25),0)+(IF(AC405=1,'Debt Tracker'!$P$23&gt;0.01,INDEX('Debt Tracker'!$T$5:$AE$29,19,AC405-1)&gt;0.01))*('Recurring Items'!$H$26&lt;&gt;"Skip")*(DAY(AB405)='Recurring Items'!$F$26)*IFERROR(N('Recurring Items'!$D$26),0)+(IF(AC405=1,'Debt Tracker'!$P$24&gt;0.01,INDEX('Debt Tracker'!$T$5:$AE$29,20,AC405-1)&gt;0.01))*('Recurring Items'!$H$27&lt;&gt;"Skip")*(DAY(AB405)='Recurring Items'!$F$27)*IFERROR(N('Recurring Items'!$D$27),0)+(IF(AC405=1,'Debt Tracker'!$P$25&gt;0.01,INDEX('Debt Tracker'!$T$5:$AE$29,21,AC405-1)&gt;0.01))*('Recurring Items'!$H$28&lt;&gt;"Skip")*(DAY(AB405)='Recurring Items'!$F$28)*IFERROR(N('Recurring Items'!$D$28),0)+(IF(AC405=1,'Debt Tracker'!$P$26&gt;0.01,INDEX('Debt Tracker'!$T$5:$AE$29,22,AC405-1)&gt;0.01))*('Recurring Items'!$H$29&lt;&gt;"Skip")*(DAY(AB405)='Recurring Items'!$F$29)*IFERROR(N('Recurring Items'!$D$29),0)+(IF(AC405=1,'Debt Tracker'!$P$27&gt;0.01,INDEX('Debt Tracker'!$T$5:$AE$29,23,AC405-1)&gt;0.01))*('Recurring Items'!$H$30&lt;&gt;"Skip")*(DAY(AB405)='Recurring Items'!$F$30)*IFERROR(N('Recurring Items'!$D$30),0)+(IF(AC405=1,'Debt Tracker'!$P$28&gt;0.01,INDEX('Debt Tracker'!$T$5:$AE$29,24,AC405-1)&gt;0.01))*('Recurring Items'!$H$31&lt;&gt;"Skip")*(DAY(AB405)='Recurring Items'!$F$31)*IFERROR(N('Recurring Items'!$D$31),0)+(IF(AC405=1,'Debt Tracker'!$P$29&gt;0.01,INDEX('Debt Tracker'!$T$5:$AE$29,25,AC405-1)&gt;0.01))*('Recurring Items'!$H$32&lt;&gt;"Skip")*(DAY(AB405)='Recurring Items'!$F$32)*IFERROR(N('Recurring Items'!$D$32),0)</f>
        <v>0</v>
      </c>
      <c r="AG405" s="1" t="n">
        <f aca="false">AD405-AE405-AF405</f>
        <v>0</v>
      </c>
      <c r="AH405" s="1" t="n">
        <f aca="false">AH404+AG405</f>
        <v>13109.94</v>
      </c>
    </row>
    <row r="406" customFormat="false" ht="15" hidden="false" customHeight="true" outlineLevel="0" collapsed="false">
      <c r="AA406" s="1" t="n">
        <v>206</v>
      </c>
      <c r="AB406" s="145" t="n">
        <f aca="false">$D$3+206</f>
        <v>46349</v>
      </c>
      <c r="AC406" s="1" t="n">
        <f aca="false">MIN(12,1+DATEDIF($D$3,AB406,"M"))</f>
        <v>7</v>
      </c>
      <c r="AD406" s="1" t="n">
        <f aca="false">SUMPRODUCT(('Recurring Items'!$C$6:$C$56="Income")*('Recurring Items'!$H$6:$H$56&lt;&gt;"Skip")*IFERROR(N('Recurring Items'!$D$6:$D$56),0)*(('Recurring Items'!$E$6:$E$56="Monthly")*(DAY(AB406)='Recurring Items'!$F$6:$F$56)+('Recurring Items'!$E$6:$E$56="Bi-weekly")*(WEEKDAY(AB406)=IFERROR(WEEKDAY('Recurring Items'!$G$6:$G$56),0))*(MOD(AB406-IFERROR('Recurring Items'!$G$6:$G$56,0),14)=0)*(AB406&gt;=IFERROR('Recurring Items'!$G$6:$G$56,9000000000))+('Recurring Items'!$E$6:$E$56="Weekly")*(WEEKDAY(AB406)=IFERROR(WEEKDAY('Recurring Items'!$G$6:$G$56),0))*(AB406&gt;=IFERROR('Recurring Items'!$G$6:$G$56,9000000000))+('Recurring Items'!$E$6:$E$56="One-time")*(AB406='Recurring Items'!$G$6:$G$56)))</f>
        <v>0</v>
      </c>
      <c r="AE406" s="1" t="n">
        <f aca="false">SUMPRODUCT(('Recurring Items'!$C$6:$C$56="Expense")*('Recurring Items'!$H$6:$H$56&lt;&gt;"Skip")*IFERROR(N('Recurring Items'!$D$6:$D$56),0)*(('Recurring Items'!$E$6:$E$56="Monthly")*(DAY(AB406)='Recurring Items'!$F$6:$F$56)+('Recurring Items'!$E$6:$E$56="Bi-weekly")*(WEEKDAY(AB406)=IFERROR(WEEKDAY('Recurring Items'!$G$6:$G$56),0))*(MOD(AB406-IFERROR('Recurring Items'!$G$6:$G$56,0),14)=0)*(AB406&gt;=IFERROR('Recurring Items'!$G$6:$G$56,9000000000))+('Recurring Items'!$E$6:$E$56="Weekly")*(WEEKDAY(AB406)=IFERROR(WEEKDAY('Recurring Items'!$G$6:$G$56),0))*(AB406&gt;=IFERROR('Recurring Items'!$G$6:$G$56,9000000000))+('Recurring Items'!$E$6:$E$56="One-time")*(AB406='Recurring Items'!$G$6:$G$56)))</f>
        <v>0</v>
      </c>
      <c r="AF406" s="1" t="n">
        <f aca="false">(IF(AC406=1,'Debt Tracker'!$P$5&gt;0.01,INDEX('Debt Tracker'!$T$5:$AE$29,1,AC406-1)&gt;0.01))*('Recurring Items'!$H$8&lt;&gt;"Skip")*(DAY(AB406)='Recurring Items'!$F$8)*IFERROR(N('Recurring Items'!$D$8),0)+(IF(AC406=1,'Debt Tracker'!$P$6&gt;0.01,INDEX('Debt Tracker'!$T$5:$AE$29,2,AC406-1)&gt;0.01))*('Recurring Items'!$H$9&lt;&gt;"Skip")*(DAY(AB406)='Recurring Items'!$F$9)*IFERROR(N('Recurring Items'!$D$9),0)+(IF(AC406=1,'Debt Tracker'!$P$7&gt;0.01,INDEX('Debt Tracker'!$T$5:$AE$29,3,AC406-1)&gt;0.01))*('Recurring Items'!$H$10&lt;&gt;"Skip")*(DAY(AB406)='Recurring Items'!$F$10)*IFERROR(N('Recurring Items'!$D$10),0)+(IF(AC406=1,'Debt Tracker'!$P$8&gt;0.01,INDEX('Debt Tracker'!$T$5:$AE$29,4,AC406-1)&gt;0.01))*('Recurring Items'!$H$11&lt;&gt;"Skip")*(DAY(AB406)='Recurring Items'!$F$11)*IFERROR(N('Recurring Items'!$D$11),0)+(IF(AC406=1,'Debt Tracker'!$P$9&gt;0.01,INDEX('Debt Tracker'!$T$5:$AE$29,5,AC406-1)&gt;0.01))*('Recurring Items'!$H$12&lt;&gt;"Skip")*(DAY(AB406)='Recurring Items'!$F$12)*IFERROR(N('Recurring Items'!$D$12),0)+(IF(AC406=1,'Debt Tracker'!$P$10&gt;0.01,INDEX('Debt Tracker'!$T$5:$AE$29,6,AC406-1)&gt;0.01))*('Recurring Items'!$H$13&lt;&gt;"Skip")*(DAY(AB406)='Recurring Items'!$F$13)*IFERROR(N('Recurring Items'!$D$13),0)+(IF(AC406=1,'Debt Tracker'!$P$11&gt;0.01,INDEX('Debt Tracker'!$T$5:$AE$29,7,AC406-1)&gt;0.01))*('Recurring Items'!$H$14&lt;&gt;"Skip")*(DAY(AB406)='Recurring Items'!$F$14)*IFERROR(N('Recurring Items'!$D$14),0)+(IF(AC406=1,'Debt Tracker'!$P$12&gt;0.01,INDEX('Debt Tracker'!$T$5:$AE$29,8,AC406-1)&gt;0.01))*('Recurring Items'!$H$15&lt;&gt;"Skip")*(DAY(AB406)='Recurring Items'!$F$15)*IFERROR(N('Recurring Items'!$D$15),0)+(IF(AC406=1,'Debt Tracker'!$P$13&gt;0.01,INDEX('Debt Tracker'!$T$5:$AE$29,9,AC406-1)&gt;0.01))*('Recurring Items'!$H$16&lt;&gt;"Skip")*(DAY(AB406)='Recurring Items'!$F$16)*IFERROR(N('Recurring Items'!$D$16),0)+(IF(AC406=1,'Debt Tracker'!$P$14&gt;0.01,INDEX('Debt Tracker'!$T$5:$AE$29,10,AC406-1)&gt;0.01))*('Recurring Items'!$H$17&lt;&gt;"Skip")*(DAY(AB406)='Recurring Items'!$F$17)*IFERROR(N('Recurring Items'!$D$17),0)+(IF(AC406=1,'Debt Tracker'!$P$15&gt;0.01,INDEX('Debt Tracker'!$T$5:$AE$29,11,AC406-1)&gt;0.01))*('Recurring Items'!$H$18&lt;&gt;"Skip")*(DAY(AB406)='Recurring Items'!$F$18)*IFERROR(N('Recurring Items'!$D$18),0)+(IF(AC406=1,'Debt Tracker'!$P$16&gt;0.01,INDEX('Debt Tracker'!$T$5:$AE$29,12,AC406-1)&gt;0.01))*('Recurring Items'!$H$19&lt;&gt;"Skip")*(DAY(AB406)='Recurring Items'!$F$19)*IFERROR(N('Recurring Items'!$D$19),0)+(IF(AC406=1,'Debt Tracker'!$P$17&gt;0.01,INDEX('Debt Tracker'!$T$5:$AE$29,13,AC406-1)&gt;0.01))*('Recurring Items'!$H$20&lt;&gt;"Skip")*(DAY(AB406)='Recurring Items'!$F$20)*IFERROR(N('Recurring Items'!$D$20),0)+(IF(AC406=1,'Debt Tracker'!$P$18&gt;0.01,INDEX('Debt Tracker'!$T$5:$AE$29,14,AC406-1)&gt;0.01))*('Recurring Items'!$H$21&lt;&gt;"Skip")*(DAY(AB406)='Recurring Items'!$F$21)*IFERROR(N('Recurring Items'!$D$21),0)+(IF(AC406=1,'Debt Tracker'!$P$19&gt;0.01,INDEX('Debt Tracker'!$T$5:$AE$29,15,AC406-1)&gt;0.01))*('Recurring Items'!$H$22&lt;&gt;"Skip")*(DAY(AB406)='Recurring Items'!$F$22)*IFERROR(N('Recurring Items'!$D$22),0)+(IF(AC406=1,'Debt Tracker'!$P$20&gt;0.01,INDEX('Debt Tracker'!$T$5:$AE$29,16,AC406-1)&gt;0.01))*('Recurring Items'!$H$23&lt;&gt;"Skip")*(DAY(AB406)='Recurring Items'!$F$23)*IFERROR(N('Recurring Items'!$D$23),0)+(IF(AC406=1,'Debt Tracker'!$P$21&gt;0.01,INDEX('Debt Tracker'!$T$5:$AE$29,17,AC406-1)&gt;0.01))*('Recurring Items'!$H$24&lt;&gt;"Skip")*(DAY(AB406)='Recurring Items'!$F$24)*IFERROR(N('Recurring Items'!$D$24),0)+(IF(AC406=1,'Debt Tracker'!$P$22&gt;0.01,INDEX('Debt Tracker'!$T$5:$AE$29,18,AC406-1)&gt;0.01))*('Recurring Items'!$H$25&lt;&gt;"Skip")*(DAY(AB406)='Recurring Items'!$F$25)*IFERROR(N('Recurring Items'!$D$25),0)+(IF(AC406=1,'Debt Tracker'!$P$23&gt;0.01,INDEX('Debt Tracker'!$T$5:$AE$29,19,AC406-1)&gt;0.01))*('Recurring Items'!$H$26&lt;&gt;"Skip")*(DAY(AB406)='Recurring Items'!$F$26)*IFERROR(N('Recurring Items'!$D$26),0)+(IF(AC406=1,'Debt Tracker'!$P$24&gt;0.01,INDEX('Debt Tracker'!$T$5:$AE$29,20,AC406-1)&gt;0.01))*('Recurring Items'!$H$27&lt;&gt;"Skip")*(DAY(AB406)='Recurring Items'!$F$27)*IFERROR(N('Recurring Items'!$D$27),0)+(IF(AC406=1,'Debt Tracker'!$P$25&gt;0.01,INDEX('Debt Tracker'!$T$5:$AE$29,21,AC406-1)&gt;0.01))*('Recurring Items'!$H$28&lt;&gt;"Skip")*(DAY(AB406)='Recurring Items'!$F$28)*IFERROR(N('Recurring Items'!$D$28),0)+(IF(AC406=1,'Debt Tracker'!$P$26&gt;0.01,INDEX('Debt Tracker'!$T$5:$AE$29,22,AC406-1)&gt;0.01))*('Recurring Items'!$H$29&lt;&gt;"Skip")*(DAY(AB406)='Recurring Items'!$F$29)*IFERROR(N('Recurring Items'!$D$29),0)+(IF(AC406=1,'Debt Tracker'!$P$27&gt;0.01,INDEX('Debt Tracker'!$T$5:$AE$29,23,AC406-1)&gt;0.01))*('Recurring Items'!$H$30&lt;&gt;"Skip")*(DAY(AB406)='Recurring Items'!$F$30)*IFERROR(N('Recurring Items'!$D$30),0)+(IF(AC406=1,'Debt Tracker'!$P$28&gt;0.01,INDEX('Debt Tracker'!$T$5:$AE$29,24,AC406-1)&gt;0.01))*('Recurring Items'!$H$31&lt;&gt;"Skip")*(DAY(AB406)='Recurring Items'!$F$31)*IFERROR(N('Recurring Items'!$D$31),0)+(IF(AC406=1,'Debt Tracker'!$P$29&gt;0.01,INDEX('Debt Tracker'!$T$5:$AE$29,25,AC406-1)&gt;0.01))*('Recurring Items'!$H$32&lt;&gt;"Skip")*(DAY(AB406)='Recurring Items'!$F$32)*IFERROR(N('Recurring Items'!$D$32),0)</f>
        <v>0</v>
      </c>
      <c r="AG406" s="1" t="n">
        <f aca="false">AD406-AE406-AF406</f>
        <v>0</v>
      </c>
      <c r="AH406" s="1" t="n">
        <f aca="false">AH405+AG406</f>
        <v>13109.94</v>
      </c>
    </row>
    <row r="407" customFormat="false" ht="15" hidden="false" customHeight="true" outlineLevel="0" collapsed="false">
      <c r="AA407" s="1" t="n">
        <v>207</v>
      </c>
      <c r="AB407" s="145" t="n">
        <f aca="false">$D$3+207</f>
        <v>46350</v>
      </c>
      <c r="AC407" s="1" t="n">
        <f aca="false">MIN(12,1+DATEDIF($D$3,AB407,"M"))</f>
        <v>7</v>
      </c>
      <c r="AD407" s="1" t="n">
        <f aca="false">SUMPRODUCT(('Recurring Items'!$C$6:$C$56="Income")*('Recurring Items'!$H$6:$H$56&lt;&gt;"Skip")*IFERROR(N('Recurring Items'!$D$6:$D$56),0)*(('Recurring Items'!$E$6:$E$56="Monthly")*(DAY(AB407)='Recurring Items'!$F$6:$F$56)+('Recurring Items'!$E$6:$E$56="Bi-weekly")*(WEEKDAY(AB407)=IFERROR(WEEKDAY('Recurring Items'!$G$6:$G$56),0))*(MOD(AB407-IFERROR('Recurring Items'!$G$6:$G$56,0),14)=0)*(AB407&gt;=IFERROR('Recurring Items'!$G$6:$G$56,9000000000))+('Recurring Items'!$E$6:$E$56="Weekly")*(WEEKDAY(AB407)=IFERROR(WEEKDAY('Recurring Items'!$G$6:$G$56),0))*(AB407&gt;=IFERROR('Recurring Items'!$G$6:$G$56,9000000000))+('Recurring Items'!$E$6:$E$56="One-time")*(AB407='Recurring Items'!$G$6:$G$56)))</f>
        <v>0</v>
      </c>
      <c r="AE407" s="1" t="n">
        <f aca="false">SUMPRODUCT(('Recurring Items'!$C$6:$C$56="Expense")*('Recurring Items'!$H$6:$H$56&lt;&gt;"Skip")*IFERROR(N('Recurring Items'!$D$6:$D$56),0)*(('Recurring Items'!$E$6:$E$56="Monthly")*(DAY(AB407)='Recurring Items'!$F$6:$F$56)+('Recurring Items'!$E$6:$E$56="Bi-weekly")*(WEEKDAY(AB407)=IFERROR(WEEKDAY('Recurring Items'!$G$6:$G$56),0))*(MOD(AB407-IFERROR('Recurring Items'!$G$6:$G$56,0),14)=0)*(AB407&gt;=IFERROR('Recurring Items'!$G$6:$G$56,9000000000))+('Recurring Items'!$E$6:$E$56="Weekly")*(WEEKDAY(AB407)=IFERROR(WEEKDAY('Recurring Items'!$G$6:$G$56),0))*(AB407&gt;=IFERROR('Recurring Items'!$G$6:$G$56,9000000000))+('Recurring Items'!$E$6:$E$56="One-time")*(AB407='Recurring Items'!$G$6:$G$56)))</f>
        <v>101.02</v>
      </c>
      <c r="AF407" s="1" t="n">
        <f aca="false">(IF(AC407=1,'Debt Tracker'!$P$5&gt;0.01,INDEX('Debt Tracker'!$T$5:$AE$29,1,AC407-1)&gt;0.01))*('Recurring Items'!$H$8&lt;&gt;"Skip")*(DAY(AB407)='Recurring Items'!$F$8)*IFERROR(N('Recurring Items'!$D$8),0)+(IF(AC407=1,'Debt Tracker'!$P$6&gt;0.01,INDEX('Debt Tracker'!$T$5:$AE$29,2,AC407-1)&gt;0.01))*('Recurring Items'!$H$9&lt;&gt;"Skip")*(DAY(AB407)='Recurring Items'!$F$9)*IFERROR(N('Recurring Items'!$D$9),0)+(IF(AC407=1,'Debt Tracker'!$P$7&gt;0.01,INDEX('Debt Tracker'!$T$5:$AE$29,3,AC407-1)&gt;0.01))*('Recurring Items'!$H$10&lt;&gt;"Skip")*(DAY(AB407)='Recurring Items'!$F$10)*IFERROR(N('Recurring Items'!$D$10),0)+(IF(AC407=1,'Debt Tracker'!$P$8&gt;0.01,INDEX('Debt Tracker'!$T$5:$AE$29,4,AC407-1)&gt;0.01))*('Recurring Items'!$H$11&lt;&gt;"Skip")*(DAY(AB407)='Recurring Items'!$F$11)*IFERROR(N('Recurring Items'!$D$11),0)+(IF(AC407=1,'Debt Tracker'!$P$9&gt;0.01,INDEX('Debt Tracker'!$T$5:$AE$29,5,AC407-1)&gt;0.01))*('Recurring Items'!$H$12&lt;&gt;"Skip")*(DAY(AB407)='Recurring Items'!$F$12)*IFERROR(N('Recurring Items'!$D$12),0)+(IF(AC407=1,'Debt Tracker'!$P$10&gt;0.01,INDEX('Debt Tracker'!$T$5:$AE$29,6,AC407-1)&gt;0.01))*('Recurring Items'!$H$13&lt;&gt;"Skip")*(DAY(AB407)='Recurring Items'!$F$13)*IFERROR(N('Recurring Items'!$D$13),0)+(IF(AC407=1,'Debt Tracker'!$P$11&gt;0.01,INDEX('Debt Tracker'!$T$5:$AE$29,7,AC407-1)&gt;0.01))*('Recurring Items'!$H$14&lt;&gt;"Skip")*(DAY(AB407)='Recurring Items'!$F$14)*IFERROR(N('Recurring Items'!$D$14),0)+(IF(AC407=1,'Debt Tracker'!$P$12&gt;0.01,INDEX('Debt Tracker'!$T$5:$AE$29,8,AC407-1)&gt;0.01))*('Recurring Items'!$H$15&lt;&gt;"Skip")*(DAY(AB407)='Recurring Items'!$F$15)*IFERROR(N('Recurring Items'!$D$15),0)+(IF(AC407=1,'Debt Tracker'!$P$13&gt;0.01,INDEX('Debt Tracker'!$T$5:$AE$29,9,AC407-1)&gt;0.01))*('Recurring Items'!$H$16&lt;&gt;"Skip")*(DAY(AB407)='Recurring Items'!$F$16)*IFERROR(N('Recurring Items'!$D$16),0)+(IF(AC407=1,'Debt Tracker'!$P$14&gt;0.01,INDEX('Debt Tracker'!$T$5:$AE$29,10,AC407-1)&gt;0.01))*('Recurring Items'!$H$17&lt;&gt;"Skip")*(DAY(AB407)='Recurring Items'!$F$17)*IFERROR(N('Recurring Items'!$D$17),0)+(IF(AC407=1,'Debt Tracker'!$P$15&gt;0.01,INDEX('Debt Tracker'!$T$5:$AE$29,11,AC407-1)&gt;0.01))*('Recurring Items'!$H$18&lt;&gt;"Skip")*(DAY(AB407)='Recurring Items'!$F$18)*IFERROR(N('Recurring Items'!$D$18),0)+(IF(AC407=1,'Debt Tracker'!$P$16&gt;0.01,INDEX('Debt Tracker'!$T$5:$AE$29,12,AC407-1)&gt;0.01))*('Recurring Items'!$H$19&lt;&gt;"Skip")*(DAY(AB407)='Recurring Items'!$F$19)*IFERROR(N('Recurring Items'!$D$19),0)+(IF(AC407=1,'Debt Tracker'!$P$17&gt;0.01,INDEX('Debt Tracker'!$T$5:$AE$29,13,AC407-1)&gt;0.01))*('Recurring Items'!$H$20&lt;&gt;"Skip")*(DAY(AB407)='Recurring Items'!$F$20)*IFERROR(N('Recurring Items'!$D$20),0)+(IF(AC407=1,'Debt Tracker'!$P$18&gt;0.01,INDEX('Debt Tracker'!$T$5:$AE$29,14,AC407-1)&gt;0.01))*('Recurring Items'!$H$21&lt;&gt;"Skip")*(DAY(AB407)='Recurring Items'!$F$21)*IFERROR(N('Recurring Items'!$D$21),0)+(IF(AC407=1,'Debt Tracker'!$P$19&gt;0.01,INDEX('Debt Tracker'!$T$5:$AE$29,15,AC407-1)&gt;0.01))*('Recurring Items'!$H$22&lt;&gt;"Skip")*(DAY(AB407)='Recurring Items'!$F$22)*IFERROR(N('Recurring Items'!$D$22),0)+(IF(AC407=1,'Debt Tracker'!$P$20&gt;0.01,INDEX('Debt Tracker'!$T$5:$AE$29,16,AC407-1)&gt;0.01))*('Recurring Items'!$H$23&lt;&gt;"Skip")*(DAY(AB407)='Recurring Items'!$F$23)*IFERROR(N('Recurring Items'!$D$23),0)+(IF(AC407=1,'Debt Tracker'!$P$21&gt;0.01,INDEX('Debt Tracker'!$T$5:$AE$29,17,AC407-1)&gt;0.01))*('Recurring Items'!$H$24&lt;&gt;"Skip")*(DAY(AB407)='Recurring Items'!$F$24)*IFERROR(N('Recurring Items'!$D$24),0)+(IF(AC407=1,'Debt Tracker'!$P$22&gt;0.01,INDEX('Debt Tracker'!$T$5:$AE$29,18,AC407-1)&gt;0.01))*('Recurring Items'!$H$25&lt;&gt;"Skip")*(DAY(AB407)='Recurring Items'!$F$25)*IFERROR(N('Recurring Items'!$D$25),0)+(IF(AC407=1,'Debt Tracker'!$P$23&gt;0.01,INDEX('Debt Tracker'!$T$5:$AE$29,19,AC407-1)&gt;0.01))*('Recurring Items'!$H$26&lt;&gt;"Skip")*(DAY(AB407)='Recurring Items'!$F$26)*IFERROR(N('Recurring Items'!$D$26),0)+(IF(AC407=1,'Debt Tracker'!$P$24&gt;0.01,INDEX('Debt Tracker'!$T$5:$AE$29,20,AC407-1)&gt;0.01))*('Recurring Items'!$H$27&lt;&gt;"Skip")*(DAY(AB407)='Recurring Items'!$F$27)*IFERROR(N('Recurring Items'!$D$27),0)+(IF(AC407=1,'Debt Tracker'!$P$25&gt;0.01,INDEX('Debt Tracker'!$T$5:$AE$29,21,AC407-1)&gt;0.01))*('Recurring Items'!$H$28&lt;&gt;"Skip")*(DAY(AB407)='Recurring Items'!$F$28)*IFERROR(N('Recurring Items'!$D$28),0)+(IF(AC407=1,'Debt Tracker'!$P$26&gt;0.01,INDEX('Debt Tracker'!$T$5:$AE$29,22,AC407-1)&gt;0.01))*('Recurring Items'!$H$29&lt;&gt;"Skip")*(DAY(AB407)='Recurring Items'!$F$29)*IFERROR(N('Recurring Items'!$D$29),0)+(IF(AC407=1,'Debt Tracker'!$P$27&gt;0.01,INDEX('Debt Tracker'!$T$5:$AE$29,23,AC407-1)&gt;0.01))*('Recurring Items'!$H$30&lt;&gt;"Skip")*(DAY(AB407)='Recurring Items'!$F$30)*IFERROR(N('Recurring Items'!$D$30),0)+(IF(AC407=1,'Debt Tracker'!$P$28&gt;0.01,INDEX('Debt Tracker'!$T$5:$AE$29,24,AC407-1)&gt;0.01))*('Recurring Items'!$H$31&lt;&gt;"Skip")*(DAY(AB407)='Recurring Items'!$F$31)*IFERROR(N('Recurring Items'!$D$31),0)+(IF(AC407=1,'Debt Tracker'!$P$29&gt;0.01,INDEX('Debt Tracker'!$T$5:$AE$29,25,AC407-1)&gt;0.01))*('Recurring Items'!$H$32&lt;&gt;"Skip")*(DAY(AB407)='Recurring Items'!$F$32)*IFERROR(N('Recurring Items'!$D$32),0)</f>
        <v>0</v>
      </c>
      <c r="AG407" s="1" t="n">
        <f aca="false">AD407-AE407-AF407</f>
        <v>-101.02</v>
      </c>
      <c r="AH407" s="1" t="n">
        <f aca="false">AH406+AG407</f>
        <v>13008.92</v>
      </c>
    </row>
    <row r="408" customFormat="false" ht="15" hidden="false" customHeight="true" outlineLevel="0" collapsed="false">
      <c r="AA408" s="1" t="n">
        <v>208</v>
      </c>
      <c r="AB408" s="145" t="n">
        <f aca="false">$D$3+208</f>
        <v>46351</v>
      </c>
      <c r="AC408" s="1" t="n">
        <f aca="false">MIN(12,1+DATEDIF($D$3,AB408,"M"))</f>
        <v>7</v>
      </c>
      <c r="AD408" s="1" t="n">
        <f aca="false">SUMPRODUCT(('Recurring Items'!$C$6:$C$56="Income")*('Recurring Items'!$H$6:$H$56&lt;&gt;"Skip")*IFERROR(N('Recurring Items'!$D$6:$D$56),0)*(('Recurring Items'!$E$6:$E$56="Monthly")*(DAY(AB408)='Recurring Items'!$F$6:$F$56)+('Recurring Items'!$E$6:$E$56="Bi-weekly")*(WEEKDAY(AB408)=IFERROR(WEEKDAY('Recurring Items'!$G$6:$G$56),0))*(MOD(AB408-IFERROR('Recurring Items'!$G$6:$G$56,0),14)=0)*(AB408&gt;=IFERROR('Recurring Items'!$G$6:$G$56,9000000000))+('Recurring Items'!$E$6:$E$56="Weekly")*(WEEKDAY(AB408)=IFERROR(WEEKDAY('Recurring Items'!$G$6:$G$56),0))*(AB408&gt;=IFERROR('Recurring Items'!$G$6:$G$56,9000000000))+('Recurring Items'!$E$6:$E$56="One-time")*(AB408='Recurring Items'!$G$6:$G$56)))</f>
        <v>0</v>
      </c>
      <c r="AE408" s="1" t="n">
        <f aca="false">SUMPRODUCT(('Recurring Items'!$C$6:$C$56="Expense")*('Recurring Items'!$H$6:$H$56&lt;&gt;"Skip")*IFERROR(N('Recurring Items'!$D$6:$D$56),0)*(('Recurring Items'!$E$6:$E$56="Monthly")*(DAY(AB408)='Recurring Items'!$F$6:$F$56)+('Recurring Items'!$E$6:$E$56="Bi-weekly")*(WEEKDAY(AB408)=IFERROR(WEEKDAY('Recurring Items'!$G$6:$G$56),0))*(MOD(AB408-IFERROR('Recurring Items'!$G$6:$G$56,0),14)=0)*(AB408&gt;=IFERROR('Recurring Items'!$G$6:$G$56,9000000000))+('Recurring Items'!$E$6:$E$56="Weekly")*(WEEKDAY(AB408)=IFERROR(WEEKDAY('Recurring Items'!$G$6:$G$56),0))*(AB408&gt;=IFERROR('Recurring Items'!$G$6:$G$56,9000000000))+('Recurring Items'!$E$6:$E$56="One-time")*(AB408='Recurring Items'!$G$6:$G$56)))</f>
        <v>0</v>
      </c>
      <c r="AF408" s="1" t="n">
        <f aca="false">(IF(AC408=1,'Debt Tracker'!$P$5&gt;0.01,INDEX('Debt Tracker'!$T$5:$AE$29,1,AC408-1)&gt;0.01))*('Recurring Items'!$H$8&lt;&gt;"Skip")*(DAY(AB408)='Recurring Items'!$F$8)*IFERROR(N('Recurring Items'!$D$8),0)+(IF(AC408=1,'Debt Tracker'!$P$6&gt;0.01,INDEX('Debt Tracker'!$T$5:$AE$29,2,AC408-1)&gt;0.01))*('Recurring Items'!$H$9&lt;&gt;"Skip")*(DAY(AB408)='Recurring Items'!$F$9)*IFERROR(N('Recurring Items'!$D$9),0)+(IF(AC408=1,'Debt Tracker'!$P$7&gt;0.01,INDEX('Debt Tracker'!$T$5:$AE$29,3,AC408-1)&gt;0.01))*('Recurring Items'!$H$10&lt;&gt;"Skip")*(DAY(AB408)='Recurring Items'!$F$10)*IFERROR(N('Recurring Items'!$D$10),0)+(IF(AC408=1,'Debt Tracker'!$P$8&gt;0.01,INDEX('Debt Tracker'!$T$5:$AE$29,4,AC408-1)&gt;0.01))*('Recurring Items'!$H$11&lt;&gt;"Skip")*(DAY(AB408)='Recurring Items'!$F$11)*IFERROR(N('Recurring Items'!$D$11),0)+(IF(AC408=1,'Debt Tracker'!$P$9&gt;0.01,INDEX('Debt Tracker'!$T$5:$AE$29,5,AC408-1)&gt;0.01))*('Recurring Items'!$H$12&lt;&gt;"Skip")*(DAY(AB408)='Recurring Items'!$F$12)*IFERROR(N('Recurring Items'!$D$12),0)+(IF(AC408=1,'Debt Tracker'!$P$10&gt;0.01,INDEX('Debt Tracker'!$T$5:$AE$29,6,AC408-1)&gt;0.01))*('Recurring Items'!$H$13&lt;&gt;"Skip")*(DAY(AB408)='Recurring Items'!$F$13)*IFERROR(N('Recurring Items'!$D$13),0)+(IF(AC408=1,'Debt Tracker'!$P$11&gt;0.01,INDEX('Debt Tracker'!$T$5:$AE$29,7,AC408-1)&gt;0.01))*('Recurring Items'!$H$14&lt;&gt;"Skip")*(DAY(AB408)='Recurring Items'!$F$14)*IFERROR(N('Recurring Items'!$D$14),0)+(IF(AC408=1,'Debt Tracker'!$P$12&gt;0.01,INDEX('Debt Tracker'!$T$5:$AE$29,8,AC408-1)&gt;0.01))*('Recurring Items'!$H$15&lt;&gt;"Skip")*(DAY(AB408)='Recurring Items'!$F$15)*IFERROR(N('Recurring Items'!$D$15),0)+(IF(AC408=1,'Debt Tracker'!$P$13&gt;0.01,INDEX('Debt Tracker'!$T$5:$AE$29,9,AC408-1)&gt;0.01))*('Recurring Items'!$H$16&lt;&gt;"Skip")*(DAY(AB408)='Recurring Items'!$F$16)*IFERROR(N('Recurring Items'!$D$16),0)+(IF(AC408=1,'Debt Tracker'!$P$14&gt;0.01,INDEX('Debt Tracker'!$T$5:$AE$29,10,AC408-1)&gt;0.01))*('Recurring Items'!$H$17&lt;&gt;"Skip")*(DAY(AB408)='Recurring Items'!$F$17)*IFERROR(N('Recurring Items'!$D$17),0)+(IF(AC408=1,'Debt Tracker'!$P$15&gt;0.01,INDEX('Debt Tracker'!$T$5:$AE$29,11,AC408-1)&gt;0.01))*('Recurring Items'!$H$18&lt;&gt;"Skip")*(DAY(AB408)='Recurring Items'!$F$18)*IFERROR(N('Recurring Items'!$D$18),0)+(IF(AC408=1,'Debt Tracker'!$P$16&gt;0.01,INDEX('Debt Tracker'!$T$5:$AE$29,12,AC408-1)&gt;0.01))*('Recurring Items'!$H$19&lt;&gt;"Skip")*(DAY(AB408)='Recurring Items'!$F$19)*IFERROR(N('Recurring Items'!$D$19),0)+(IF(AC408=1,'Debt Tracker'!$P$17&gt;0.01,INDEX('Debt Tracker'!$T$5:$AE$29,13,AC408-1)&gt;0.01))*('Recurring Items'!$H$20&lt;&gt;"Skip")*(DAY(AB408)='Recurring Items'!$F$20)*IFERROR(N('Recurring Items'!$D$20),0)+(IF(AC408=1,'Debt Tracker'!$P$18&gt;0.01,INDEX('Debt Tracker'!$T$5:$AE$29,14,AC408-1)&gt;0.01))*('Recurring Items'!$H$21&lt;&gt;"Skip")*(DAY(AB408)='Recurring Items'!$F$21)*IFERROR(N('Recurring Items'!$D$21),0)+(IF(AC408=1,'Debt Tracker'!$P$19&gt;0.01,INDEX('Debt Tracker'!$T$5:$AE$29,15,AC408-1)&gt;0.01))*('Recurring Items'!$H$22&lt;&gt;"Skip")*(DAY(AB408)='Recurring Items'!$F$22)*IFERROR(N('Recurring Items'!$D$22),0)+(IF(AC408=1,'Debt Tracker'!$P$20&gt;0.01,INDEX('Debt Tracker'!$T$5:$AE$29,16,AC408-1)&gt;0.01))*('Recurring Items'!$H$23&lt;&gt;"Skip")*(DAY(AB408)='Recurring Items'!$F$23)*IFERROR(N('Recurring Items'!$D$23),0)+(IF(AC408=1,'Debt Tracker'!$P$21&gt;0.01,INDEX('Debt Tracker'!$T$5:$AE$29,17,AC408-1)&gt;0.01))*('Recurring Items'!$H$24&lt;&gt;"Skip")*(DAY(AB408)='Recurring Items'!$F$24)*IFERROR(N('Recurring Items'!$D$24),0)+(IF(AC408=1,'Debt Tracker'!$P$22&gt;0.01,INDEX('Debt Tracker'!$T$5:$AE$29,18,AC408-1)&gt;0.01))*('Recurring Items'!$H$25&lt;&gt;"Skip")*(DAY(AB408)='Recurring Items'!$F$25)*IFERROR(N('Recurring Items'!$D$25),0)+(IF(AC408=1,'Debt Tracker'!$P$23&gt;0.01,INDEX('Debt Tracker'!$T$5:$AE$29,19,AC408-1)&gt;0.01))*('Recurring Items'!$H$26&lt;&gt;"Skip")*(DAY(AB408)='Recurring Items'!$F$26)*IFERROR(N('Recurring Items'!$D$26),0)+(IF(AC408=1,'Debt Tracker'!$P$24&gt;0.01,INDEX('Debt Tracker'!$T$5:$AE$29,20,AC408-1)&gt;0.01))*('Recurring Items'!$H$27&lt;&gt;"Skip")*(DAY(AB408)='Recurring Items'!$F$27)*IFERROR(N('Recurring Items'!$D$27),0)+(IF(AC408=1,'Debt Tracker'!$P$25&gt;0.01,INDEX('Debt Tracker'!$T$5:$AE$29,21,AC408-1)&gt;0.01))*('Recurring Items'!$H$28&lt;&gt;"Skip")*(DAY(AB408)='Recurring Items'!$F$28)*IFERROR(N('Recurring Items'!$D$28),0)+(IF(AC408=1,'Debt Tracker'!$P$26&gt;0.01,INDEX('Debt Tracker'!$T$5:$AE$29,22,AC408-1)&gt;0.01))*('Recurring Items'!$H$29&lt;&gt;"Skip")*(DAY(AB408)='Recurring Items'!$F$29)*IFERROR(N('Recurring Items'!$D$29),0)+(IF(AC408=1,'Debt Tracker'!$P$27&gt;0.01,INDEX('Debt Tracker'!$T$5:$AE$29,23,AC408-1)&gt;0.01))*('Recurring Items'!$H$30&lt;&gt;"Skip")*(DAY(AB408)='Recurring Items'!$F$30)*IFERROR(N('Recurring Items'!$D$30),0)+(IF(AC408=1,'Debt Tracker'!$P$28&gt;0.01,INDEX('Debt Tracker'!$T$5:$AE$29,24,AC408-1)&gt;0.01))*('Recurring Items'!$H$31&lt;&gt;"Skip")*(DAY(AB408)='Recurring Items'!$F$31)*IFERROR(N('Recurring Items'!$D$31),0)+(IF(AC408=1,'Debt Tracker'!$P$29&gt;0.01,INDEX('Debt Tracker'!$T$5:$AE$29,25,AC408-1)&gt;0.01))*('Recurring Items'!$H$32&lt;&gt;"Skip")*(DAY(AB408)='Recurring Items'!$F$32)*IFERROR(N('Recurring Items'!$D$32),0)</f>
        <v>0</v>
      </c>
      <c r="AG408" s="1" t="n">
        <f aca="false">AD408-AE408-AF408</f>
        <v>0</v>
      </c>
      <c r="AH408" s="1" t="n">
        <f aca="false">AH407+AG408</f>
        <v>13008.92</v>
      </c>
    </row>
    <row r="409" customFormat="false" ht="15" hidden="false" customHeight="true" outlineLevel="0" collapsed="false">
      <c r="AA409" s="1" t="n">
        <v>209</v>
      </c>
      <c r="AB409" s="145" t="n">
        <f aca="false">$D$3+209</f>
        <v>46352</v>
      </c>
      <c r="AC409" s="1" t="n">
        <f aca="false">MIN(12,1+DATEDIF($D$3,AB409,"M"))</f>
        <v>7</v>
      </c>
      <c r="AD409" s="1" t="n">
        <f aca="false">SUMPRODUCT(('Recurring Items'!$C$6:$C$56="Income")*('Recurring Items'!$H$6:$H$56&lt;&gt;"Skip")*IFERROR(N('Recurring Items'!$D$6:$D$56),0)*(('Recurring Items'!$E$6:$E$56="Monthly")*(DAY(AB409)='Recurring Items'!$F$6:$F$56)+('Recurring Items'!$E$6:$E$56="Bi-weekly")*(WEEKDAY(AB409)=IFERROR(WEEKDAY('Recurring Items'!$G$6:$G$56),0))*(MOD(AB409-IFERROR('Recurring Items'!$G$6:$G$56,0),14)=0)*(AB409&gt;=IFERROR('Recurring Items'!$G$6:$G$56,9000000000))+('Recurring Items'!$E$6:$E$56="Weekly")*(WEEKDAY(AB409)=IFERROR(WEEKDAY('Recurring Items'!$G$6:$G$56),0))*(AB409&gt;=IFERROR('Recurring Items'!$G$6:$G$56,9000000000))+('Recurring Items'!$E$6:$E$56="One-time")*(AB409='Recurring Items'!$G$6:$G$56)))</f>
        <v>0</v>
      </c>
      <c r="AE409" s="1" t="n">
        <f aca="false">SUMPRODUCT(('Recurring Items'!$C$6:$C$56="Expense")*('Recurring Items'!$H$6:$H$56&lt;&gt;"Skip")*IFERROR(N('Recurring Items'!$D$6:$D$56),0)*(('Recurring Items'!$E$6:$E$56="Monthly")*(DAY(AB409)='Recurring Items'!$F$6:$F$56)+('Recurring Items'!$E$6:$E$56="Bi-weekly")*(WEEKDAY(AB409)=IFERROR(WEEKDAY('Recurring Items'!$G$6:$G$56),0))*(MOD(AB409-IFERROR('Recurring Items'!$G$6:$G$56,0),14)=0)*(AB409&gt;=IFERROR('Recurring Items'!$G$6:$G$56,9000000000))+('Recurring Items'!$E$6:$E$56="Weekly")*(WEEKDAY(AB409)=IFERROR(WEEKDAY('Recurring Items'!$G$6:$G$56),0))*(AB409&gt;=IFERROR('Recurring Items'!$G$6:$G$56,9000000000))+('Recurring Items'!$E$6:$E$56="One-time")*(AB409='Recurring Items'!$G$6:$G$56)))</f>
        <v>0</v>
      </c>
      <c r="AF409" s="1" t="n">
        <f aca="false">(IF(AC409=1,'Debt Tracker'!$P$5&gt;0.01,INDEX('Debt Tracker'!$T$5:$AE$29,1,AC409-1)&gt;0.01))*('Recurring Items'!$H$8&lt;&gt;"Skip")*(DAY(AB409)='Recurring Items'!$F$8)*IFERROR(N('Recurring Items'!$D$8),0)+(IF(AC409=1,'Debt Tracker'!$P$6&gt;0.01,INDEX('Debt Tracker'!$T$5:$AE$29,2,AC409-1)&gt;0.01))*('Recurring Items'!$H$9&lt;&gt;"Skip")*(DAY(AB409)='Recurring Items'!$F$9)*IFERROR(N('Recurring Items'!$D$9),0)+(IF(AC409=1,'Debt Tracker'!$P$7&gt;0.01,INDEX('Debt Tracker'!$T$5:$AE$29,3,AC409-1)&gt;0.01))*('Recurring Items'!$H$10&lt;&gt;"Skip")*(DAY(AB409)='Recurring Items'!$F$10)*IFERROR(N('Recurring Items'!$D$10),0)+(IF(AC409=1,'Debt Tracker'!$P$8&gt;0.01,INDEX('Debt Tracker'!$T$5:$AE$29,4,AC409-1)&gt;0.01))*('Recurring Items'!$H$11&lt;&gt;"Skip")*(DAY(AB409)='Recurring Items'!$F$11)*IFERROR(N('Recurring Items'!$D$11),0)+(IF(AC409=1,'Debt Tracker'!$P$9&gt;0.01,INDEX('Debt Tracker'!$T$5:$AE$29,5,AC409-1)&gt;0.01))*('Recurring Items'!$H$12&lt;&gt;"Skip")*(DAY(AB409)='Recurring Items'!$F$12)*IFERROR(N('Recurring Items'!$D$12),0)+(IF(AC409=1,'Debt Tracker'!$P$10&gt;0.01,INDEX('Debt Tracker'!$T$5:$AE$29,6,AC409-1)&gt;0.01))*('Recurring Items'!$H$13&lt;&gt;"Skip")*(DAY(AB409)='Recurring Items'!$F$13)*IFERROR(N('Recurring Items'!$D$13),0)+(IF(AC409=1,'Debt Tracker'!$P$11&gt;0.01,INDEX('Debt Tracker'!$T$5:$AE$29,7,AC409-1)&gt;0.01))*('Recurring Items'!$H$14&lt;&gt;"Skip")*(DAY(AB409)='Recurring Items'!$F$14)*IFERROR(N('Recurring Items'!$D$14),0)+(IF(AC409=1,'Debt Tracker'!$P$12&gt;0.01,INDEX('Debt Tracker'!$T$5:$AE$29,8,AC409-1)&gt;0.01))*('Recurring Items'!$H$15&lt;&gt;"Skip")*(DAY(AB409)='Recurring Items'!$F$15)*IFERROR(N('Recurring Items'!$D$15),0)+(IF(AC409=1,'Debt Tracker'!$P$13&gt;0.01,INDEX('Debt Tracker'!$T$5:$AE$29,9,AC409-1)&gt;0.01))*('Recurring Items'!$H$16&lt;&gt;"Skip")*(DAY(AB409)='Recurring Items'!$F$16)*IFERROR(N('Recurring Items'!$D$16),0)+(IF(AC409=1,'Debt Tracker'!$P$14&gt;0.01,INDEX('Debt Tracker'!$T$5:$AE$29,10,AC409-1)&gt;0.01))*('Recurring Items'!$H$17&lt;&gt;"Skip")*(DAY(AB409)='Recurring Items'!$F$17)*IFERROR(N('Recurring Items'!$D$17),0)+(IF(AC409=1,'Debt Tracker'!$P$15&gt;0.01,INDEX('Debt Tracker'!$T$5:$AE$29,11,AC409-1)&gt;0.01))*('Recurring Items'!$H$18&lt;&gt;"Skip")*(DAY(AB409)='Recurring Items'!$F$18)*IFERROR(N('Recurring Items'!$D$18),0)+(IF(AC409=1,'Debt Tracker'!$P$16&gt;0.01,INDEX('Debt Tracker'!$T$5:$AE$29,12,AC409-1)&gt;0.01))*('Recurring Items'!$H$19&lt;&gt;"Skip")*(DAY(AB409)='Recurring Items'!$F$19)*IFERROR(N('Recurring Items'!$D$19),0)+(IF(AC409=1,'Debt Tracker'!$P$17&gt;0.01,INDEX('Debt Tracker'!$T$5:$AE$29,13,AC409-1)&gt;0.01))*('Recurring Items'!$H$20&lt;&gt;"Skip")*(DAY(AB409)='Recurring Items'!$F$20)*IFERROR(N('Recurring Items'!$D$20),0)+(IF(AC409=1,'Debt Tracker'!$P$18&gt;0.01,INDEX('Debt Tracker'!$T$5:$AE$29,14,AC409-1)&gt;0.01))*('Recurring Items'!$H$21&lt;&gt;"Skip")*(DAY(AB409)='Recurring Items'!$F$21)*IFERROR(N('Recurring Items'!$D$21),0)+(IF(AC409=1,'Debt Tracker'!$P$19&gt;0.01,INDEX('Debt Tracker'!$T$5:$AE$29,15,AC409-1)&gt;0.01))*('Recurring Items'!$H$22&lt;&gt;"Skip")*(DAY(AB409)='Recurring Items'!$F$22)*IFERROR(N('Recurring Items'!$D$22),0)+(IF(AC409=1,'Debt Tracker'!$P$20&gt;0.01,INDEX('Debt Tracker'!$T$5:$AE$29,16,AC409-1)&gt;0.01))*('Recurring Items'!$H$23&lt;&gt;"Skip")*(DAY(AB409)='Recurring Items'!$F$23)*IFERROR(N('Recurring Items'!$D$23),0)+(IF(AC409=1,'Debt Tracker'!$P$21&gt;0.01,INDEX('Debt Tracker'!$T$5:$AE$29,17,AC409-1)&gt;0.01))*('Recurring Items'!$H$24&lt;&gt;"Skip")*(DAY(AB409)='Recurring Items'!$F$24)*IFERROR(N('Recurring Items'!$D$24),0)+(IF(AC409=1,'Debt Tracker'!$P$22&gt;0.01,INDEX('Debt Tracker'!$T$5:$AE$29,18,AC409-1)&gt;0.01))*('Recurring Items'!$H$25&lt;&gt;"Skip")*(DAY(AB409)='Recurring Items'!$F$25)*IFERROR(N('Recurring Items'!$D$25),0)+(IF(AC409=1,'Debt Tracker'!$P$23&gt;0.01,INDEX('Debt Tracker'!$T$5:$AE$29,19,AC409-1)&gt;0.01))*('Recurring Items'!$H$26&lt;&gt;"Skip")*(DAY(AB409)='Recurring Items'!$F$26)*IFERROR(N('Recurring Items'!$D$26),0)+(IF(AC409=1,'Debt Tracker'!$P$24&gt;0.01,INDEX('Debt Tracker'!$T$5:$AE$29,20,AC409-1)&gt;0.01))*('Recurring Items'!$H$27&lt;&gt;"Skip")*(DAY(AB409)='Recurring Items'!$F$27)*IFERROR(N('Recurring Items'!$D$27),0)+(IF(AC409=1,'Debt Tracker'!$P$25&gt;0.01,INDEX('Debt Tracker'!$T$5:$AE$29,21,AC409-1)&gt;0.01))*('Recurring Items'!$H$28&lt;&gt;"Skip")*(DAY(AB409)='Recurring Items'!$F$28)*IFERROR(N('Recurring Items'!$D$28),0)+(IF(AC409=1,'Debt Tracker'!$P$26&gt;0.01,INDEX('Debt Tracker'!$T$5:$AE$29,22,AC409-1)&gt;0.01))*('Recurring Items'!$H$29&lt;&gt;"Skip")*(DAY(AB409)='Recurring Items'!$F$29)*IFERROR(N('Recurring Items'!$D$29),0)+(IF(AC409=1,'Debt Tracker'!$P$27&gt;0.01,INDEX('Debt Tracker'!$T$5:$AE$29,23,AC409-1)&gt;0.01))*('Recurring Items'!$H$30&lt;&gt;"Skip")*(DAY(AB409)='Recurring Items'!$F$30)*IFERROR(N('Recurring Items'!$D$30),0)+(IF(AC409=1,'Debt Tracker'!$P$28&gt;0.01,INDEX('Debt Tracker'!$T$5:$AE$29,24,AC409-1)&gt;0.01))*('Recurring Items'!$H$31&lt;&gt;"Skip")*(DAY(AB409)='Recurring Items'!$F$31)*IFERROR(N('Recurring Items'!$D$31),0)+(IF(AC409=1,'Debt Tracker'!$P$29&gt;0.01,INDEX('Debt Tracker'!$T$5:$AE$29,25,AC409-1)&gt;0.01))*('Recurring Items'!$H$32&lt;&gt;"Skip")*(DAY(AB409)='Recurring Items'!$F$32)*IFERROR(N('Recurring Items'!$D$32),0)</f>
        <v>0</v>
      </c>
      <c r="AG409" s="1" t="n">
        <f aca="false">AD409-AE409-AF409</f>
        <v>0</v>
      </c>
      <c r="AH409" s="1" t="n">
        <f aca="false">AH408+AG409</f>
        <v>13008.92</v>
      </c>
    </row>
    <row r="410" customFormat="false" ht="15" hidden="false" customHeight="true" outlineLevel="0" collapsed="false">
      <c r="AA410" s="1" t="n">
        <v>210</v>
      </c>
      <c r="AB410" s="145" t="n">
        <f aca="false">$D$3+210</f>
        <v>46353</v>
      </c>
      <c r="AC410" s="1" t="n">
        <f aca="false">MIN(12,1+DATEDIF($D$3,AB410,"M"))</f>
        <v>7</v>
      </c>
      <c r="AD410" s="1" t="n">
        <f aca="false">SUMPRODUCT(('Recurring Items'!$C$6:$C$56="Income")*('Recurring Items'!$H$6:$H$56&lt;&gt;"Skip")*IFERROR(N('Recurring Items'!$D$6:$D$56),0)*(('Recurring Items'!$E$6:$E$56="Monthly")*(DAY(AB410)='Recurring Items'!$F$6:$F$56)+('Recurring Items'!$E$6:$E$56="Bi-weekly")*(WEEKDAY(AB410)=IFERROR(WEEKDAY('Recurring Items'!$G$6:$G$56),0))*(MOD(AB410-IFERROR('Recurring Items'!$G$6:$G$56,0),14)=0)*(AB410&gt;=IFERROR('Recurring Items'!$G$6:$G$56,9000000000))+('Recurring Items'!$E$6:$E$56="Weekly")*(WEEKDAY(AB410)=IFERROR(WEEKDAY('Recurring Items'!$G$6:$G$56),0))*(AB410&gt;=IFERROR('Recurring Items'!$G$6:$G$56,9000000000))+('Recurring Items'!$E$6:$E$56="One-time")*(AB410='Recurring Items'!$G$6:$G$56)))</f>
        <v>3819.79</v>
      </c>
      <c r="AE410" s="1" t="n">
        <f aca="false">SUMPRODUCT(('Recurring Items'!$C$6:$C$56="Expense")*('Recurring Items'!$H$6:$H$56&lt;&gt;"Skip")*IFERROR(N('Recurring Items'!$D$6:$D$56),0)*(('Recurring Items'!$E$6:$E$56="Monthly")*(DAY(AB410)='Recurring Items'!$F$6:$F$56)+('Recurring Items'!$E$6:$E$56="Bi-weekly")*(WEEKDAY(AB410)=IFERROR(WEEKDAY('Recurring Items'!$G$6:$G$56),0))*(MOD(AB410-IFERROR('Recurring Items'!$G$6:$G$56,0),14)=0)*(AB410&gt;=IFERROR('Recurring Items'!$G$6:$G$56,9000000000))+('Recurring Items'!$E$6:$E$56="Weekly")*(WEEKDAY(AB410)=IFERROR(WEEKDAY('Recurring Items'!$G$6:$G$56),0))*(AB410&gt;=IFERROR('Recurring Items'!$G$6:$G$56,9000000000))+('Recurring Items'!$E$6:$E$56="One-time")*(AB410='Recurring Items'!$G$6:$G$56)))</f>
        <v>460</v>
      </c>
      <c r="AF410" s="1" t="n">
        <f aca="false">(IF(AC410=1,'Debt Tracker'!$P$5&gt;0.01,INDEX('Debt Tracker'!$T$5:$AE$29,1,AC410-1)&gt;0.01))*('Recurring Items'!$H$8&lt;&gt;"Skip")*(DAY(AB410)='Recurring Items'!$F$8)*IFERROR(N('Recurring Items'!$D$8),0)+(IF(AC410=1,'Debt Tracker'!$P$6&gt;0.01,INDEX('Debt Tracker'!$T$5:$AE$29,2,AC410-1)&gt;0.01))*('Recurring Items'!$H$9&lt;&gt;"Skip")*(DAY(AB410)='Recurring Items'!$F$9)*IFERROR(N('Recurring Items'!$D$9),0)+(IF(AC410=1,'Debt Tracker'!$P$7&gt;0.01,INDEX('Debt Tracker'!$T$5:$AE$29,3,AC410-1)&gt;0.01))*('Recurring Items'!$H$10&lt;&gt;"Skip")*(DAY(AB410)='Recurring Items'!$F$10)*IFERROR(N('Recurring Items'!$D$10),0)+(IF(AC410=1,'Debt Tracker'!$P$8&gt;0.01,INDEX('Debt Tracker'!$T$5:$AE$29,4,AC410-1)&gt;0.01))*('Recurring Items'!$H$11&lt;&gt;"Skip")*(DAY(AB410)='Recurring Items'!$F$11)*IFERROR(N('Recurring Items'!$D$11),0)+(IF(AC410=1,'Debt Tracker'!$P$9&gt;0.01,INDEX('Debt Tracker'!$T$5:$AE$29,5,AC410-1)&gt;0.01))*('Recurring Items'!$H$12&lt;&gt;"Skip")*(DAY(AB410)='Recurring Items'!$F$12)*IFERROR(N('Recurring Items'!$D$12),0)+(IF(AC410=1,'Debt Tracker'!$P$10&gt;0.01,INDEX('Debt Tracker'!$T$5:$AE$29,6,AC410-1)&gt;0.01))*('Recurring Items'!$H$13&lt;&gt;"Skip")*(DAY(AB410)='Recurring Items'!$F$13)*IFERROR(N('Recurring Items'!$D$13),0)+(IF(AC410=1,'Debt Tracker'!$P$11&gt;0.01,INDEX('Debt Tracker'!$T$5:$AE$29,7,AC410-1)&gt;0.01))*('Recurring Items'!$H$14&lt;&gt;"Skip")*(DAY(AB410)='Recurring Items'!$F$14)*IFERROR(N('Recurring Items'!$D$14),0)+(IF(AC410=1,'Debt Tracker'!$P$12&gt;0.01,INDEX('Debt Tracker'!$T$5:$AE$29,8,AC410-1)&gt;0.01))*('Recurring Items'!$H$15&lt;&gt;"Skip")*(DAY(AB410)='Recurring Items'!$F$15)*IFERROR(N('Recurring Items'!$D$15),0)+(IF(AC410=1,'Debt Tracker'!$P$13&gt;0.01,INDEX('Debt Tracker'!$T$5:$AE$29,9,AC410-1)&gt;0.01))*('Recurring Items'!$H$16&lt;&gt;"Skip")*(DAY(AB410)='Recurring Items'!$F$16)*IFERROR(N('Recurring Items'!$D$16),0)+(IF(AC410=1,'Debt Tracker'!$P$14&gt;0.01,INDEX('Debt Tracker'!$T$5:$AE$29,10,AC410-1)&gt;0.01))*('Recurring Items'!$H$17&lt;&gt;"Skip")*(DAY(AB410)='Recurring Items'!$F$17)*IFERROR(N('Recurring Items'!$D$17),0)+(IF(AC410=1,'Debt Tracker'!$P$15&gt;0.01,INDEX('Debt Tracker'!$T$5:$AE$29,11,AC410-1)&gt;0.01))*('Recurring Items'!$H$18&lt;&gt;"Skip")*(DAY(AB410)='Recurring Items'!$F$18)*IFERROR(N('Recurring Items'!$D$18),0)+(IF(AC410=1,'Debt Tracker'!$P$16&gt;0.01,INDEX('Debt Tracker'!$T$5:$AE$29,12,AC410-1)&gt;0.01))*('Recurring Items'!$H$19&lt;&gt;"Skip")*(DAY(AB410)='Recurring Items'!$F$19)*IFERROR(N('Recurring Items'!$D$19),0)+(IF(AC410=1,'Debt Tracker'!$P$17&gt;0.01,INDEX('Debt Tracker'!$T$5:$AE$29,13,AC410-1)&gt;0.01))*('Recurring Items'!$H$20&lt;&gt;"Skip")*(DAY(AB410)='Recurring Items'!$F$20)*IFERROR(N('Recurring Items'!$D$20),0)+(IF(AC410=1,'Debt Tracker'!$P$18&gt;0.01,INDEX('Debt Tracker'!$T$5:$AE$29,14,AC410-1)&gt;0.01))*('Recurring Items'!$H$21&lt;&gt;"Skip")*(DAY(AB410)='Recurring Items'!$F$21)*IFERROR(N('Recurring Items'!$D$21),0)+(IF(AC410=1,'Debt Tracker'!$P$19&gt;0.01,INDEX('Debt Tracker'!$T$5:$AE$29,15,AC410-1)&gt;0.01))*('Recurring Items'!$H$22&lt;&gt;"Skip")*(DAY(AB410)='Recurring Items'!$F$22)*IFERROR(N('Recurring Items'!$D$22),0)+(IF(AC410=1,'Debt Tracker'!$P$20&gt;0.01,INDEX('Debt Tracker'!$T$5:$AE$29,16,AC410-1)&gt;0.01))*('Recurring Items'!$H$23&lt;&gt;"Skip")*(DAY(AB410)='Recurring Items'!$F$23)*IFERROR(N('Recurring Items'!$D$23),0)+(IF(AC410=1,'Debt Tracker'!$P$21&gt;0.01,INDEX('Debt Tracker'!$T$5:$AE$29,17,AC410-1)&gt;0.01))*('Recurring Items'!$H$24&lt;&gt;"Skip")*(DAY(AB410)='Recurring Items'!$F$24)*IFERROR(N('Recurring Items'!$D$24),0)+(IF(AC410=1,'Debt Tracker'!$P$22&gt;0.01,INDEX('Debt Tracker'!$T$5:$AE$29,18,AC410-1)&gt;0.01))*('Recurring Items'!$H$25&lt;&gt;"Skip")*(DAY(AB410)='Recurring Items'!$F$25)*IFERROR(N('Recurring Items'!$D$25),0)+(IF(AC410=1,'Debt Tracker'!$P$23&gt;0.01,INDEX('Debt Tracker'!$T$5:$AE$29,19,AC410-1)&gt;0.01))*('Recurring Items'!$H$26&lt;&gt;"Skip")*(DAY(AB410)='Recurring Items'!$F$26)*IFERROR(N('Recurring Items'!$D$26),0)+(IF(AC410=1,'Debt Tracker'!$P$24&gt;0.01,INDEX('Debt Tracker'!$T$5:$AE$29,20,AC410-1)&gt;0.01))*('Recurring Items'!$H$27&lt;&gt;"Skip")*(DAY(AB410)='Recurring Items'!$F$27)*IFERROR(N('Recurring Items'!$D$27),0)+(IF(AC410=1,'Debt Tracker'!$P$25&gt;0.01,INDEX('Debt Tracker'!$T$5:$AE$29,21,AC410-1)&gt;0.01))*('Recurring Items'!$H$28&lt;&gt;"Skip")*(DAY(AB410)='Recurring Items'!$F$28)*IFERROR(N('Recurring Items'!$D$28),0)+(IF(AC410=1,'Debt Tracker'!$P$26&gt;0.01,INDEX('Debt Tracker'!$T$5:$AE$29,22,AC410-1)&gt;0.01))*('Recurring Items'!$H$29&lt;&gt;"Skip")*(DAY(AB410)='Recurring Items'!$F$29)*IFERROR(N('Recurring Items'!$D$29),0)+(IF(AC410=1,'Debt Tracker'!$P$27&gt;0.01,INDEX('Debt Tracker'!$T$5:$AE$29,23,AC410-1)&gt;0.01))*('Recurring Items'!$H$30&lt;&gt;"Skip")*(DAY(AB410)='Recurring Items'!$F$30)*IFERROR(N('Recurring Items'!$D$30),0)+(IF(AC410=1,'Debt Tracker'!$P$28&gt;0.01,INDEX('Debt Tracker'!$T$5:$AE$29,24,AC410-1)&gt;0.01))*('Recurring Items'!$H$31&lt;&gt;"Skip")*(DAY(AB410)='Recurring Items'!$F$31)*IFERROR(N('Recurring Items'!$D$31),0)+(IF(AC410=1,'Debt Tracker'!$P$29&gt;0.01,INDEX('Debt Tracker'!$T$5:$AE$29,25,AC410-1)&gt;0.01))*('Recurring Items'!$H$32&lt;&gt;"Skip")*(DAY(AB410)='Recurring Items'!$F$32)*IFERROR(N('Recurring Items'!$D$32),0)</f>
        <v>0</v>
      </c>
      <c r="AG410" s="1" t="n">
        <f aca="false">AD410-AE410-AF410</f>
        <v>3359.79</v>
      </c>
      <c r="AH410" s="1" t="n">
        <f aca="false">AH409+AG410</f>
        <v>16368.71</v>
      </c>
    </row>
    <row r="411" customFormat="false" ht="15" hidden="false" customHeight="true" outlineLevel="0" collapsed="false">
      <c r="AA411" s="1" t="n">
        <v>211</v>
      </c>
      <c r="AB411" s="145" t="n">
        <f aca="false">$D$3+211</f>
        <v>46354</v>
      </c>
      <c r="AC411" s="1" t="n">
        <f aca="false">MIN(12,1+DATEDIF($D$3,AB411,"M"))</f>
        <v>7</v>
      </c>
      <c r="AD411" s="1" t="n">
        <f aca="false">SUMPRODUCT(('Recurring Items'!$C$6:$C$56="Income")*('Recurring Items'!$H$6:$H$56&lt;&gt;"Skip")*IFERROR(N('Recurring Items'!$D$6:$D$56),0)*(('Recurring Items'!$E$6:$E$56="Monthly")*(DAY(AB411)='Recurring Items'!$F$6:$F$56)+('Recurring Items'!$E$6:$E$56="Bi-weekly")*(WEEKDAY(AB411)=IFERROR(WEEKDAY('Recurring Items'!$G$6:$G$56),0))*(MOD(AB411-IFERROR('Recurring Items'!$G$6:$G$56,0),14)=0)*(AB411&gt;=IFERROR('Recurring Items'!$G$6:$G$56,9000000000))+('Recurring Items'!$E$6:$E$56="Weekly")*(WEEKDAY(AB411)=IFERROR(WEEKDAY('Recurring Items'!$G$6:$G$56),0))*(AB411&gt;=IFERROR('Recurring Items'!$G$6:$G$56,9000000000))+('Recurring Items'!$E$6:$E$56="One-time")*(AB411='Recurring Items'!$G$6:$G$56)))</f>
        <v>0</v>
      </c>
      <c r="AE411" s="1" t="n">
        <f aca="false">SUMPRODUCT(('Recurring Items'!$C$6:$C$56="Expense")*('Recurring Items'!$H$6:$H$56&lt;&gt;"Skip")*IFERROR(N('Recurring Items'!$D$6:$D$56),0)*(('Recurring Items'!$E$6:$E$56="Monthly")*(DAY(AB411)='Recurring Items'!$F$6:$F$56)+('Recurring Items'!$E$6:$E$56="Bi-weekly")*(WEEKDAY(AB411)=IFERROR(WEEKDAY('Recurring Items'!$G$6:$G$56),0))*(MOD(AB411-IFERROR('Recurring Items'!$G$6:$G$56,0),14)=0)*(AB411&gt;=IFERROR('Recurring Items'!$G$6:$G$56,9000000000))+('Recurring Items'!$E$6:$E$56="Weekly")*(WEEKDAY(AB411)=IFERROR(WEEKDAY('Recurring Items'!$G$6:$G$56),0))*(AB411&gt;=IFERROR('Recurring Items'!$G$6:$G$56,9000000000))+('Recurring Items'!$E$6:$E$56="One-time")*(AB411='Recurring Items'!$G$6:$G$56)))</f>
        <v>0</v>
      </c>
      <c r="AF411" s="1" t="n">
        <f aca="false">(IF(AC411=1,'Debt Tracker'!$P$5&gt;0.01,INDEX('Debt Tracker'!$T$5:$AE$29,1,AC411-1)&gt;0.01))*('Recurring Items'!$H$8&lt;&gt;"Skip")*(DAY(AB411)='Recurring Items'!$F$8)*IFERROR(N('Recurring Items'!$D$8),0)+(IF(AC411=1,'Debt Tracker'!$P$6&gt;0.01,INDEX('Debt Tracker'!$T$5:$AE$29,2,AC411-1)&gt;0.01))*('Recurring Items'!$H$9&lt;&gt;"Skip")*(DAY(AB411)='Recurring Items'!$F$9)*IFERROR(N('Recurring Items'!$D$9),0)+(IF(AC411=1,'Debt Tracker'!$P$7&gt;0.01,INDEX('Debt Tracker'!$T$5:$AE$29,3,AC411-1)&gt;0.01))*('Recurring Items'!$H$10&lt;&gt;"Skip")*(DAY(AB411)='Recurring Items'!$F$10)*IFERROR(N('Recurring Items'!$D$10),0)+(IF(AC411=1,'Debt Tracker'!$P$8&gt;0.01,INDEX('Debt Tracker'!$T$5:$AE$29,4,AC411-1)&gt;0.01))*('Recurring Items'!$H$11&lt;&gt;"Skip")*(DAY(AB411)='Recurring Items'!$F$11)*IFERROR(N('Recurring Items'!$D$11),0)+(IF(AC411=1,'Debt Tracker'!$P$9&gt;0.01,INDEX('Debt Tracker'!$T$5:$AE$29,5,AC411-1)&gt;0.01))*('Recurring Items'!$H$12&lt;&gt;"Skip")*(DAY(AB411)='Recurring Items'!$F$12)*IFERROR(N('Recurring Items'!$D$12),0)+(IF(AC411=1,'Debt Tracker'!$P$10&gt;0.01,INDEX('Debt Tracker'!$T$5:$AE$29,6,AC411-1)&gt;0.01))*('Recurring Items'!$H$13&lt;&gt;"Skip")*(DAY(AB411)='Recurring Items'!$F$13)*IFERROR(N('Recurring Items'!$D$13),0)+(IF(AC411=1,'Debt Tracker'!$P$11&gt;0.01,INDEX('Debt Tracker'!$T$5:$AE$29,7,AC411-1)&gt;0.01))*('Recurring Items'!$H$14&lt;&gt;"Skip")*(DAY(AB411)='Recurring Items'!$F$14)*IFERROR(N('Recurring Items'!$D$14),0)+(IF(AC411=1,'Debt Tracker'!$P$12&gt;0.01,INDEX('Debt Tracker'!$T$5:$AE$29,8,AC411-1)&gt;0.01))*('Recurring Items'!$H$15&lt;&gt;"Skip")*(DAY(AB411)='Recurring Items'!$F$15)*IFERROR(N('Recurring Items'!$D$15),0)+(IF(AC411=1,'Debt Tracker'!$P$13&gt;0.01,INDEX('Debt Tracker'!$T$5:$AE$29,9,AC411-1)&gt;0.01))*('Recurring Items'!$H$16&lt;&gt;"Skip")*(DAY(AB411)='Recurring Items'!$F$16)*IFERROR(N('Recurring Items'!$D$16),0)+(IF(AC411=1,'Debt Tracker'!$P$14&gt;0.01,INDEX('Debt Tracker'!$T$5:$AE$29,10,AC411-1)&gt;0.01))*('Recurring Items'!$H$17&lt;&gt;"Skip")*(DAY(AB411)='Recurring Items'!$F$17)*IFERROR(N('Recurring Items'!$D$17),0)+(IF(AC411=1,'Debt Tracker'!$P$15&gt;0.01,INDEX('Debt Tracker'!$T$5:$AE$29,11,AC411-1)&gt;0.01))*('Recurring Items'!$H$18&lt;&gt;"Skip")*(DAY(AB411)='Recurring Items'!$F$18)*IFERROR(N('Recurring Items'!$D$18),0)+(IF(AC411=1,'Debt Tracker'!$P$16&gt;0.01,INDEX('Debt Tracker'!$T$5:$AE$29,12,AC411-1)&gt;0.01))*('Recurring Items'!$H$19&lt;&gt;"Skip")*(DAY(AB411)='Recurring Items'!$F$19)*IFERROR(N('Recurring Items'!$D$19),0)+(IF(AC411=1,'Debt Tracker'!$P$17&gt;0.01,INDEX('Debt Tracker'!$T$5:$AE$29,13,AC411-1)&gt;0.01))*('Recurring Items'!$H$20&lt;&gt;"Skip")*(DAY(AB411)='Recurring Items'!$F$20)*IFERROR(N('Recurring Items'!$D$20),0)+(IF(AC411=1,'Debt Tracker'!$P$18&gt;0.01,INDEX('Debt Tracker'!$T$5:$AE$29,14,AC411-1)&gt;0.01))*('Recurring Items'!$H$21&lt;&gt;"Skip")*(DAY(AB411)='Recurring Items'!$F$21)*IFERROR(N('Recurring Items'!$D$21),0)+(IF(AC411=1,'Debt Tracker'!$P$19&gt;0.01,INDEX('Debt Tracker'!$T$5:$AE$29,15,AC411-1)&gt;0.01))*('Recurring Items'!$H$22&lt;&gt;"Skip")*(DAY(AB411)='Recurring Items'!$F$22)*IFERROR(N('Recurring Items'!$D$22),0)+(IF(AC411=1,'Debt Tracker'!$P$20&gt;0.01,INDEX('Debt Tracker'!$T$5:$AE$29,16,AC411-1)&gt;0.01))*('Recurring Items'!$H$23&lt;&gt;"Skip")*(DAY(AB411)='Recurring Items'!$F$23)*IFERROR(N('Recurring Items'!$D$23),0)+(IF(AC411=1,'Debt Tracker'!$P$21&gt;0.01,INDEX('Debt Tracker'!$T$5:$AE$29,17,AC411-1)&gt;0.01))*('Recurring Items'!$H$24&lt;&gt;"Skip")*(DAY(AB411)='Recurring Items'!$F$24)*IFERROR(N('Recurring Items'!$D$24),0)+(IF(AC411=1,'Debt Tracker'!$P$22&gt;0.01,INDEX('Debt Tracker'!$T$5:$AE$29,18,AC411-1)&gt;0.01))*('Recurring Items'!$H$25&lt;&gt;"Skip")*(DAY(AB411)='Recurring Items'!$F$25)*IFERROR(N('Recurring Items'!$D$25),0)+(IF(AC411=1,'Debt Tracker'!$P$23&gt;0.01,INDEX('Debt Tracker'!$T$5:$AE$29,19,AC411-1)&gt;0.01))*('Recurring Items'!$H$26&lt;&gt;"Skip")*(DAY(AB411)='Recurring Items'!$F$26)*IFERROR(N('Recurring Items'!$D$26),0)+(IF(AC411=1,'Debt Tracker'!$P$24&gt;0.01,INDEX('Debt Tracker'!$T$5:$AE$29,20,AC411-1)&gt;0.01))*('Recurring Items'!$H$27&lt;&gt;"Skip")*(DAY(AB411)='Recurring Items'!$F$27)*IFERROR(N('Recurring Items'!$D$27),0)+(IF(AC411=1,'Debt Tracker'!$P$25&gt;0.01,INDEX('Debt Tracker'!$T$5:$AE$29,21,AC411-1)&gt;0.01))*('Recurring Items'!$H$28&lt;&gt;"Skip")*(DAY(AB411)='Recurring Items'!$F$28)*IFERROR(N('Recurring Items'!$D$28),0)+(IF(AC411=1,'Debt Tracker'!$P$26&gt;0.01,INDEX('Debt Tracker'!$T$5:$AE$29,22,AC411-1)&gt;0.01))*('Recurring Items'!$H$29&lt;&gt;"Skip")*(DAY(AB411)='Recurring Items'!$F$29)*IFERROR(N('Recurring Items'!$D$29),0)+(IF(AC411=1,'Debt Tracker'!$P$27&gt;0.01,INDEX('Debt Tracker'!$T$5:$AE$29,23,AC411-1)&gt;0.01))*('Recurring Items'!$H$30&lt;&gt;"Skip")*(DAY(AB411)='Recurring Items'!$F$30)*IFERROR(N('Recurring Items'!$D$30),0)+(IF(AC411=1,'Debt Tracker'!$P$28&gt;0.01,INDEX('Debt Tracker'!$T$5:$AE$29,24,AC411-1)&gt;0.01))*('Recurring Items'!$H$31&lt;&gt;"Skip")*(DAY(AB411)='Recurring Items'!$F$31)*IFERROR(N('Recurring Items'!$D$31),0)+(IF(AC411=1,'Debt Tracker'!$P$29&gt;0.01,INDEX('Debt Tracker'!$T$5:$AE$29,25,AC411-1)&gt;0.01))*('Recurring Items'!$H$32&lt;&gt;"Skip")*(DAY(AB411)='Recurring Items'!$F$32)*IFERROR(N('Recurring Items'!$D$32),0)</f>
        <v>0</v>
      </c>
      <c r="AG411" s="1" t="n">
        <f aca="false">AD411-AE411-AF411</f>
        <v>0</v>
      </c>
      <c r="AH411" s="1" t="n">
        <f aca="false">AH410+AG411</f>
        <v>16368.71</v>
      </c>
    </row>
    <row r="412" customFormat="false" ht="15" hidden="false" customHeight="true" outlineLevel="0" collapsed="false">
      <c r="AA412" s="1" t="n">
        <v>212</v>
      </c>
      <c r="AB412" s="145" t="n">
        <f aca="false">$D$3+212</f>
        <v>46355</v>
      </c>
      <c r="AC412" s="1" t="n">
        <f aca="false">MIN(12,1+DATEDIF($D$3,AB412,"M"))</f>
        <v>7</v>
      </c>
      <c r="AD412" s="1" t="n">
        <f aca="false">SUMPRODUCT(('Recurring Items'!$C$6:$C$56="Income")*('Recurring Items'!$H$6:$H$56&lt;&gt;"Skip")*IFERROR(N('Recurring Items'!$D$6:$D$56),0)*(('Recurring Items'!$E$6:$E$56="Monthly")*(DAY(AB412)='Recurring Items'!$F$6:$F$56)+('Recurring Items'!$E$6:$E$56="Bi-weekly")*(WEEKDAY(AB412)=IFERROR(WEEKDAY('Recurring Items'!$G$6:$G$56),0))*(MOD(AB412-IFERROR('Recurring Items'!$G$6:$G$56,0),14)=0)*(AB412&gt;=IFERROR('Recurring Items'!$G$6:$G$56,9000000000))+('Recurring Items'!$E$6:$E$56="Weekly")*(WEEKDAY(AB412)=IFERROR(WEEKDAY('Recurring Items'!$G$6:$G$56),0))*(AB412&gt;=IFERROR('Recurring Items'!$G$6:$G$56,9000000000))+('Recurring Items'!$E$6:$E$56="One-time")*(AB412='Recurring Items'!$G$6:$G$56)))</f>
        <v>0</v>
      </c>
      <c r="AE412" s="1" t="n">
        <f aca="false">SUMPRODUCT(('Recurring Items'!$C$6:$C$56="Expense")*('Recurring Items'!$H$6:$H$56&lt;&gt;"Skip")*IFERROR(N('Recurring Items'!$D$6:$D$56),0)*(('Recurring Items'!$E$6:$E$56="Monthly")*(DAY(AB412)='Recurring Items'!$F$6:$F$56)+('Recurring Items'!$E$6:$E$56="Bi-weekly")*(WEEKDAY(AB412)=IFERROR(WEEKDAY('Recurring Items'!$G$6:$G$56),0))*(MOD(AB412-IFERROR('Recurring Items'!$G$6:$G$56,0),14)=0)*(AB412&gt;=IFERROR('Recurring Items'!$G$6:$G$56,9000000000))+('Recurring Items'!$E$6:$E$56="Weekly")*(WEEKDAY(AB412)=IFERROR(WEEKDAY('Recurring Items'!$G$6:$G$56),0))*(AB412&gt;=IFERROR('Recurring Items'!$G$6:$G$56,9000000000))+('Recurring Items'!$E$6:$E$56="One-time")*(AB412='Recurring Items'!$G$6:$G$56)))</f>
        <v>237.58</v>
      </c>
      <c r="AF412" s="1" t="n">
        <f aca="false">(IF(AC412=1,'Debt Tracker'!$P$5&gt;0.01,INDEX('Debt Tracker'!$T$5:$AE$29,1,AC412-1)&gt;0.01))*('Recurring Items'!$H$8&lt;&gt;"Skip")*(DAY(AB412)='Recurring Items'!$F$8)*IFERROR(N('Recurring Items'!$D$8),0)+(IF(AC412=1,'Debt Tracker'!$P$6&gt;0.01,INDEX('Debt Tracker'!$T$5:$AE$29,2,AC412-1)&gt;0.01))*('Recurring Items'!$H$9&lt;&gt;"Skip")*(DAY(AB412)='Recurring Items'!$F$9)*IFERROR(N('Recurring Items'!$D$9),0)+(IF(AC412=1,'Debt Tracker'!$P$7&gt;0.01,INDEX('Debt Tracker'!$T$5:$AE$29,3,AC412-1)&gt;0.01))*('Recurring Items'!$H$10&lt;&gt;"Skip")*(DAY(AB412)='Recurring Items'!$F$10)*IFERROR(N('Recurring Items'!$D$10),0)+(IF(AC412=1,'Debt Tracker'!$P$8&gt;0.01,INDEX('Debt Tracker'!$T$5:$AE$29,4,AC412-1)&gt;0.01))*('Recurring Items'!$H$11&lt;&gt;"Skip")*(DAY(AB412)='Recurring Items'!$F$11)*IFERROR(N('Recurring Items'!$D$11),0)+(IF(AC412=1,'Debt Tracker'!$P$9&gt;0.01,INDEX('Debt Tracker'!$T$5:$AE$29,5,AC412-1)&gt;0.01))*('Recurring Items'!$H$12&lt;&gt;"Skip")*(DAY(AB412)='Recurring Items'!$F$12)*IFERROR(N('Recurring Items'!$D$12),0)+(IF(AC412=1,'Debt Tracker'!$P$10&gt;0.01,INDEX('Debt Tracker'!$T$5:$AE$29,6,AC412-1)&gt;0.01))*('Recurring Items'!$H$13&lt;&gt;"Skip")*(DAY(AB412)='Recurring Items'!$F$13)*IFERROR(N('Recurring Items'!$D$13),0)+(IF(AC412=1,'Debt Tracker'!$P$11&gt;0.01,INDEX('Debt Tracker'!$T$5:$AE$29,7,AC412-1)&gt;0.01))*('Recurring Items'!$H$14&lt;&gt;"Skip")*(DAY(AB412)='Recurring Items'!$F$14)*IFERROR(N('Recurring Items'!$D$14),0)+(IF(AC412=1,'Debt Tracker'!$P$12&gt;0.01,INDEX('Debt Tracker'!$T$5:$AE$29,8,AC412-1)&gt;0.01))*('Recurring Items'!$H$15&lt;&gt;"Skip")*(DAY(AB412)='Recurring Items'!$F$15)*IFERROR(N('Recurring Items'!$D$15),0)+(IF(AC412=1,'Debt Tracker'!$P$13&gt;0.01,INDEX('Debt Tracker'!$T$5:$AE$29,9,AC412-1)&gt;0.01))*('Recurring Items'!$H$16&lt;&gt;"Skip")*(DAY(AB412)='Recurring Items'!$F$16)*IFERROR(N('Recurring Items'!$D$16),0)+(IF(AC412=1,'Debt Tracker'!$P$14&gt;0.01,INDEX('Debt Tracker'!$T$5:$AE$29,10,AC412-1)&gt;0.01))*('Recurring Items'!$H$17&lt;&gt;"Skip")*(DAY(AB412)='Recurring Items'!$F$17)*IFERROR(N('Recurring Items'!$D$17),0)+(IF(AC412=1,'Debt Tracker'!$P$15&gt;0.01,INDEX('Debt Tracker'!$T$5:$AE$29,11,AC412-1)&gt;0.01))*('Recurring Items'!$H$18&lt;&gt;"Skip")*(DAY(AB412)='Recurring Items'!$F$18)*IFERROR(N('Recurring Items'!$D$18),0)+(IF(AC412=1,'Debt Tracker'!$P$16&gt;0.01,INDEX('Debt Tracker'!$T$5:$AE$29,12,AC412-1)&gt;0.01))*('Recurring Items'!$H$19&lt;&gt;"Skip")*(DAY(AB412)='Recurring Items'!$F$19)*IFERROR(N('Recurring Items'!$D$19),0)+(IF(AC412=1,'Debt Tracker'!$P$17&gt;0.01,INDEX('Debt Tracker'!$T$5:$AE$29,13,AC412-1)&gt;0.01))*('Recurring Items'!$H$20&lt;&gt;"Skip")*(DAY(AB412)='Recurring Items'!$F$20)*IFERROR(N('Recurring Items'!$D$20),0)+(IF(AC412=1,'Debt Tracker'!$P$18&gt;0.01,INDEX('Debt Tracker'!$T$5:$AE$29,14,AC412-1)&gt;0.01))*('Recurring Items'!$H$21&lt;&gt;"Skip")*(DAY(AB412)='Recurring Items'!$F$21)*IFERROR(N('Recurring Items'!$D$21),0)+(IF(AC412=1,'Debt Tracker'!$P$19&gt;0.01,INDEX('Debt Tracker'!$T$5:$AE$29,15,AC412-1)&gt;0.01))*('Recurring Items'!$H$22&lt;&gt;"Skip")*(DAY(AB412)='Recurring Items'!$F$22)*IFERROR(N('Recurring Items'!$D$22),0)+(IF(AC412=1,'Debt Tracker'!$P$20&gt;0.01,INDEX('Debt Tracker'!$T$5:$AE$29,16,AC412-1)&gt;0.01))*('Recurring Items'!$H$23&lt;&gt;"Skip")*(DAY(AB412)='Recurring Items'!$F$23)*IFERROR(N('Recurring Items'!$D$23),0)+(IF(AC412=1,'Debt Tracker'!$P$21&gt;0.01,INDEX('Debt Tracker'!$T$5:$AE$29,17,AC412-1)&gt;0.01))*('Recurring Items'!$H$24&lt;&gt;"Skip")*(DAY(AB412)='Recurring Items'!$F$24)*IFERROR(N('Recurring Items'!$D$24),0)+(IF(AC412=1,'Debt Tracker'!$P$22&gt;0.01,INDEX('Debt Tracker'!$T$5:$AE$29,18,AC412-1)&gt;0.01))*('Recurring Items'!$H$25&lt;&gt;"Skip")*(DAY(AB412)='Recurring Items'!$F$25)*IFERROR(N('Recurring Items'!$D$25),0)+(IF(AC412=1,'Debt Tracker'!$P$23&gt;0.01,INDEX('Debt Tracker'!$T$5:$AE$29,19,AC412-1)&gt;0.01))*('Recurring Items'!$H$26&lt;&gt;"Skip")*(DAY(AB412)='Recurring Items'!$F$26)*IFERROR(N('Recurring Items'!$D$26),0)+(IF(AC412=1,'Debt Tracker'!$P$24&gt;0.01,INDEX('Debt Tracker'!$T$5:$AE$29,20,AC412-1)&gt;0.01))*('Recurring Items'!$H$27&lt;&gt;"Skip")*(DAY(AB412)='Recurring Items'!$F$27)*IFERROR(N('Recurring Items'!$D$27),0)+(IF(AC412=1,'Debt Tracker'!$P$25&gt;0.01,INDEX('Debt Tracker'!$T$5:$AE$29,21,AC412-1)&gt;0.01))*('Recurring Items'!$H$28&lt;&gt;"Skip")*(DAY(AB412)='Recurring Items'!$F$28)*IFERROR(N('Recurring Items'!$D$28),0)+(IF(AC412=1,'Debt Tracker'!$P$26&gt;0.01,INDEX('Debt Tracker'!$T$5:$AE$29,22,AC412-1)&gt;0.01))*('Recurring Items'!$H$29&lt;&gt;"Skip")*(DAY(AB412)='Recurring Items'!$F$29)*IFERROR(N('Recurring Items'!$D$29),0)+(IF(AC412=1,'Debt Tracker'!$P$27&gt;0.01,INDEX('Debt Tracker'!$T$5:$AE$29,23,AC412-1)&gt;0.01))*('Recurring Items'!$H$30&lt;&gt;"Skip")*(DAY(AB412)='Recurring Items'!$F$30)*IFERROR(N('Recurring Items'!$D$30),0)+(IF(AC412=1,'Debt Tracker'!$P$28&gt;0.01,INDEX('Debt Tracker'!$T$5:$AE$29,24,AC412-1)&gt;0.01))*('Recurring Items'!$H$31&lt;&gt;"Skip")*(DAY(AB412)='Recurring Items'!$F$31)*IFERROR(N('Recurring Items'!$D$31),0)+(IF(AC412=1,'Debt Tracker'!$P$29&gt;0.01,INDEX('Debt Tracker'!$T$5:$AE$29,25,AC412-1)&gt;0.01))*('Recurring Items'!$H$32&lt;&gt;"Skip")*(DAY(AB412)='Recurring Items'!$F$32)*IFERROR(N('Recurring Items'!$D$32),0)</f>
        <v>206.43</v>
      </c>
      <c r="AG412" s="1" t="n">
        <f aca="false">AD412-AE412-AF412</f>
        <v>-444.01</v>
      </c>
      <c r="AH412" s="1" t="n">
        <f aca="false">AH411+AG412</f>
        <v>15924.7</v>
      </c>
    </row>
    <row r="413" customFormat="false" ht="15" hidden="false" customHeight="true" outlineLevel="0" collapsed="false">
      <c r="AA413" s="1" t="n">
        <v>213</v>
      </c>
      <c r="AB413" s="145" t="n">
        <f aca="false">$D$3+213</f>
        <v>46356</v>
      </c>
      <c r="AC413" s="1" t="n">
        <f aca="false">MIN(12,1+DATEDIF($D$3,AB413,"M"))</f>
        <v>7</v>
      </c>
      <c r="AD413" s="1" t="n">
        <f aca="false">SUMPRODUCT(('Recurring Items'!$C$6:$C$56="Income")*('Recurring Items'!$H$6:$H$56&lt;&gt;"Skip")*IFERROR(N('Recurring Items'!$D$6:$D$56),0)*(('Recurring Items'!$E$6:$E$56="Monthly")*(DAY(AB413)='Recurring Items'!$F$6:$F$56)+('Recurring Items'!$E$6:$E$56="Bi-weekly")*(WEEKDAY(AB413)=IFERROR(WEEKDAY('Recurring Items'!$G$6:$G$56),0))*(MOD(AB413-IFERROR('Recurring Items'!$G$6:$G$56,0),14)=0)*(AB413&gt;=IFERROR('Recurring Items'!$G$6:$G$56,9000000000))+('Recurring Items'!$E$6:$E$56="Weekly")*(WEEKDAY(AB413)=IFERROR(WEEKDAY('Recurring Items'!$G$6:$G$56),0))*(AB413&gt;=IFERROR('Recurring Items'!$G$6:$G$56,9000000000))+('Recurring Items'!$E$6:$E$56="One-time")*(AB413='Recurring Items'!$G$6:$G$56)))</f>
        <v>0</v>
      </c>
      <c r="AE413" s="1" t="n">
        <f aca="false">SUMPRODUCT(('Recurring Items'!$C$6:$C$56="Expense")*('Recurring Items'!$H$6:$H$56&lt;&gt;"Skip")*IFERROR(N('Recurring Items'!$D$6:$D$56),0)*(('Recurring Items'!$E$6:$E$56="Monthly")*(DAY(AB413)='Recurring Items'!$F$6:$F$56)+('Recurring Items'!$E$6:$E$56="Bi-weekly")*(WEEKDAY(AB413)=IFERROR(WEEKDAY('Recurring Items'!$G$6:$G$56),0))*(MOD(AB413-IFERROR('Recurring Items'!$G$6:$G$56,0),14)=0)*(AB413&gt;=IFERROR('Recurring Items'!$G$6:$G$56,9000000000))+('Recurring Items'!$E$6:$E$56="Weekly")*(WEEKDAY(AB413)=IFERROR(WEEKDAY('Recurring Items'!$G$6:$G$56),0))*(AB413&gt;=IFERROR('Recurring Items'!$G$6:$G$56,9000000000))+('Recurring Items'!$E$6:$E$56="One-time")*(AB413='Recurring Items'!$G$6:$G$56)))</f>
        <v>0</v>
      </c>
      <c r="AF413" s="1" t="n">
        <f aca="false">(IF(AC413=1,'Debt Tracker'!$P$5&gt;0.01,INDEX('Debt Tracker'!$T$5:$AE$29,1,AC413-1)&gt;0.01))*('Recurring Items'!$H$8&lt;&gt;"Skip")*(DAY(AB413)='Recurring Items'!$F$8)*IFERROR(N('Recurring Items'!$D$8),0)+(IF(AC413=1,'Debt Tracker'!$P$6&gt;0.01,INDEX('Debt Tracker'!$T$5:$AE$29,2,AC413-1)&gt;0.01))*('Recurring Items'!$H$9&lt;&gt;"Skip")*(DAY(AB413)='Recurring Items'!$F$9)*IFERROR(N('Recurring Items'!$D$9),0)+(IF(AC413=1,'Debt Tracker'!$P$7&gt;0.01,INDEX('Debt Tracker'!$T$5:$AE$29,3,AC413-1)&gt;0.01))*('Recurring Items'!$H$10&lt;&gt;"Skip")*(DAY(AB413)='Recurring Items'!$F$10)*IFERROR(N('Recurring Items'!$D$10),0)+(IF(AC413=1,'Debt Tracker'!$P$8&gt;0.01,INDEX('Debt Tracker'!$T$5:$AE$29,4,AC413-1)&gt;0.01))*('Recurring Items'!$H$11&lt;&gt;"Skip")*(DAY(AB413)='Recurring Items'!$F$11)*IFERROR(N('Recurring Items'!$D$11),0)+(IF(AC413=1,'Debt Tracker'!$P$9&gt;0.01,INDEX('Debt Tracker'!$T$5:$AE$29,5,AC413-1)&gt;0.01))*('Recurring Items'!$H$12&lt;&gt;"Skip")*(DAY(AB413)='Recurring Items'!$F$12)*IFERROR(N('Recurring Items'!$D$12),0)+(IF(AC413=1,'Debt Tracker'!$P$10&gt;0.01,INDEX('Debt Tracker'!$T$5:$AE$29,6,AC413-1)&gt;0.01))*('Recurring Items'!$H$13&lt;&gt;"Skip")*(DAY(AB413)='Recurring Items'!$F$13)*IFERROR(N('Recurring Items'!$D$13),0)+(IF(AC413=1,'Debt Tracker'!$P$11&gt;0.01,INDEX('Debt Tracker'!$T$5:$AE$29,7,AC413-1)&gt;0.01))*('Recurring Items'!$H$14&lt;&gt;"Skip")*(DAY(AB413)='Recurring Items'!$F$14)*IFERROR(N('Recurring Items'!$D$14),0)+(IF(AC413=1,'Debt Tracker'!$P$12&gt;0.01,INDEX('Debt Tracker'!$T$5:$AE$29,8,AC413-1)&gt;0.01))*('Recurring Items'!$H$15&lt;&gt;"Skip")*(DAY(AB413)='Recurring Items'!$F$15)*IFERROR(N('Recurring Items'!$D$15),0)+(IF(AC413=1,'Debt Tracker'!$P$13&gt;0.01,INDEX('Debt Tracker'!$T$5:$AE$29,9,AC413-1)&gt;0.01))*('Recurring Items'!$H$16&lt;&gt;"Skip")*(DAY(AB413)='Recurring Items'!$F$16)*IFERROR(N('Recurring Items'!$D$16),0)+(IF(AC413=1,'Debt Tracker'!$P$14&gt;0.01,INDEX('Debt Tracker'!$T$5:$AE$29,10,AC413-1)&gt;0.01))*('Recurring Items'!$H$17&lt;&gt;"Skip")*(DAY(AB413)='Recurring Items'!$F$17)*IFERROR(N('Recurring Items'!$D$17),0)+(IF(AC413=1,'Debt Tracker'!$P$15&gt;0.01,INDEX('Debt Tracker'!$T$5:$AE$29,11,AC413-1)&gt;0.01))*('Recurring Items'!$H$18&lt;&gt;"Skip")*(DAY(AB413)='Recurring Items'!$F$18)*IFERROR(N('Recurring Items'!$D$18),0)+(IF(AC413=1,'Debt Tracker'!$P$16&gt;0.01,INDEX('Debt Tracker'!$T$5:$AE$29,12,AC413-1)&gt;0.01))*('Recurring Items'!$H$19&lt;&gt;"Skip")*(DAY(AB413)='Recurring Items'!$F$19)*IFERROR(N('Recurring Items'!$D$19),0)+(IF(AC413=1,'Debt Tracker'!$P$17&gt;0.01,INDEX('Debt Tracker'!$T$5:$AE$29,13,AC413-1)&gt;0.01))*('Recurring Items'!$H$20&lt;&gt;"Skip")*(DAY(AB413)='Recurring Items'!$F$20)*IFERROR(N('Recurring Items'!$D$20),0)+(IF(AC413=1,'Debt Tracker'!$P$18&gt;0.01,INDEX('Debt Tracker'!$T$5:$AE$29,14,AC413-1)&gt;0.01))*('Recurring Items'!$H$21&lt;&gt;"Skip")*(DAY(AB413)='Recurring Items'!$F$21)*IFERROR(N('Recurring Items'!$D$21),0)+(IF(AC413=1,'Debt Tracker'!$P$19&gt;0.01,INDEX('Debt Tracker'!$T$5:$AE$29,15,AC413-1)&gt;0.01))*('Recurring Items'!$H$22&lt;&gt;"Skip")*(DAY(AB413)='Recurring Items'!$F$22)*IFERROR(N('Recurring Items'!$D$22),0)+(IF(AC413=1,'Debt Tracker'!$P$20&gt;0.01,INDEX('Debt Tracker'!$T$5:$AE$29,16,AC413-1)&gt;0.01))*('Recurring Items'!$H$23&lt;&gt;"Skip")*(DAY(AB413)='Recurring Items'!$F$23)*IFERROR(N('Recurring Items'!$D$23),0)+(IF(AC413=1,'Debt Tracker'!$P$21&gt;0.01,INDEX('Debt Tracker'!$T$5:$AE$29,17,AC413-1)&gt;0.01))*('Recurring Items'!$H$24&lt;&gt;"Skip")*(DAY(AB413)='Recurring Items'!$F$24)*IFERROR(N('Recurring Items'!$D$24),0)+(IF(AC413=1,'Debt Tracker'!$P$22&gt;0.01,INDEX('Debt Tracker'!$T$5:$AE$29,18,AC413-1)&gt;0.01))*('Recurring Items'!$H$25&lt;&gt;"Skip")*(DAY(AB413)='Recurring Items'!$F$25)*IFERROR(N('Recurring Items'!$D$25),0)+(IF(AC413=1,'Debt Tracker'!$P$23&gt;0.01,INDEX('Debt Tracker'!$T$5:$AE$29,19,AC413-1)&gt;0.01))*('Recurring Items'!$H$26&lt;&gt;"Skip")*(DAY(AB413)='Recurring Items'!$F$26)*IFERROR(N('Recurring Items'!$D$26),0)+(IF(AC413=1,'Debt Tracker'!$P$24&gt;0.01,INDEX('Debt Tracker'!$T$5:$AE$29,20,AC413-1)&gt;0.01))*('Recurring Items'!$H$27&lt;&gt;"Skip")*(DAY(AB413)='Recurring Items'!$F$27)*IFERROR(N('Recurring Items'!$D$27),0)+(IF(AC413=1,'Debt Tracker'!$P$25&gt;0.01,INDEX('Debt Tracker'!$T$5:$AE$29,21,AC413-1)&gt;0.01))*('Recurring Items'!$H$28&lt;&gt;"Skip")*(DAY(AB413)='Recurring Items'!$F$28)*IFERROR(N('Recurring Items'!$D$28),0)+(IF(AC413=1,'Debt Tracker'!$P$26&gt;0.01,INDEX('Debt Tracker'!$T$5:$AE$29,22,AC413-1)&gt;0.01))*('Recurring Items'!$H$29&lt;&gt;"Skip")*(DAY(AB413)='Recurring Items'!$F$29)*IFERROR(N('Recurring Items'!$D$29),0)+(IF(AC413=1,'Debt Tracker'!$P$27&gt;0.01,INDEX('Debt Tracker'!$T$5:$AE$29,23,AC413-1)&gt;0.01))*('Recurring Items'!$H$30&lt;&gt;"Skip")*(DAY(AB413)='Recurring Items'!$F$30)*IFERROR(N('Recurring Items'!$D$30),0)+(IF(AC413=1,'Debt Tracker'!$P$28&gt;0.01,INDEX('Debt Tracker'!$T$5:$AE$29,24,AC413-1)&gt;0.01))*('Recurring Items'!$H$31&lt;&gt;"Skip")*(DAY(AB413)='Recurring Items'!$F$31)*IFERROR(N('Recurring Items'!$D$31),0)+(IF(AC413=1,'Debt Tracker'!$P$29&gt;0.01,INDEX('Debt Tracker'!$T$5:$AE$29,25,AC413-1)&gt;0.01))*('Recurring Items'!$H$32&lt;&gt;"Skip")*(DAY(AB413)='Recurring Items'!$F$32)*IFERROR(N('Recurring Items'!$D$32),0)</f>
        <v>0</v>
      </c>
      <c r="AG413" s="1" t="n">
        <f aca="false">AD413-AE413-AF413</f>
        <v>0</v>
      </c>
      <c r="AH413" s="1" t="n">
        <f aca="false">AH412+AG413</f>
        <v>15924.7</v>
      </c>
    </row>
    <row r="414" customFormat="false" ht="15" hidden="false" customHeight="true" outlineLevel="0" collapsed="false">
      <c r="AA414" s="1" t="n">
        <v>214</v>
      </c>
      <c r="AB414" s="145" t="n">
        <f aca="false">$D$3+214</f>
        <v>46357</v>
      </c>
      <c r="AC414" s="1" t="n">
        <f aca="false">MIN(12,1+DATEDIF($D$3,AB414,"M"))</f>
        <v>8</v>
      </c>
      <c r="AD414" s="1" t="n">
        <f aca="false">SUMPRODUCT(('Recurring Items'!$C$6:$C$56="Income")*('Recurring Items'!$H$6:$H$56&lt;&gt;"Skip")*IFERROR(N('Recurring Items'!$D$6:$D$56),0)*(('Recurring Items'!$E$6:$E$56="Monthly")*(DAY(AB414)='Recurring Items'!$F$6:$F$56)+('Recurring Items'!$E$6:$E$56="Bi-weekly")*(WEEKDAY(AB414)=IFERROR(WEEKDAY('Recurring Items'!$G$6:$G$56),0))*(MOD(AB414-IFERROR('Recurring Items'!$G$6:$G$56,0),14)=0)*(AB414&gt;=IFERROR('Recurring Items'!$G$6:$G$56,9000000000))+('Recurring Items'!$E$6:$E$56="Weekly")*(WEEKDAY(AB414)=IFERROR(WEEKDAY('Recurring Items'!$G$6:$G$56),0))*(AB414&gt;=IFERROR('Recurring Items'!$G$6:$G$56,9000000000))+('Recurring Items'!$E$6:$E$56="One-time")*(AB414='Recurring Items'!$G$6:$G$56)))</f>
        <v>0</v>
      </c>
      <c r="AE414" s="1" t="n">
        <f aca="false">SUMPRODUCT(('Recurring Items'!$C$6:$C$56="Expense")*('Recurring Items'!$H$6:$H$56&lt;&gt;"Skip")*IFERROR(N('Recurring Items'!$D$6:$D$56),0)*(('Recurring Items'!$E$6:$E$56="Monthly")*(DAY(AB414)='Recurring Items'!$F$6:$F$56)+('Recurring Items'!$E$6:$E$56="Bi-weekly")*(WEEKDAY(AB414)=IFERROR(WEEKDAY('Recurring Items'!$G$6:$G$56),0))*(MOD(AB414-IFERROR('Recurring Items'!$G$6:$G$56,0),14)=0)*(AB414&gt;=IFERROR('Recurring Items'!$G$6:$G$56,9000000000))+('Recurring Items'!$E$6:$E$56="Weekly")*(WEEKDAY(AB414)=IFERROR(WEEKDAY('Recurring Items'!$G$6:$G$56),0))*(AB414&gt;=IFERROR('Recurring Items'!$G$6:$G$56,9000000000))+('Recurring Items'!$E$6:$E$56="One-time")*(AB414='Recurring Items'!$G$6:$G$56)))</f>
        <v>141.16</v>
      </c>
      <c r="AF414" s="1" t="n">
        <f aca="false">(IF(AC414=1,'Debt Tracker'!$P$5&gt;0.01,INDEX('Debt Tracker'!$T$5:$AE$29,1,AC414-1)&gt;0.01))*('Recurring Items'!$H$8&lt;&gt;"Skip")*(DAY(AB414)='Recurring Items'!$F$8)*IFERROR(N('Recurring Items'!$D$8),0)+(IF(AC414=1,'Debt Tracker'!$P$6&gt;0.01,INDEX('Debt Tracker'!$T$5:$AE$29,2,AC414-1)&gt;0.01))*('Recurring Items'!$H$9&lt;&gt;"Skip")*(DAY(AB414)='Recurring Items'!$F$9)*IFERROR(N('Recurring Items'!$D$9),0)+(IF(AC414=1,'Debt Tracker'!$P$7&gt;0.01,INDEX('Debt Tracker'!$T$5:$AE$29,3,AC414-1)&gt;0.01))*('Recurring Items'!$H$10&lt;&gt;"Skip")*(DAY(AB414)='Recurring Items'!$F$10)*IFERROR(N('Recurring Items'!$D$10),0)+(IF(AC414=1,'Debt Tracker'!$P$8&gt;0.01,INDEX('Debt Tracker'!$T$5:$AE$29,4,AC414-1)&gt;0.01))*('Recurring Items'!$H$11&lt;&gt;"Skip")*(DAY(AB414)='Recurring Items'!$F$11)*IFERROR(N('Recurring Items'!$D$11),0)+(IF(AC414=1,'Debt Tracker'!$P$9&gt;0.01,INDEX('Debt Tracker'!$T$5:$AE$29,5,AC414-1)&gt;0.01))*('Recurring Items'!$H$12&lt;&gt;"Skip")*(DAY(AB414)='Recurring Items'!$F$12)*IFERROR(N('Recurring Items'!$D$12),0)+(IF(AC414=1,'Debt Tracker'!$P$10&gt;0.01,INDEX('Debt Tracker'!$T$5:$AE$29,6,AC414-1)&gt;0.01))*('Recurring Items'!$H$13&lt;&gt;"Skip")*(DAY(AB414)='Recurring Items'!$F$13)*IFERROR(N('Recurring Items'!$D$13),0)+(IF(AC414=1,'Debt Tracker'!$P$11&gt;0.01,INDEX('Debt Tracker'!$T$5:$AE$29,7,AC414-1)&gt;0.01))*('Recurring Items'!$H$14&lt;&gt;"Skip")*(DAY(AB414)='Recurring Items'!$F$14)*IFERROR(N('Recurring Items'!$D$14),0)+(IF(AC414=1,'Debt Tracker'!$P$12&gt;0.01,INDEX('Debt Tracker'!$T$5:$AE$29,8,AC414-1)&gt;0.01))*('Recurring Items'!$H$15&lt;&gt;"Skip")*(DAY(AB414)='Recurring Items'!$F$15)*IFERROR(N('Recurring Items'!$D$15),0)+(IF(AC414=1,'Debt Tracker'!$P$13&gt;0.01,INDEX('Debt Tracker'!$T$5:$AE$29,9,AC414-1)&gt;0.01))*('Recurring Items'!$H$16&lt;&gt;"Skip")*(DAY(AB414)='Recurring Items'!$F$16)*IFERROR(N('Recurring Items'!$D$16),0)+(IF(AC414=1,'Debt Tracker'!$P$14&gt;0.01,INDEX('Debt Tracker'!$T$5:$AE$29,10,AC414-1)&gt;0.01))*('Recurring Items'!$H$17&lt;&gt;"Skip")*(DAY(AB414)='Recurring Items'!$F$17)*IFERROR(N('Recurring Items'!$D$17),0)+(IF(AC414=1,'Debt Tracker'!$P$15&gt;0.01,INDEX('Debt Tracker'!$T$5:$AE$29,11,AC414-1)&gt;0.01))*('Recurring Items'!$H$18&lt;&gt;"Skip")*(DAY(AB414)='Recurring Items'!$F$18)*IFERROR(N('Recurring Items'!$D$18),0)+(IF(AC414=1,'Debt Tracker'!$P$16&gt;0.01,INDEX('Debt Tracker'!$T$5:$AE$29,12,AC414-1)&gt;0.01))*('Recurring Items'!$H$19&lt;&gt;"Skip")*(DAY(AB414)='Recurring Items'!$F$19)*IFERROR(N('Recurring Items'!$D$19),0)+(IF(AC414=1,'Debt Tracker'!$P$17&gt;0.01,INDEX('Debt Tracker'!$T$5:$AE$29,13,AC414-1)&gt;0.01))*('Recurring Items'!$H$20&lt;&gt;"Skip")*(DAY(AB414)='Recurring Items'!$F$20)*IFERROR(N('Recurring Items'!$D$20),0)+(IF(AC414=1,'Debt Tracker'!$P$18&gt;0.01,INDEX('Debt Tracker'!$T$5:$AE$29,14,AC414-1)&gt;0.01))*('Recurring Items'!$H$21&lt;&gt;"Skip")*(DAY(AB414)='Recurring Items'!$F$21)*IFERROR(N('Recurring Items'!$D$21),0)+(IF(AC414=1,'Debt Tracker'!$P$19&gt;0.01,INDEX('Debt Tracker'!$T$5:$AE$29,15,AC414-1)&gt;0.01))*('Recurring Items'!$H$22&lt;&gt;"Skip")*(DAY(AB414)='Recurring Items'!$F$22)*IFERROR(N('Recurring Items'!$D$22),0)+(IF(AC414=1,'Debt Tracker'!$P$20&gt;0.01,INDEX('Debt Tracker'!$T$5:$AE$29,16,AC414-1)&gt;0.01))*('Recurring Items'!$H$23&lt;&gt;"Skip")*(DAY(AB414)='Recurring Items'!$F$23)*IFERROR(N('Recurring Items'!$D$23),0)+(IF(AC414=1,'Debt Tracker'!$P$21&gt;0.01,INDEX('Debt Tracker'!$T$5:$AE$29,17,AC414-1)&gt;0.01))*('Recurring Items'!$H$24&lt;&gt;"Skip")*(DAY(AB414)='Recurring Items'!$F$24)*IFERROR(N('Recurring Items'!$D$24),0)+(IF(AC414=1,'Debt Tracker'!$P$22&gt;0.01,INDEX('Debt Tracker'!$T$5:$AE$29,18,AC414-1)&gt;0.01))*('Recurring Items'!$H$25&lt;&gt;"Skip")*(DAY(AB414)='Recurring Items'!$F$25)*IFERROR(N('Recurring Items'!$D$25),0)+(IF(AC414=1,'Debt Tracker'!$P$23&gt;0.01,INDEX('Debt Tracker'!$T$5:$AE$29,19,AC414-1)&gt;0.01))*('Recurring Items'!$H$26&lt;&gt;"Skip")*(DAY(AB414)='Recurring Items'!$F$26)*IFERROR(N('Recurring Items'!$D$26),0)+(IF(AC414=1,'Debt Tracker'!$P$24&gt;0.01,INDEX('Debt Tracker'!$T$5:$AE$29,20,AC414-1)&gt;0.01))*('Recurring Items'!$H$27&lt;&gt;"Skip")*(DAY(AB414)='Recurring Items'!$F$27)*IFERROR(N('Recurring Items'!$D$27),0)+(IF(AC414=1,'Debt Tracker'!$P$25&gt;0.01,INDEX('Debt Tracker'!$T$5:$AE$29,21,AC414-1)&gt;0.01))*('Recurring Items'!$H$28&lt;&gt;"Skip")*(DAY(AB414)='Recurring Items'!$F$28)*IFERROR(N('Recurring Items'!$D$28),0)+(IF(AC414=1,'Debt Tracker'!$P$26&gt;0.01,INDEX('Debt Tracker'!$T$5:$AE$29,22,AC414-1)&gt;0.01))*('Recurring Items'!$H$29&lt;&gt;"Skip")*(DAY(AB414)='Recurring Items'!$F$29)*IFERROR(N('Recurring Items'!$D$29),0)+(IF(AC414=1,'Debt Tracker'!$P$27&gt;0.01,INDEX('Debt Tracker'!$T$5:$AE$29,23,AC414-1)&gt;0.01))*('Recurring Items'!$H$30&lt;&gt;"Skip")*(DAY(AB414)='Recurring Items'!$F$30)*IFERROR(N('Recurring Items'!$D$30),0)+(IF(AC414=1,'Debt Tracker'!$P$28&gt;0.01,INDEX('Debt Tracker'!$T$5:$AE$29,24,AC414-1)&gt;0.01))*('Recurring Items'!$H$31&lt;&gt;"Skip")*(DAY(AB414)='Recurring Items'!$F$31)*IFERROR(N('Recurring Items'!$D$31),0)+(IF(AC414=1,'Debt Tracker'!$P$29&gt;0.01,INDEX('Debt Tracker'!$T$5:$AE$29,25,AC414-1)&gt;0.01))*('Recurring Items'!$H$32&lt;&gt;"Skip")*(DAY(AB414)='Recurring Items'!$F$32)*IFERROR(N('Recurring Items'!$D$32),0)</f>
        <v>265.5</v>
      </c>
      <c r="AG414" s="1" t="n">
        <f aca="false">AD414-AE414-AF414</f>
        <v>-406.66</v>
      </c>
      <c r="AH414" s="1" t="n">
        <f aca="false">AH413+AG414</f>
        <v>15518.04</v>
      </c>
    </row>
    <row r="415" customFormat="false" ht="15" hidden="false" customHeight="true" outlineLevel="0" collapsed="false">
      <c r="AA415" s="1" t="n">
        <v>215</v>
      </c>
      <c r="AB415" s="145" t="n">
        <f aca="false">$D$3+215</f>
        <v>46358</v>
      </c>
      <c r="AC415" s="1" t="n">
        <f aca="false">MIN(12,1+DATEDIF($D$3,AB415,"M"))</f>
        <v>8</v>
      </c>
      <c r="AD415" s="1" t="n">
        <f aca="false">SUMPRODUCT(('Recurring Items'!$C$6:$C$56="Income")*('Recurring Items'!$H$6:$H$56&lt;&gt;"Skip")*IFERROR(N('Recurring Items'!$D$6:$D$56),0)*(('Recurring Items'!$E$6:$E$56="Monthly")*(DAY(AB415)='Recurring Items'!$F$6:$F$56)+('Recurring Items'!$E$6:$E$56="Bi-weekly")*(WEEKDAY(AB415)=IFERROR(WEEKDAY('Recurring Items'!$G$6:$G$56),0))*(MOD(AB415-IFERROR('Recurring Items'!$G$6:$G$56,0),14)=0)*(AB415&gt;=IFERROR('Recurring Items'!$G$6:$G$56,9000000000))+('Recurring Items'!$E$6:$E$56="Weekly")*(WEEKDAY(AB415)=IFERROR(WEEKDAY('Recurring Items'!$G$6:$G$56),0))*(AB415&gt;=IFERROR('Recurring Items'!$G$6:$G$56,9000000000))+('Recurring Items'!$E$6:$E$56="One-time")*(AB415='Recurring Items'!$G$6:$G$56)))</f>
        <v>0</v>
      </c>
      <c r="AE415" s="1" t="n">
        <f aca="false">SUMPRODUCT(('Recurring Items'!$C$6:$C$56="Expense")*('Recurring Items'!$H$6:$H$56&lt;&gt;"Skip")*IFERROR(N('Recurring Items'!$D$6:$D$56),0)*(('Recurring Items'!$E$6:$E$56="Monthly")*(DAY(AB415)='Recurring Items'!$F$6:$F$56)+('Recurring Items'!$E$6:$E$56="Bi-weekly")*(WEEKDAY(AB415)=IFERROR(WEEKDAY('Recurring Items'!$G$6:$G$56),0))*(MOD(AB415-IFERROR('Recurring Items'!$G$6:$G$56,0),14)=0)*(AB415&gt;=IFERROR('Recurring Items'!$G$6:$G$56,9000000000))+('Recurring Items'!$E$6:$E$56="Weekly")*(WEEKDAY(AB415)=IFERROR(WEEKDAY('Recurring Items'!$G$6:$G$56),0))*(AB415&gt;=IFERROR('Recurring Items'!$G$6:$G$56,9000000000))+('Recurring Items'!$E$6:$E$56="One-time")*(AB415='Recurring Items'!$G$6:$G$56)))</f>
        <v>0</v>
      </c>
      <c r="AF415" s="1" t="n">
        <f aca="false">(IF(AC415=1,'Debt Tracker'!$P$5&gt;0.01,INDEX('Debt Tracker'!$T$5:$AE$29,1,AC415-1)&gt;0.01))*('Recurring Items'!$H$8&lt;&gt;"Skip")*(DAY(AB415)='Recurring Items'!$F$8)*IFERROR(N('Recurring Items'!$D$8),0)+(IF(AC415=1,'Debt Tracker'!$P$6&gt;0.01,INDEX('Debt Tracker'!$T$5:$AE$29,2,AC415-1)&gt;0.01))*('Recurring Items'!$H$9&lt;&gt;"Skip")*(DAY(AB415)='Recurring Items'!$F$9)*IFERROR(N('Recurring Items'!$D$9),0)+(IF(AC415=1,'Debt Tracker'!$P$7&gt;0.01,INDEX('Debt Tracker'!$T$5:$AE$29,3,AC415-1)&gt;0.01))*('Recurring Items'!$H$10&lt;&gt;"Skip")*(DAY(AB415)='Recurring Items'!$F$10)*IFERROR(N('Recurring Items'!$D$10),0)+(IF(AC415=1,'Debt Tracker'!$P$8&gt;0.01,INDEX('Debt Tracker'!$T$5:$AE$29,4,AC415-1)&gt;0.01))*('Recurring Items'!$H$11&lt;&gt;"Skip")*(DAY(AB415)='Recurring Items'!$F$11)*IFERROR(N('Recurring Items'!$D$11),0)+(IF(AC415=1,'Debt Tracker'!$P$9&gt;0.01,INDEX('Debt Tracker'!$T$5:$AE$29,5,AC415-1)&gt;0.01))*('Recurring Items'!$H$12&lt;&gt;"Skip")*(DAY(AB415)='Recurring Items'!$F$12)*IFERROR(N('Recurring Items'!$D$12),0)+(IF(AC415=1,'Debt Tracker'!$P$10&gt;0.01,INDEX('Debt Tracker'!$T$5:$AE$29,6,AC415-1)&gt;0.01))*('Recurring Items'!$H$13&lt;&gt;"Skip")*(DAY(AB415)='Recurring Items'!$F$13)*IFERROR(N('Recurring Items'!$D$13),0)+(IF(AC415=1,'Debt Tracker'!$P$11&gt;0.01,INDEX('Debt Tracker'!$T$5:$AE$29,7,AC415-1)&gt;0.01))*('Recurring Items'!$H$14&lt;&gt;"Skip")*(DAY(AB415)='Recurring Items'!$F$14)*IFERROR(N('Recurring Items'!$D$14),0)+(IF(AC415=1,'Debt Tracker'!$P$12&gt;0.01,INDEX('Debt Tracker'!$T$5:$AE$29,8,AC415-1)&gt;0.01))*('Recurring Items'!$H$15&lt;&gt;"Skip")*(DAY(AB415)='Recurring Items'!$F$15)*IFERROR(N('Recurring Items'!$D$15),0)+(IF(AC415=1,'Debt Tracker'!$P$13&gt;0.01,INDEX('Debt Tracker'!$T$5:$AE$29,9,AC415-1)&gt;0.01))*('Recurring Items'!$H$16&lt;&gt;"Skip")*(DAY(AB415)='Recurring Items'!$F$16)*IFERROR(N('Recurring Items'!$D$16),0)+(IF(AC415=1,'Debt Tracker'!$P$14&gt;0.01,INDEX('Debt Tracker'!$T$5:$AE$29,10,AC415-1)&gt;0.01))*('Recurring Items'!$H$17&lt;&gt;"Skip")*(DAY(AB415)='Recurring Items'!$F$17)*IFERROR(N('Recurring Items'!$D$17),0)+(IF(AC415=1,'Debt Tracker'!$P$15&gt;0.01,INDEX('Debt Tracker'!$T$5:$AE$29,11,AC415-1)&gt;0.01))*('Recurring Items'!$H$18&lt;&gt;"Skip")*(DAY(AB415)='Recurring Items'!$F$18)*IFERROR(N('Recurring Items'!$D$18),0)+(IF(AC415=1,'Debt Tracker'!$P$16&gt;0.01,INDEX('Debt Tracker'!$T$5:$AE$29,12,AC415-1)&gt;0.01))*('Recurring Items'!$H$19&lt;&gt;"Skip")*(DAY(AB415)='Recurring Items'!$F$19)*IFERROR(N('Recurring Items'!$D$19),0)+(IF(AC415=1,'Debt Tracker'!$P$17&gt;0.01,INDEX('Debt Tracker'!$T$5:$AE$29,13,AC415-1)&gt;0.01))*('Recurring Items'!$H$20&lt;&gt;"Skip")*(DAY(AB415)='Recurring Items'!$F$20)*IFERROR(N('Recurring Items'!$D$20),0)+(IF(AC415=1,'Debt Tracker'!$P$18&gt;0.01,INDEX('Debt Tracker'!$T$5:$AE$29,14,AC415-1)&gt;0.01))*('Recurring Items'!$H$21&lt;&gt;"Skip")*(DAY(AB415)='Recurring Items'!$F$21)*IFERROR(N('Recurring Items'!$D$21),0)+(IF(AC415=1,'Debt Tracker'!$P$19&gt;0.01,INDEX('Debt Tracker'!$T$5:$AE$29,15,AC415-1)&gt;0.01))*('Recurring Items'!$H$22&lt;&gt;"Skip")*(DAY(AB415)='Recurring Items'!$F$22)*IFERROR(N('Recurring Items'!$D$22),0)+(IF(AC415=1,'Debt Tracker'!$P$20&gt;0.01,INDEX('Debt Tracker'!$T$5:$AE$29,16,AC415-1)&gt;0.01))*('Recurring Items'!$H$23&lt;&gt;"Skip")*(DAY(AB415)='Recurring Items'!$F$23)*IFERROR(N('Recurring Items'!$D$23),0)+(IF(AC415=1,'Debt Tracker'!$P$21&gt;0.01,INDEX('Debt Tracker'!$T$5:$AE$29,17,AC415-1)&gt;0.01))*('Recurring Items'!$H$24&lt;&gt;"Skip")*(DAY(AB415)='Recurring Items'!$F$24)*IFERROR(N('Recurring Items'!$D$24),0)+(IF(AC415=1,'Debt Tracker'!$P$22&gt;0.01,INDEX('Debt Tracker'!$T$5:$AE$29,18,AC415-1)&gt;0.01))*('Recurring Items'!$H$25&lt;&gt;"Skip")*(DAY(AB415)='Recurring Items'!$F$25)*IFERROR(N('Recurring Items'!$D$25),0)+(IF(AC415=1,'Debt Tracker'!$P$23&gt;0.01,INDEX('Debt Tracker'!$T$5:$AE$29,19,AC415-1)&gt;0.01))*('Recurring Items'!$H$26&lt;&gt;"Skip")*(DAY(AB415)='Recurring Items'!$F$26)*IFERROR(N('Recurring Items'!$D$26),0)+(IF(AC415=1,'Debt Tracker'!$P$24&gt;0.01,INDEX('Debt Tracker'!$T$5:$AE$29,20,AC415-1)&gt;0.01))*('Recurring Items'!$H$27&lt;&gt;"Skip")*(DAY(AB415)='Recurring Items'!$F$27)*IFERROR(N('Recurring Items'!$D$27),0)+(IF(AC415=1,'Debt Tracker'!$P$25&gt;0.01,INDEX('Debt Tracker'!$T$5:$AE$29,21,AC415-1)&gt;0.01))*('Recurring Items'!$H$28&lt;&gt;"Skip")*(DAY(AB415)='Recurring Items'!$F$28)*IFERROR(N('Recurring Items'!$D$28),0)+(IF(AC415=1,'Debt Tracker'!$P$26&gt;0.01,INDEX('Debt Tracker'!$T$5:$AE$29,22,AC415-1)&gt;0.01))*('Recurring Items'!$H$29&lt;&gt;"Skip")*(DAY(AB415)='Recurring Items'!$F$29)*IFERROR(N('Recurring Items'!$D$29),0)+(IF(AC415=1,'Debt Tracker'!$P$27&gt;0.01,INDEX('Debt Tracker'!$T$5:$AE$29,23,AC415-1)&gt;0.01))*('Recurring Items'!$H$30&lt;&gt;"Skip")*(DAY(AB415)='Recurring Items'!$F$30)*IFERROR(N('Recurring Items'!$D$30),0)+(IF(AC415=1,'Debt Tracker'!$P$28&gt;0.01,INDEX('Debt Tracker'!$T$5:$AE$29,24,AC415-1)&gt;0.01))*('Recurring Items'!$H$31&lt;&gt;"Skip")*(DAY(AB415)='Recurring Items'!$F$31)*IFERROR(N('Recurring Items'!$D$31),0)+(IF(AC415=1,'Debt Tracker'!$P$29&gt;0.01,INDEX('Debt Tracker'!$T$5:$AE$29,25,AC415-1)&gt;0.01))*('Recurring Items'!$H$32&lt;&gt;"Skip")*(DAY(AB415)='Recurring Items'!$F$32)*IFERROR(N('Recurring Items'!$D$32),0)</f>
        <v>1309.17</v>
      </c>
      <c r="AG415" s="1" t="n">
        <f aca="false">AD415-AE415-AF415</f>
        <v>-1309.17</v>
      </c>
      <c r="AH415" s="1" t="n">
        <f aca="false">AH414+AG415</f>
        <v>14208.87</v>
      </c>
    </row>
    <row r="416" customFormat="false" ht="15" hidden="false" customHeight="true" outlineLevel="0" collapsed="false">
      <c r="AA416" s="1" t="n">
        <v>216</v>
      </c>
      <c r="AB416" s="145" t="n">
        <f aca="false">$D$3+216</f>
        <v>46359</v>
      </c>
      <c r="AC416" s="1" t="n">
        <f aca="false">MIN(12,1+DATEDIF($D$3,AB416,"M"))</f>
        <v>8</v>
      </c>
      <c r="AD416" s="1" t="n">
        <f aca="false">SUMPRODUCT(('Recurring Items'!$C$6:$C$56="Income")*('Recurring Items'!$H$6:$H$56&lt;&gt;"Skip")*IFERROR(N('Recurring Items'!$D$6:$D$56),0)*(('Recurring Items'!$E$6:$E$56="Monthly")*(DAY(AB416)='Recurring Items'!$F$6:$F$56)+('Recurring Items'!$E$6:$E$56="Bi-weekly")*(WEEKDAY(AB416)=IFERROR(WEEKDAY('Recurring Items'!$G$6:$G$56),0))*(MOD(AB416-IFERROR('Recurring Items'!$G$6:$G$56,0),14)=0)*(AB416&gt;=IFERROR('Recurring Items'!$G$6:$G$56,9000000000))+('Recurring Items'!$E$6:$E$56="Weekly")*(WEEKDAY(AB416)=IFERROR(WEEKDAY('Recurring Items'!$G$6:$G$56),0))*(AB416&gt;=IFERROR('Recurring Items'!$G$6:$G$56,9000000000))+('Recurring Items'!$E$6:$E$56="One-time")*(AB416='Recurring Items'!$G$6:$G$56)))</f>
        <v>2274.42</v>
      </c>
      <c r="AE416" s="1" t="n">
        <f aca="false">SUMPRODUCT(('Recurring Items'!$C$6:$C$56="Expense")*('Recurring Items'!$H$6:$H$56&lt;&gt;"Skip")*IFERROR(N('Recurring Items'!$D$6:$D$56),0)*(('Recurring Items'!$E$6:$E$56="Monthly")*(DAY(AB416)='Recurring Items'!$F$6:$F$56)+('Recurring Items'!$E$6:$E$56="Bi-weekly")*(WEEKDAY(AB416)=IFERROR(WEEKDAY('Recurring Items'!$G$6:$G$56),0))*(MOD(AB416-IFERROR('Recurring Items'!$G$6:$G$56,0),14)=0)*(AB416&gt;=IFERROR('Recurring Items'!$G$6:$G$56,9000000000))+('Recurring Items'!$E$6:$E$56="Weekly")*(WEEKDAY(AB416)=IFERROR(WEEKDAY('Recurring Items'!$G$6:$G$56),0))*(AB416&gt;=IFERROR('Recurring Items'!$G$6:$G$56,9000000000))+('Recurring Items'!$E$6:$E$56="One-time")*(AB416='Recurring Items'!$G$6:$G$56)))</f>
        <v>927.53</v>
      </c>
      <c r="AF416" s="1" t="n">
        <f aca="false">(IF(AC416=1,'Debt Tracker'!$P$5&gt;0.01,INDEX('Debt Tracker'!$T$5:$AE$29,1,AC416-1)&gt;0.01))*('Recurring Items'!$H$8&lt;&gt;"Skip")*(DAY(AB416)='Recurring Items'!$F$8)*IFERROR(N('Recurring Items'!$D$8),0)+(IF(AC416=1,'Debt Tracker'!$P$6&gt;0.01,INDEX('Debt Tracker'!$T$5:$AE$29,2,AC416-1)&gt;0.01))*('Recurring Items'!$H$9&lt;&gt;"Skip")*(DAY(AB416)='Recurring Items'!$F$9)*IFERROR(N('Recurring Items'!$D$9),0)+(IF(AC416=1,'Debt Tracker'!$P$7&gt;0.01,INDEX('Debt Tracker'!$T$5:$AE$29,3,AC416-1)&gt;0.01))*('Recurring Items'!$H$10&lt;&gt;"Skip")*(DAY(AB416)='Recurring Items'!$F$10)*IFERROR(N('Recurring Items'!$D$10),0)+(IF(AC416=1,'Debt Tracker'!$P$8&gt;0.01,INDEX('Debt Tracker'!$T$5:$AE$29,4,AC416-1)&gt;0.01))*('Recurring Items'!$H$11&lt;&gt;"Skip")*(DAY(AB416)='Recurring Items'!$F$11)*IFERROR(N('Recurring Items'!$D$11),0)+(IF(AC416=1,'Debt Tracker'!$P$9&gt;0.01,INDEX('Debt Tracker'!$T$5:$AE$29,5,AC416-1)&gt;0.01))*('Recurring Items'!$H$12&lt;&gt;"Skip")*(DAY(AB416)='Recurring Items'!$F$12)*IFERROR(N('Recurring Items'!$D$12),0)+(IF(AC416=1,'Debt Tracker'!$P$10&gt;0.01,INDEX('Debt Tracker'!$T$5:$AE$29,6,AC416-1)&gt;0.01))*('Recurring Items'!$H$13&lt;&gt;"Skip")*(DAY(AB416)='Recurring Items'!$F$13)*IFERROR(N('Recurring Items'!$D$13),0)+(IF(AC416=1,'Debt Tracker'!$P$11&gt;0.01,INDEX('Debt Tracker'!$T$5:$AE$29,7,AC416-1)&gt;0.01))*('Recurring Items'!$H$14&lt;&gt;"Skip")*(DAY(AB416)='Recurring Items'!$F$14)*IFERROR(N('Recurring Items'!$D$14),0)+(IF(AC416=1,'Debt Tracker'!$P$12&gt;0.01,INDEX('Debt Tracker'!$T$5:$AE$29,8,AC416-1)&gt;0.01))*('Recurring Items'!$H$15&lt;&gt;"Skip")*(DAY(AB416)='Recurring Items'!$F$15)*IFERROR(N('Recurring Items'!$D$15),0)+(IF(AC416=1,'Debt Tracker'!$P$13&gt;0.01,INDEX('Debt Tracker'!$T$5:$AE$29,9,AC416-1)&gt;0.01))*('Recurring Items'!$H$16&lt;&gt;"Skip")*(DAY(AB416)='Recurring Items'!$F$16)*IFERROR(N('Recurring Items'!$D$16),0)+(IF(AC416=1,'Debt Tracker'!$P$14&gt;0.01,INDEX('Debt Tracker'!$T$5:$AE$29,10,AC416-1)&gt;0.01))*('Recurring Items'!$H$17&lt;&gt;"Skip")*(DAY(AB416)='Recurring Items'!$F$17)*IFERROR(N('Recurring Items'!$D$17),0)+(IF(AC416=1,'Debt Tracker'!$P$15&gt;0.01,INDEX('Debt Tracker'!$T$5:$AE$29,11,AC416-1)&gt;0.01))*('Recurring Items'!$H$18&lt;&gt;"Skip")*(DAY(AB416)='Recurring Items'!$F$18)*IFERROR(N('Recurring Items'!$D$18),0)+(IF(AC416=1,'Debt Tracker'!$P$16&gt;0.01,INDEX('Debt Tracker'!$T$5:$AE$29,12,AC416-1)&gt;0.01))*('Recurring Items'!$H$19&lt;&gt;"Skip")*(DAY(AB416)='Recurring Items'!$F$19)*IFERROR(N('Recurring Items'!$D$19),0)+(IF(AC416=1,'Debt Tracker'!$P$17&gt;0.01,INDEX('Debt Tracker'!$T$5:$AE$29,13,AC416-1)&gt;0.01))*('Recurring Items'!$H$20&lt;&gt;"Skip")*(DAY(AB416)='Recurring Items'!$F$20)*IFERROR(N('Recurring Items'!$D$20),0)+(IF(AC416=1,'Debt Tracker'!$P$18&gt;0.01,INDEX('Debt Tracker'!$T$5:$AE$29,14,AC416-1)&gt;0.01))*('Recurring Items'!$H$21&lt;&gt;"Skip")*(DAY(AB416)='Recurring Items'!$F$21)*IFERROR(N('Recurring Items'!$D$21),0)+(IF(AC416=1,'Debt Tracker'!$P$19&gt;0.01,INDEX('Debt Tracker'!$T$5:$AE$29,15,AC416-1)&gt;0.01))*('Recurring Items'!$H$22&lt;&gt;"Skip")*(DAY(AB416)='Recurring Items'!$F$22)*IFERROR(N('Recurring Items'!$D$22),0)+(IF(AC416=1,'Debt Tracker'!$P$20&gt;0.01,INDEX('Debt Tracker'!$T$5:$AE$29,16,AC416-1)&gt;0.01))*('Recurring Items'!$H$23&lt;&gt;"Skip")*(DAY(AB416)='Recurring Items'!$F$23)*IFERROR(N('Recurring Items'!$D$23),0)+(IF(AC416=1,'Debt Tracker'!$P$21&gt;0.01,INDEX('Debt Tracker'!$T$5:$AE$29,17,AC416-1)&gt;0.01))*('Recurring Items'!$H$24&lt;&gt;"Skip")*(DAY(AB416)='Recurring Items'!$F$24)*IFERROR(N('Recurring Items'!$D$24),0)+(IF(AC416=1,'Debt Tracker'!$P$22&gt;0.01,INDEX('Debt Tracker'!$T$5:$AE$29,18,AC416-1)&gt;0.01))*('Recurring Items'!$H$25&lt;&gt;"Skip")*(DAY(AB416)='Recurring Items'!$F$25)*IFERROR(N('Recurring Items'!$D$25),0)+(IF(AC416=1,'Debt Tracker'!$P$23&gt;0.01,INDEX('Debt Tracker'!$T$5:$AE$29,19,AC416-1)&gt;0.01))*('Recurring Items'!$H$26&lt;&gt;"Skip")*(DAY(AB416)='Recurring Items'!$F$26)*IFERROR(N('Recurring Items'!$D$26),0)+(IF(AC416=1,'Debt Tracker'!$P$24&gt;0.01,INDEX('Debt Tracker'!$T$5:$AE$29,20,AC416-1)&gt;0.01))*('Recurring Items'!$H$27&lt;&gt;"Skip")*(DAY(AB416)='Recurring Items'!$F$27)*IFERROR(N('Recurring Items'!$D$27),0)+(IF(AC416=1,'Debt Tracker'!$P$25&gt;0.01,INDEX('Debt Tracker'!$T$5:$AE$29,21,AC416-1)&gt;0.01))*('Recurring Items'!$H$28&lt;&gt;"Skip")*(DAY(AB416)='Recurring Items'!$F$28)*IFERROR(N('Recurring Items'!$D$28),0)+(IF(AC416=1,'Debt Tracker'!$P$26&gt;0.01,INDEX('Debt Tracker'!$T$5:$AE$29,22,AC416-1)&gt;0.01))*('Recurring Items'!$H$29&lt;&gt;"Skip")*(DAY(AB416)='Recurring Items'!$F$29)*IFERROR(N('Recurring Items'!$D$29),0)+(IF(AC416=1,'Debt Tracker'!$P$27&gt;0.01,INDEX('Debt Tracker'!$T$5:$AE$29,23,AC416-1)&gt;0.01))*('Recurring Items'!$H$30&lt;&gt;"Skip")*(DAY(AB416)='Recurring Items'!$F$30)*IFERROR(N('Recurring Items'!$D$30),0)+(IF(AC416=1,'Debt Tracker'!$P$28&gt;0.01,INDEX('Debt Tracker'!$T$5:$AE$29,24,AC416-1)&gt;0.01))*('Recurring Items'!$H$31&lt;&gt;"Skip")*(DAY(AB416)='Recurring Items'!$F$31)*IFERROR(N('Recurring Items'!$D$31),0)+(IF(AC416=1,'Debt Tracker'!$P$29&gt;0.01,INDEX('Debt Tracker'!$T$5:$AE$29,25,AC416-1)&gt;0.01))*('Recurring Items'!$H$32&lt;&gt;"Skip")*(DAY(AB416)='Recurring Items'!$F$32)*IFERROR(N('Recurring Items'!$D$32),0)</f>
        <v>0</v>
      </c>
      <c r="AG416" s="1" t="n">
        <f aca="false">AD416-AE416-AF416</f>
        <v>1346.89</v>
      </c>
      <c r="AH416" s="1" t="n">
        <f aca="false">AH415+AG416</f>
        <v>15555.76</v>
      </c>
    </row>
    <row r="417" customFormat="false" ht="15" hidden="false" customHeight="true" outlineLevel="0" collapsed="false">
      <c r="AA417" s="1" t="n">
        <v>217</v>
      </c>
      <c r="AB417" s="145" t="n">
        <f aca="false">$D$3+217</f>
        <v>46360</v>
      </c>
      <c r="AC417" s="1" t="n">
        <f aca="false">MIN(12,1+DATEDIF($D$3,AB417,"M"))</f>
        <v>8</v>
      </c>
      <c r="AD417" s="1" t="n">
        <f aca="false">SUMPRODUCT(('Recurring Items'!$C$6:$C$56="Income")*('Recurring Items'!$H$6:$H$56&lt;&gt;"Skip")*IFERROR(N('Recurring Items'!$D$6:$D$56),0)*(('Recurring Items'!$E$6:$E$56="Monthly")*(DAY(AB417)='Recurring Items'!$F$6:$F$56)+('Recurring Items'!$E$6:$E$56="Bi-weekly")*(WEEKDAY(AB417)=IFERROR(WEEKDAY('Recurring Items'!$G$6:$G$56),0))*(MOD(AB417-IFERROR('Recurring Items'!$G$6:$G$56,0),14)=0)*(AB417&gt;=IFERROR('Recurring Items'!$G$6:$G$56,9000000000))+('Recurring Items'!$E$6:$E$56="Weekly")*(WEEKDAY(AB417)=IFERROR(WEEKDAY('Recurring Items'!$G$6:$G$56),0))*(AB417&gt;=IFERROR('Recurring Items'!$G$6:$G$56,9000000000))+('Recurring Items'!$E$6:$E$56="One-time")*(AB417='Recurring Items'!$G$6:$G$56)))</f>
        <v>0</v>
      </c>
      <c r="AE417" s="1" t="n">
        <f aca="false">SUMPRODUCT(('Recurring Items'!$C$6:$C$56="Expense")*('Recurring Items'!$H$6:$H$56&lt;&gt;"Skip")*IFERROR(N('Recurring Items'!$D$6:$D$56),0)*(('Recurring Items'!$E$6:$E$56="Monthly")*(DAY(AB417)='Recurring Items'!$F$6:$F$56)+('Recurring Items'!$E$6:$E$56="Bi-weekly")*(WEEKDAY(AB417)=IFERROR(WEEKDAY('Recurring Items'!$G$6:$G$56),0))*(MOD(AB417-IFERROR('Recurring Items'!$G$6:$G$56,0),14)=0)*(AB417&gt;=IFERROR('Recurring Items'!$G$6:$G$56,9000000000))+('Recurring Items'!$E$6:$E$56="Weekly")*(WEEKDAY(AB417)=IFERROR(WEEKDAY('Recurring Items'!$G$6:$G$56),0))*(AB417&gt;=IFERROR('Recurring Items'!$G$6:$G$56,9000000000))+('Recurring Items'!$E$6:$E$56="One-time")*(AB417='Recurring Items'!$G$6:$G$56)))</f>
        <v>460</v>
      </c>
      <c r="AF417" s="1" t="n">
        <f aca="false">(IF(AC417=1,'Debt Tracker'!$P$5&gt;0.01,INDEX('Debt Tracker'!$T$5:$AE$29,1,AC417-1)&gt;0.01))*('Recurring Items'!$H$8&lt;&gt;"Skip")*(DAY(AB417)='Recurring Items'!$F$8)*IFERROR(N('Recurring Items'!$D$8),0)+(IF(AC417=1,'Debt Tracker'!$P$6&gt;0.01,INDEX('Debt Tracker'!$T$5:$AE$29,2,AC417-1)&gt;0.01))*('Recurring Items'!$H$9&lt;&gt;"Skip")*(DAY(AB417)='Recurring Items'!$F$9)*IFERROR(N('Recurring Items'!$D$9),0)+(IF(AC417=1,'Debt Tracker'!$P$7&gt;0.01,INDEX('Debt Tracker'!$T$5:$AE$29,3,AC417-1)&gt;0.01))*('Recurring Items'!$H$10&lt;&gt;"Skip")*(DAY(AB417)='Recurring Items'!$F$10)*IFERROR(N('Recurring Items'!$D$10),0)+(IF(AC417=1,'Debt Tracker'!$P$8&gt;0.01,INDEX('Debt Tracker'!$T$5:$AE$29,4,AC417-1)&gt;0.01))*('Recurring Items'!$H$11&lt;&gt;"Skip")*(DAY(AB417)='Recurring Items'!$F$11)*IFERROR(N('Recurring Items'!$D$11),0)+(IF(AC417=1,'Debt Tracker'!$P$9&gt;0.01,INDEX('Debt Tracker'!$T$5:$AE$29,5,AC417-1)&gt;0.01))*('Recurring Items'!$H$12&lt;&gt;"Skip")*(DAY(AB417)='Recurring Items'!$F$12)*IFERROR(N('Recurring Items'!$D$12),0)+(IF(AC417=1,'Debt Tracker'!$P$10&gt;0.01,INDEX('Debt Tracker'!$T$5:$AE$29,6,AC417-1)&gt;0.01))*('Recurring Items'!$H$13&lt;&gt;"Skip")*(DAY(AB417)='Recurring Items'!$F$13)*IFERROR(N('Recurring Items'!$D$13),0)+(IF(AC417=1,'Debt Tracker'!$P$11&gt;0.01,INDEX('Debt Tracker'!$T$5:$AE$29,7,AC417-1)&gt;0.01))*('Recurring Items'!$H$14&lt;&gt;"Skip")*(DAY(AB417)='Recurring Items'!$F$14)*IFERROR(N('Recurring Items'!$D$14),0)+(IF(AC417=1,'Debt Tracker'!$P$12&gt;0.01,INDEX('Debt Tracker'!$T$5:$AE$29,8,AC417-1)&gt;0.01))*('Recurring Items'!$H$15&lt;&gt;"Skip")*(DAY(AB417)='Recurring Items'!$F$15)*IFERROR(N('Recurring Items'!$D$15),0)+(IF(AC417=1,'Debt Tracker'!$P$13&gt;0.01,INDEX('Debt Tracker'!$T$5:$AE$29,9,AC417-1)&gt;0.01))*('Recurring Items'!$H$16&lt;&gt;"Skip")*(DAY(AB417)='Recurring Items'!$F$16)*IFERROR(N('Recurring Items'!$D$16),0)+(IF(AC417=1,'Debt Tracker'!$P$14&gt;0.01,INDEX('Debt Tracker'!$T$5:$AE$29,10,AC417-1)&gt;0.01))*('Recurring Items'!$H$17&lt;&gt;"Skip")*(DAY(AB417)='Recurring Items'!$F$17)*IFERROR(N('Recurring Items'!$D$17),0)+(IF(AC417=1,'Debt Tracker'!$P$15&gt;0.01,INDEX('Debt Tracker'!$T$5:$AE$29,11,AC417-1)&gt;0.01))*('Recurring Items'!$H$18&lt;&gt;"Skip")*(DAY(AB417)='Recurring Items'!$F$18)*IFERROR(N('Recurring Items'!$D$18),0)+(IF(AC417=1,'Debt Tracker'!$P$16&gt;0.01,INDEX('Debt Tracker'!$T$5:$AE$29,12,AC417-1)&gt;0.01))*('Recurring Items'!$H$19&lt;&gt;"Skip")*(DAY(AB417)='Recurring Items'!$F$19)*IFERROR(N('Recurring Items'!$D$19),0)+(IF(AC417=1,'Debt Tracker'!$P$17&gt;0.01,INDEX('Debt Tracker'!$T$5:$AE$29,13,AC417-1)&gt;0.01))*('Recurring Items'!$H$20&lt;&gt;"Skip")*(DAY(AB417)='Recurring Items'!$F$20)*IFERROR(N('Recurring Items'!$D$20),0)+(IF(AC417=1,'Debt Tracker'!$P$18&gt;0.01,INDEX('Debt Tracker'!$T$5:$AE$29,14,AC417-1)&gt;0.01))*('Recurring Items'!$H$21&lt;&gt;"Skip")*(DAY(AB417)='Recurring Items'!$F$21)*IFERROR(N('Recurring Items'!$D$21),0)+(IF(AC417=1,'Debt Tracker'!$P$19&gt;0.01,INDEX('Debt Tracker'!$T$5:$AE$29,15,AC417-1)&gt;0.01))*('Recurring Items'!$H$22&lt;&gt;"Skip")*(DAY(AB417)='Recurring Items'!$F$22)*IFERROR(N('Recurring Items'!$D$22),0)+(IF(AC417=1,'Debt Tracker'!$P$20&gt;0.01,INDEX('Debt Tracker'!$T$5:$AE$29,16,AC417-1)&gt;0.01))*('Recurring Items'!$H$23&lt;&gt;"Skip")*(DAY(AB417)='Recurring Items'!$F$23)*IFERROR(N('Recurring Items'!$D$23),0)+(IF(AC417=1,'Debt Tracker'!$P$21&gt;0.01,INDEX('Debt Tracker'!$T$5:$AE$29,17,AC417-1)&gt;0.01))*('Recurring Items'!$H$24&lt;&gt;"Skip")*(DAY(AB417)='Recurring Items'!$F$24)*IFERROR(N('Recurring Items'!$D$24),0)+(IF(AC417=1,'Debt Tracker'!$P$22&gt;0.01,INDEX('Debt Tracker'!$T$5:$AE$29,18,AC417-1)&gt;0.01))*('Recurring Items'!$H$25&lt;&gt;"Skip")*(DAY(AB417)='Recurring Items'!$F$25)*IFERROR(N('Recurring Items'!$D$25),0)+(IF(AC417=1,'Debt Tracker'!$P$23&gt;0.01,INDEX('Debt Tracker'!$T$5:$AE$29,19,AC417-1)&gt;0.01))*('Recurring Items'!$H$26&lt;&gt;"Skip")*(DAY(AB417)='Recurring Items'!$F$26)*IFERROR(N('Recurring Items'!$D$26),0)+(IF(AC417=1,'Debt Tracker'!$P$24&gt;0.01,INDEX('Debt Tracker'!$T$5:$AE$29,20,AC417-1)&gt;0.01))*('Recurring Items'!$H$27&lt;&gt;"Skip")*(DAY(AB417)='Recurring Items'!$F$27)*IFERROR(N('Recurring Items'!$D$27),0)+(IF(AC417=1,'Debt Tracker'!$P$25&gt;0.01,INDEX('Debt Tracker'!$T$5:$AE$29,21,AC417-1)&gt;0.01))*('Recurring Items'!$H$28&lt;&gt;"Skip")*(DAY(AB417)='Recurring Items'!$F$28)*IFERROR(N('Recurring Items'!$D$28),0)+(IF(AC417=1,'Debt Tracker'!$P$26&gt;0.01,INDEX('Debt Tracker'!$T$5:$AE$29,22,AC417-1)&gt;0.01))*('Recurring Items'!$H$29&lt;&gt;"Skip")*(DAY(AB417)='Recurring Items'!$F$29)*IFERROR(N('Recurring Items'!$D$29),0)+(IF(AC417=1,'Debt Tracker'!$P$27&gt;0.01,INDEX('Debt Tracker'!$T$5:$AE$29,23,AC417-1)&gt;0.01))*('Recurring Items'!$H$30&lt;&gt;"Skip")*(DAY(AB417)='Recurring Items'!$F$30)*IFERROR(N('Recurring Items'!$D$30),0)+(IF(AC417=1,'Debt Tracker'!$P$28&gt;0.01,INDEX('Debt Tracker'!$T$5:$AE$29,24,AC417-1)&gt;0.01))*('Recurring Items'!$H$31&lt;&gt;"Skip")*(DAY(AB417)='Recurring Items'!$F$31)*IFERROR(N('Recurring Items'!$D$31),0)+(IF(AC417=1,'Debt Tracker'!$P$29&gt;0.01,INDEX('Debt Tracker'!$T$5:$AE$29,25,AC417-1)&gt;0.01))*('Recurring Items'!$H$32&lt;&gt;"Skip")*(DAY(AB417)='Recurring Items'!$F$32)*IFERROR(N('Recurring Items'!$D$32),0)</f>
        <v>0</v>
      </c>
      <c r="AG417" s="1" t="n">
        <f aca="false">AD417-AE417-AF417</f>
        <v>-460</v>
      </c>
      <c r="AH417" s="1" t="n">
        <f aca="false">AH416+AG417</f>
        <v>15095.76</v>
      </c>
    </row>
    <row r="418" customFormat="false" ht="15" hidden="false" customHeight="true" outlineLevel="0" collapsed="false">
      <c r="AA418" s="1" t="n">
        <v>218</v>
      </c>
      <c r="AB418" s="145" t="n">
        <f aca="false">$D$3+218</f>
        <v>46361</v>
      </c>
      <c r="AC418" s="1" t="n">
        <f aca="false">MIN(12,1+DATEDIF($D$3,AB418,"M"))</f>
        <v>8</v>
      </c>
      <c r="AD418" s="1" t="n">
        <f aca="false">SUMPRODUCT(('Recurring Items'!$C$6:$C$56="Income")*('Recurring Items'!$H$6:$H$56&lt;&gt;"Skip")*IFERROR(N('Recurring Items'!$D$6:$D$56),0)*(('Recurring Items'!$E$6:$E$56="Monthly")*(DAY(AB418)='Recurring Items'!$F$6:$F$56)+('Recurring Items'!$E$6:$E$56="Bi-weekly")*(WEEKDAY(AB418)=IFERROR(WEEKDAY('Recurring Items'!$G$6:$G$56),0))*(MOD(AB418-IFERROR('Recurring Items'!$G$6:$G$56,0),14)=0)*(AB418&gt;=IFERROR('Recurring Items'!$G$6:$G$56,9000000000))+('Recurring Items'!$E$6:$E$56="Weekly")*(WEEKDAY(AB418)=IFERROR(WEEKDAY('Recurring Items'!$G$6:$G$56),0))*(AB418&gt;=IFERROR('Recurring Items'!$G$6:$G$56,9000000000))+('Recurring Items'!$E$6:$E$56="One-time")*(AB418='Recurring Items'!$G$6:$G$56)))</f>
        <v>0</v>
      </c>
      <c r="AE418" s="1" t="n">
        <f aca="false">SUMPRODUCT(('Recurring Items'!$C$6:$C$56="Expense")*('Recurring Items'!$H$6:$H$56&lt;&gt;"Skip")*IFERROR(N('Recurring Items'!$D$6:$D$56),0)*(('Recurring Items'!$E$6:$E$56="Monthly")*(DAY(AB418)='Recurring Items'!$F$6:$F$56)+('Recurring Items'!$E$6:$E$56="Bi-weekly")*(WEEKDAY(AB418)=IFERROR(WEEKDAY('Recurring Items'!$G$6:$G$56),0))*(MOD(AB418-IFERROR('Recurring Items'!$G$6:$G$56,0),14)=0)*(AB418&gt;=IFERROR('Recurring Items'!$G$6:$G$56,9000000000))+('Recurring Items'!$E$6:$E$56="Weekly")*(WEEKDAY(AB418)=IFERROR(WEEKDAY('Recurring Items'!$G$6:$G$56),0))*(AB418&gt;=IFERROR('Recurring Items'!$G$6:$G$56,9000000000))+('Recurring Items'!$E$6:$E$56="One-time")*(AB418='Recurring Items'!$G$6:$G$56)))</f>
        <v>51.01</v>
      </c>
      <c r="AF418" s="1" t="n">
        <f aca="false">(IF(AC418=1,'Debt Tracker'!$P$5&gt;0.01,INDEX('Debt Tracker'!$T$5:$AE$29,1,AC418-1)&gt;0.01))*('Recurring Items'!$H$8&lt;&gt;"Skip")*(DAY(AB418)='Recurring Items'!$F$8)*IFERROR(N('Recurring Items'!$D$8),0)+(IF(AC418=1,'Debt Tracker'!$P$6&gt;0.01,INDEX('Debt Tracker'!$T$5:$AE$29,2,AC418-1)&gt;0.01))*('Recurring Items'!$H$9&lt;&gt;"Skip")*(DAY(AB418)='Recurring Items'!$F$9)*IFERROR(N('Recurring Items'!$D$9),0)+(IF(AC418=1,'Debt Tracker'!$P$7&gt;0.01,INDEX('Debt Tracker'!$T$5:$AE$29,3,AC418-1)&gt;0.01))*('Recurring Items'!$H$10&lt;&gt;"Skip")*(DAY(AB418)='Recurring Items'!$F$10)*IFERROR(N('Recurring Items'!$D$10),0)+(IF(AC418=1,'Debt Tracker'!$P$8&gt;0.01,INDEX('Debt Tracker'!$T$5:$AE$29,4,AC418-1)&gt;0.01))*('Recurring Items'!$H$11&lt;&gt;"Skip")*(DAY(AB418)='Recurring Items'!$F$11)*IFERROR(N('Recurring Items'!$D$11),0)+(IF(AC418=1,'Debt Tracker'!$P$9&gt;0.01,INDEX('Debt Tracker'!$T$5:$AE$29,5,AC418-1)&gt;0.01))*('Recurring Items'!$H$12&lt;&gt;"Skip")*(DAY(AB418)='Recurring Items'!$F$12)*IFERROR(N('Recurring Items'!$D$12),0)+(IF(AC418=1,'Debt Tracker'!$P$10&gt;0.01,INDEX('Debt Tracker'!$T$5:$AE$29,6,AC418-1)&gt;0.01))*('Recurring Items'!$H$13&lt;&gt;"Skip")*(DAY(AB418)='Recurring Items'!$F$13)*IFERROR(N('Recurring Items'!$D$13),0)+(IF(AC418=1,'Debt Tracker'!$P$11&gt;0.01,INDEX('Debt Tracker'!$T$5:$AE$29,7,AC418-1)&gt;0.01))*('Recurring Items'!$H$14&lt;&gt;"Skip")*(DAY(AB418)='Recurring Items'!$F$14)*IFERROR(N('Recurring Items'!$D$14),0)+(IF(AC418=1,'Debt Tracker'!$P$12&gt;0.01,INDEX('Debt Tracker'!$T$5:$AE$29,8,AC418-1)&gt;0.01))*('Recurring Items'!$H$15&lt;&gt;"Skip")*(DAY(AB418)='Recurring Items'!$F$15)*IFERROR(N('Recurring Items'!$D$15),0)+(IF(AC418=1,'Debt Tracker'!$P$13&gt;0.01,INDEX('Debt Tracker'!$T$5:$AE$29,9,AC418-1)&gt;0.01))*('Recurring Items'!$H$16&lt;&gt;"Skip")*(DAY(AB418)='Recurring Items'!$F$16)*IFERROR(N('Recurring Items'!$D$16),0)+(IF(AC418=1,'Debt Tracker'!$P$14&gt;0.01,INDEX('Debt Tracker'!$T$5:$AE$29,10,AC418-1)&gt;0.01))*('Recurring Items'!$H$17&lt;&gt;"Skip")*(DAY(AB418)='Recurring Items'!$F$17)*IFERROR(N('Recurring Items'!$D$17),0)+(IF(AC418=1,'Debt Tracker'!$P$15&gt;0.01,INDEX('Debt Tracker'!$T$5:$AE$29,11,AC418-1)&gt;0.01))*('Recurring Items'!$H$18&lt;&gt;"Skip")*(DAY(AB418)='Recurring Items'!$F$18)*IFERROR(N('Recurring Items'!$D$18),0)+(IF(AC418=1,'Debt Tracker'!$P$16&gt;0.01,INDEX('Debt Tracker'!$T$5:$AE$29,12,AC418-1)&gt;0.01))*('Recurring Items'!$H$19&lt;&gt;"Skip")*(DAY(AB418)='Recurring Items'!$F$19)*IFERROR(N('Recurring Items'!$D$19),0)+(IF(AC418=1,'Debt Tracker'!$P$17&gt;0.01,INDEX('Debt Tracker'!$T$5:$AE$29,13,AC418-1)&gt;0.01))*('Recurring Items'!$H$20&lt;&gt;"Skip")*(DAY(AB418)='Recurring Items'!$F$20)*IFERROR(N('Recurring Items'!$D$20),0)+(IF(AC418=1,'Debt Tracker'!$P$18&gt;0.01,INDEX('Debt Tracker'!$T$5:$AE$29,14,AC418-1)&gt;0.01))*('Recurring Items'!$H$21&lt;&gt;"Skip")*(DAY(AB418)='Recurring Items'!$F$21)*IFERROR(N('Recurring Items'!$D$21),0)+(IF(AC418=1,'Debt Tracker'!$P$19&gt;0.01,INDEX('Debt Tracker'!$T$5:$AE$29,15,AC418-1)&gt;0.01))*('Recurring Items'!$H$22&lt;&gt;"Skip")*(DAY(AB418)='Recurring Items'!$F$22)*IFERROR(N('Recurring Items'!$D$22),0)+(IF(AC418=1,'Debt Tracker'!$P$20&gt;0.01,INDEX('Debt Tracker'!$T$5:$AE$29,16,AC418-1)&gt;0.01))*('Recurring Items'!$H$23&lt;&gt;"Skip")*(DAY(AB418)='Recurring Items'!$F$23)*IFERROR(N('Recurring Items'!$D$23),0)+(IF(AC418=1,'Debt Tracker'!$P$21&gt;0.01,INDEX('Debt Tracker'!$T$5:$AE$29,17,AC418-1)&gt;0.01))*('Recurring Items'!$H$24&lt;&gt;"Skip")*(DAY(AB418)='Recurring Items'!$F$24)*IFERROR(N('Recurring Items'!$D$24),0)+(IF(AC418=1,'Debt Tracker'!$P$22&gt;0.01,INDEX('Debt Tracker'!$T$5:$AE$29,18,AC418-1)&gt;0.01))*('Recurring Items'!$H$25&lt;&gt;"Skip")*(DAY(AB418)='Recurring Items'!$F$25)*IFERROR(N('Recurring Items'!$D$25),0)+(IF(AC418=1,'Debt Tracker'!$P$23&gt;0.01,INDEX('Debt Tracker'!$T$5:$AE$29,19,AC418-1)&gt;0.01))*('Recurring Items'!$H$26&lt;&gt;"Skip")*(DAY(AB418)='Recurring Items'!$F$26)*IFERROR(N('Recurring Items'!$D$26),0)+(IF(AC418=1,'Debt Tracker'!$P$24&gt;0.01,INDEX('Debt Tracker'!$T$5:$AE$29,20,AC418-1)&gt;0.01))*('Recurring Items'!$H$27&lt;&gt;"Skip")*(DAY(AB418)='Recurring Items'!$F$27)*IFERROR(N('Recurring Items'!$D$27),0)+(IF(AC418=1,'Debt Tracker'!$P$25&gt;0.01,INDEX('Debt Tracker'!$T$5:$AE$29,21,AC418-1)&gt;0.01))*('Recurring Items'!$H$28&lt;&gt;"Skip")*(DAY(AB418)='Recurring Items'!$F$28)*IFERROR(N('Recurring Items'!$D$28),0)+(IF(AC418=1,'Debt Tracker'!$P$26&gt;0.01,INDEX('Debt Tracker'!$T$5:$AE$29,22,AC418-1)&gt;0.01))*('Recurring Items'!$H$29&lt;&gt;"Skip")*(DAY(AB418)='Recurring Items'!$F$29)*IFERROR(N('Recurring Items'!$D$29),0)+(IF(AC418=1,'Debt Tracker'!$P$27&gt;0.01,INDEX('Debt Tracker'!$T$5:$AE$29,23,AC418-1)&gt;0.01))*('Recurring Items'!$H$30&lt;&gt;"Skip")*(DAY(AB418)='Recurring Items'!$F$30)*IFERROR(N('Recurring Items'!$D$30),0)+(IF(AC418=1,'Debt Tracker'!$P$28&gt;0.01,INDEX('Debt Tracker'!$T$5:$AE$29,24,AC418-1)&gt;0.01))*('Recurring Items'!$H$31&lt;&gt;"Skip")*(DAY(AB418)='Recurring Items'!$F$31)*IFERROR(N('Recurring Items'!$D$31),0)+(IF(AC418=1,'Debt Tracker'!$P$29&gt;0.01,INDEX('Debt Tracker'!$T$5:$AE$29,25,AC418-1)&gt;0.01))*('Recurring Items'!$H$32&lt;&gt;"Skip")*(DAY(AB418)='Recurring Items'!$F$32)*IFERROR(N('Recurring Items'!$D$32),0)</f>
        <v>0</v>
      </c>
      <c r="AG418" s="1" t="n">
        <f aca="false">AD418-AE418-AF418</f>
        <v>-51.01</v>
      </c>
      <c r="AH418" s="1" t="n">
        <f aca="false">AH417+AG418</f>
        <v>15044.75</v>
      </c>
    </row>
    <row r="419" customFormat="false" ht="15" hidden="false" customHeight="true" outlineLevel="0" collapsed="false">
      <c r="AA419" s="1" t="n">
        <v>219</v>
      </c>
      <c r="AB419" s="145" t="n">
        <f aca="false">$D$3+219</f>
        <v>46362</v>
      </c>
      <c r="AC419" s="1" t="n">
        <f aca="false">MIN(12,1+DATEDIF($D$3,AB419,"M"))</f>
        <v>8</v>
      </c>
      <c r="AD419" s="1" t="n">
        <f aca="false">SUMPRODUCT(('Recurring Items'!$C$6:$C$56="Income")*('Recurring Items'!$H$6:$H$56&lt;&gt;"Skip")*IFERROR(N('Recurring Items'!$D$6:$D$56),0)*(('Recurring Items'!$E$6:$E$56="Monthly")*(DAY(AB419)='Recurring Items'!$F$6:$F$56)+('Recurring Items'!$E$6:$E$56="Bi-weekly")*(WEEKDAY(AB419)=IFERROR(WEEKDAY('Recurring Items'!$G$6:$G$56),0))*(MOD(AB419-IFERROR('Recurring Items'!$G$6:$G$56,0),14)=0)*(AB419&gt;=IFERROR('Recurring Items'!$G$6:$G$56,9000000000))+('Recurring Items'!$E$6:$E$56="Weekly")*(WEEKDAY(AB419)=IFERROR(WEEKDAY('Recurring Items'!$G$6:$G$56),0))*(AB419&gt;=IFERROR('Recurring Items'!$G$6:$G$56,9000000000))+('Recurring Items'!$E$6:$E$56="One-time")*(AB419='Recurring Items'!$G$6:$G$56)))</f>
        <v>0</v>
      </c>
      <c r="AE419" s="1" t="n">
        <f aca="false">SUMPRODUCT(('Recurring Items'!$C$6:$C$56="Expense")*('Recurring Items'!$H$6:$H$56&lt;&gt;"Skip")*IFERROR(N('Recurring Items'!$D$6:$D$56),0)*(('Recurring Items'!$E$6:$E$56="Monthly")*(DAY(AB419)='Recurring Items'!$F$6:$F$56)+('Recurring Items'!$E$6:$E$56="Bi-weekly")*(WEEKDAY(AB419)=IFERROR(WEEKDAY('Recurring Items'!$G$6:$G$56),0))*(MOD(AB419-IFERROR('Recurring Items'!$G$6:$G$56,0),14)=0)*(AB419&gt;=IFERROR('Recurring Items'!$G$6:$G$56,9000000000))+('Recurring Items'!$E$6:$E$56="Weekly")*(WEEKDAY(AB419)=IFERROR(WEEKDAY('Recurring Items'!$G$6:$G$56),0))*(AB419&gt;=IFERROR('Recurring Items'!$G$6:$G$56,9000000000))+('Recurring Items'!$E$6:$E$56="One-time")*(AB419='Recurring Items'!$G$6:$G$56)))</f>
        <v>651.55</v>
      </c>
      <c r="AF419" s="1" t="n">
        <f aca="false">(IF(AC419=1,'Debt Tracker'!$P$5&gt;0.01,INDEX('Debt Tracker'!$T$5:$AE$29,1,AC419-1)&gt;0.01))*('Recurring Items'!$H$8&lt;&gt;"Skip")*(DAY(AB419)='Recurring Items'!$F$8)*IFERROR(N('Recurring Items'!$D$8),0)+(IF(AC419=1,'Debt Tracker'!$P$6&gt;0.01,INDEX('Debt Tracker'!$T$5:$AE$29,2,AC419-1)&gt;0.01))*('Recurring Items'!$H$9&lt;&gt;"Skip")*(DAY(AB419)='Recurring Items'!$F$9)*IFERROR(N('Recurring Items'!$D$9),0)+(IF(AC419=1,'Debt Tracker'!$P$7&gt;0.01,INDEX('Debt Tracker'!$T$5:$AE$29,3,AC419-1)&gt;0.01))*('Recurring Items'!$H$10&lt;&gt;"Skip")*(DAY(AB419)='Recurring Items'!$F$10)*IFERROR(N('Recurring Items'!$D$10),0)+(IF(AC419=1,'Debt Tracker'!$P$8&gt;0.01,INDEX('Debt Tracker'!$T$5:$AE$29,4,AC419-1)&gt;0.01))*('Recurring Items'!$H$11&lt;&gt;"Skip")*(DAY(AB419)='Recurring Items'!$F$11)*IFERROR(N('Recurring Items'!$D$11),0)+(IF(AC419=1,'Debt Tracker'!$P$9&gt;0.01,INDEX('Debt Tracker'!$T$5:$AE$29,5,AC419-1)&gt;0.01))*('Recurring Items'!$H$12&lt;&gt;"Skip")*(DAY(AB419)='Recurring Items'!$F$12)*IFERROR(N('Recurring Items'!$D$12),0)+(IF(AC419=1,'Debt Tracker'!$P$10&gt;0.01,INDEX('Debt Tracker'!$T$5:$AE$29,6,AC419-1)&gt;0.01))*('Recurring Items'!$H$13&lt;&gt;"Skip")*(DAY(AB419)='Recurring Items'!$F$13)*IFERROR(N('Recurring Items'!$D$13),0)+(IF(AC419=1,'Debt Tracker'!$P$11&gt;0.01,INDEX('Debt Tracker'!$T$5:$AE$29,7,AC419-1)&gt;0.01))*('Recurring Items'!$H$14&lt;&gt;"Skip")*(DAY(AB419)='Recurring Items'!$F$14)*IFERROR(N('Recurring Items'!$D$14),0)+(IF(AC419=1,'Debt Tracker'!$P$12&gt;0.01,INDEX('Debt Tracker'!$T$5:$AE$29,8,AC419-1)&gt;0.01))*('Recurring Items'!$H$15&lt;&gt;"Skip")*(DAY(AB419)='Recurring Items'!$F$15)*IFERROR(N('Recurring Items'!$D$15),0)+(IF(AC419=1,'Debt Tracker'!$P$13&gt;0.01,INDEX('Debt Tracker'!$T$5:$AE$29,9,AC419-1)&gt;0.01))*('Recurring Items'!$H$16&lt;&gt;"Skip")*(DAY(AB419)='Recurring Items'!$F$16)*IFERROR(N('Recurring Items'!$D$16),0)+(IF(AC419=1,'Debt Tracker'!$P$14&gt;0.01,INDEX('Debt Tracker'!$T$5:$AE$29,10,AC419-1)&gt;0.01))*('Recurring Items'!$H$17&lt;&gt;"Skip")*(DAY(AB419)='Recurring Items'!$F$17)*IFERROR(N('Recurring Items'!$D$17),0)+(IF(AC419=1,'Debt Tracker'!$P$15&gt;0.01,INDEX('Debt Tracker'!$T$5:$AE$29,11,AC419-1)&gt;0.01))*('Recurring Items'!$H$18&lt;&gt;"Skip")*(DAY(AB419)='Recurring Items'!$F$18)*IFERROR(N('Recurring Items'!$D$18),0)+(IF(AC419=1,'Debt Tracker'!$P$16&gt;0.01,INDEX('Debt Tracker'!$T$5:$AE$29,12,AC419-1)&gt;0.01))*('Recurring Items'!$H$19&lt;&gt;"Skip")*(DAY(AB419)='Recurring Items'!$F$19)*IFERROR(N('Recurring Items'!$D$19),0)+(IF(AC419=1,'Debt Tracker'!$P$17&gt;0.01,INDEX('Debt Tracker'!$T$5:$AE$29,13,AC419-1)&gt;0.01))*('Recurring Items'!$H$20&lt;&gt;"Skip")*(DAY(AB419)='Recurring Items'!$F$20)*IFERROR(N('Recurring Items'!$D$20),0)+(IF(AC419=1,'Debt Tracker'!$P$18&gt;0.01,INDEX('Debt Tracker'!$T$5:$AE$29,14,AC419-1)&gt;0.01))*('Recurring Items'!$H$21&lt;&gt;"Skip")*(DAY(AB419)='Recurring Items'!$F$21)*IFERROR(N('Recurring Items'!$D$21),0)+(IF(AC419=1,'Debt Tracker'!$P$19&gt;0.01,INDEX('Debt Tracker'!$T$5:$AE$29,15,AC419-1)&gt;0.01))*('Recurring Items'!$H$22&lt;&gt;"Skip")*(DAY(AB419)='Recurring Items'!$F$22)*IFERROR(N('Recurring Items'!$D$22),0)+(IF(AC419=1,'Debt Tracker'!$P$20&gt;0.01,INDEX('Debt Tracker'!$T$5:$AE$29,16,AC419-1)&gt;0.01))*('Recurring Items'!$H$23&lt;&gt;"Skip")*(DAY(AB419)='Recurring Items'!$F$23)*IFERROR(N('Recurring Items'!$D$23),0)+(IF(AC419=1,'Debt Tracker'!$P$21&gt;0.01,INDEX('Debt Tracker'!$T$5:$AE$29,17,AC419-1)&gt;0.01))*('Recurring Items'!$H$24&lt;&gt;"Skip")*(DAY(AB419)='Recurring Items'!$F$24)*IFERROR(N('Recurring Items'!$D$24),0)+(IF(AC419=1,'Debt Tracker'!$P$22&gt;0.01,INDEX('Debt Tracker'!$T$5:$AE$29,18,AC419-1)&gt;0.01))*('Recurring Items'!$H$25&lt;&gt;"Skip")*(DAY(AB419)='Recurring Items'!$F$25)*IFERROR(N('Recurring Items'!$D$25),0)+(IF(AC419=1,'Debt Tracker'!$P$23&gt;0.01,INDEX('Debt Tracker'!$T$5:$AE$29,19,AC419-1)&gt;0.01))*('Recurring Items'!$H$26&lt;&gt;"Skip")*(DAY(AB419)='Recurring Items'!$F$26)*IFERROR(N('Recurring Items'!$D$26),0)+(IF(AC419=1,'Debt Tracker'!$P$24&gt;0.01,INDEX('Debt Tracker'!$T$5:$AE$29,20,AC419-1)&gt;0.01))*('Recurring Items'!$H$27&lt;&gt;"Skip")*(DAY(AB419)='Recurring Items'!$F$27)*IFERROR(N('Recurring Items'!$D$27),0)+(IF(AC419=1,'Debt Tracker'!$P$25&gt;0.01,INDEX('Debt Tracker'!$T$5:$AE$29,21,AC419-1)&gt;0.01))*('Recurring Items'!$H$28&lt;&gt;"Skip")*(DAY(AB419)='Recurring Items'!$F$28)*IFERROR(N('Recurring Items'!$D$28),0)+(IF(AC419=1,'Debt Tracker'!$P$26&gt;0.01,INDEX('Debt Tracker'!$T$5:$AE$29,22,AC419-1)&gt;0.01))*('Recurring Items'!$H$29&lt;&gt;"Skip")*(DAY(AB419)='Recurring Items'!$F$29)*IFERROR(N('Recurring Items'!$D$29),0)+(IF(AC419=1,'Debt Tracker'!$P$27&gt;0.01,INDEX('Debt Tracker'!$T$5:$AE$29,23,AC419-1)&gt;0.01))*('Recurring Items'!$H$30&lt;&gt;"Skip")*(DAY(AB419)='Recurring Items'!$F$30)*IFERROR(N('Recurring Items'!$D$30),0)+(IF(AC419=1,'Debt Tracker'!$P$28&gt;0.01,INDEX('Debt Tracker'!$T$5:$AE$29,24,AC419-1)&gt;0.01))*('Recurring Items'!$H$31&lt;&gt;"Skip")*(DAY(AB419)='Recurring Items'!$F$31)*IFERROR(N('Recurring Items'!$D$31),0)+(IF(AC419=1,'Debt Tracker'!$P$29&gt;0.01,INDEX('Debt Tracker'!$T$5:$AE$29,25,AC419-1)&gt;0.01))*('Recurring Items'!$H$32&lt;&gt;"Skip")*(DAY(AB419)='Recurring Items'!$F$32)*IFERROR(N('Recurring Items'!$D$32),0)</f>
        <v>0</v>
      </c>
      <c r="AG419" s="1" t="n">
        <f aca="false">AD419-AE419-AF419</f>
        <v>-651.55</v>
      </c>
      <c r="AH419" s="1" t="n">
        <f aca="false">AH418+AG419</f>
        <v>14393.2</v>
      </c>
    </row>
    <row r="420" customFormat="false" ht="15" hidden="false" customHeight="true" outlineLevel="0" collapsed="false">
      <c r="AA420" s="1" t="n">
        <v>220</v>
      </c>
      <c r="AB420" s="145" t="n">
        <f aca="false">$D$3+220</f>
        <v>46363</v>
      </c>
      <c r="AC420" s="1" t="n">
        <f aca="false">MIN(12,1+DATEDIF($D$3,AB420,"M"))</f>
        <v>8</v>
      </c>
      <c r="AD420" s="1" t="n">
        <f aca="false">SUMPRODUCT(('Recurring Items'!$C$6:$C$56="Income")*('Recurring Items'!$H$6:$H$56&lt;&gt;"Skip")*IFERROR(N('Recurring Items'!$D$6:$D$56),0)*(('Recurring Items'!$E$6:$E$56="Monthly")*(DAY(AB420)='Recurring Items'!$F$6:$F$56)+('Recurring Items'!$E$6:$E$56="Bi-weekly")*(WEEKDAY(AB420)=IFERROR(WEEKDAY('Recurring Items'!$G$6:$G$56),0))*(MOD(AB420-IFERROR('Recurring Items'!$G$6:$G$56,0),14)=0)*(AB420&gt;=IFERROR('Recurring Items'!$G$6:$G$56,9000000000))+('Recurring Items'!$E$6:$E$56="Weekly")*(WEEKDAY(AB420)=IFERROR(WEEKDAY('Recurring Items'!$G$6:$G$56),0))*(AB420&gt;=IFERROR('Recurring Items'!$G$6:$G$56,9000000000))+('Recurring Items'!$E$6:$E$56="One-time")*(AB420='Recurring Items'!$G$6:$G$56)))</f>
        <v>0</v>
      </c>
      <c r="AE420" s="1" t="n">
        <f aca="false">SUMPRODUCT(('Recurring Items'!$C$6:$C$56="Expense")*('Recurring Items'!$H$6:$H$56&lt;&gt;"Skip")*IFERROR(N('Recurring Items'!$D$6:$D$56),0)*(('Recurring Items'!$E$6:$E$56="Monthly")*(DAY(AB420)='Recurring Items'!$F$6:$F$56)+('Recurring Items'!$E$6:$E$56="Bi-weekly")*(WEEKDAY(AB420)=IFERROR(WEEKDAY('Recurring Items'!$G$6:$G$56),0))*(MOD(AB420-IFERROR('Recurring Items'!$G$6:$G$56,0),14)=0)*(AB420&gt;=IFERROR('Recurring Items'!$G$6:$G$56,9000000000))+('Recurring Items'!$E$6:$E$56="Weekly")*(WEEKDAY(AB420)=IFERROR(WEEKDAY('Recurring Items'!$G$6:$G$56),0))*(AB420&gt;=IFERROR('Recurring Items'!$G$6:$G$56,9000000000))+('Recurring Items'!$E$6:$E$56="One-time")*(AB420='Recurring Items'!$G$6:$G$56)))</f>
        <v>672.8</v>
      </c>
      <c r="AF420" s="1" t="n">
        <f aca="false">(IF(AC420=1,'Debt Tracker'!$P$5&gt;0.01,INDEX('Debt Tracker'!$T$5:$AE$29,1,AC420-1)&gt;0.01))*('Recurring Items'!$H$8&lt;&gt;"Skip")*(DAY(AB420)='Recurring Items'!$F$8)*IFERROR(N('Recurring Items'!$D$8),0)+(IF(AC420=1,'Debt Tracker'!$P$6&gt;0.01,INDEX('Debt Tracker'!$T$5:$AE$29,2,AC420-1)&gt;0.01))*('Recurring Items'!$H$9&lt;&gt;"Skip")*(DAY(AB420)='Recurring Items'!$F$9)*IFERROR(N('Recurring Items'!$D$9),0)+(IF(AC420=1,'Debt Tracker'!$P$7&gt;0.01,INDEX('Debt Tracker'!$T$5:$AE$29,3,AC420-1)&gt;0.01))*('Recurring Items'!$H$10&lt;&gt;"Skip")*(DAY(AB420)='Recurring Items'!$F$10)*IFERROR(N('Recurring Items'!$D$10),0)+(IF(AC420=1,'Debt Tracker'!$P$8&gt;0.01,INDEX('Debt Tracker'!$T$5:$AE$29,4,AC420-1)&gt;0.01))*('Recurring Items'!$H$11&lt;&gt;"Skip")*(DAY(AB420)='Recurring Items'!$F$11)*IFERROR(N('Recurring Items'!$D$11),0)+(IF(AC420=1,'Debt Tracker'!$P$9&gt;0.01,INDEX('Debt Tracker'!$T$5:$AE$29,5,AC420-1)&gt;0.01))*('Recurring Items'!$H$12&lt;&gt;"Skip")*(DAY(AB420)='Recurring Items'!$F$12)*IFERROR(N('Recurring Items'!$D$12),0)+(IF(AC420=1,'Debt Tracker'!$P$10&gt;0.01,INDEX('Debt Tracker'!$T$5:$AE$29,6,AC420-1)&gt;0.01))*('Recurring Items'!$H$13&lt;&gt;"Skip")*(DAY(AB420)='Recurring Items'!$F$13)*IFERROR(N('Recurring Items'!$D$13),0)+(IF(AC420=1,'Debt Tracker'!$P$11&gt;0.01,INDEX('Debt Tracker'!$T$5:$AE$29,7,AC420-1)&gt;0.01))*('Recurring Items'!$H$14&lt;&gt;"Skip")*(DAY(AB420)='Recurring Items'!$F$14)*IFERROR(N('Recurring Items'!$D$14),0)+(IF(AC420=1,'Debt Tracker'!$P$12&gt;0.01,INDEX('Debt Tracker'!$T$5:$AE$29,8,AC420-1)&gt;0.01))*('Recurring Items'!$H$15&lt;&gt;"Skip")*(DAY(AB420)='Recurring Items'!$F$15)*IFERROR(N('Recurring Items'!$D$15),0)+(IF(AC420=1,'Debt Tracker'!$P$13&gt;0.01,INDEX('Debt Tracker'!$T$5:$AE$29,9,AC420-1)&gt;0.01))*('Recurring Items'!$H$16&lt;&gt;"Skip")*(DAY(AB420)='Recurring Items'!$F$16)*IFERROR(N('Recurring Items'!$D$16),0)+(IF(AC420=1,'Debt Tracker'!$P$14&gt;0.01,INDEX('Debt Tracker'!$T$5:$AE$29,10,AC420-1)&gt;0.01))*('Recurring Items'!$H$17&lt;&gt;"Skip")*(DAY(AB420)='Recurring Items'!$F$17)*IFERROR(N('Recurring Items'!$D$17),0)+(IF(AC420=1,'Debt Tracker'!$P$15&gt;0.01,INDEX('Debt Tracker'!$T$5:$AE$29,11,AC420-1)&gt;0.01))*('Recurring Items'!$H$18&lt;&gt;"Skip")*(DAY(AB420)='Recurring Items'!$F$18)*IFERROR(N('Recurring Items'!$D$18),0)+(IF(AC420=1,'Debt Tracker'!$P$16&gt;0.01,INDEX('Debt Tracker'!$T$5:$AE$29,12,AC420-1)&gt;0.01))*('Recurring Items'!$H$19&lt;&gt;"Skip")*(DAY(AB420)='Recurring Items'!$F$19)*IFERROR(N('Recurring Items'!$D$19),0)+(IF(AC420=1,'Debt Tracker'!$P$17&gt;0.01,INDEX('Debt Tracker'!$T$5:$AE$29,13,AC420-1)&gt;0.01))*('Recurring Items'!$H$20&lt;&gt;"Skip")*(DAY(AB420)='Recurring Items'!$F$20)*IFERROR(N('Recurring Items'!$D$20),0)+(IF(AC420=1,'Debt Tracker'!$P$18&gt;0.01,INDEX('Debt Tracker'!$T$5:$AE$29,14,AC420-1)&gt;0.01))*('Recurring Items'!$H$21&lt;&gt;"Skip")*(DAY(AB420)='Recurring Items'!$F$21)*IFERROR(N('Recurring Items'!$D$21),0)+(IF(AC420=1,'Debt Tracker'!$P$19&gt;0.01,INDEX('Debt Tracker'!$T$5:$AE$29,15,AC420-1)&gt;0.01))*('Recurring Items'!$H$22&lt;&gt;"Skip")*(DAY(AB420)='Recurring Items'!$F$22)*IFERROR(N('Recurring Items'!$D$22),0)+(IF(AC420=1,'Debt Tracker'!$P$20&gt;0.01,INDEX('Debt Tracker'!$T$5:$AE$29,16,AC420-1)&gt;0.01))*('Recurring Items'!$H$23&lt;&gt;"Skip")*(DAY(AB420)='Recurring Items'!$F$23)*IFERROR(N('Recurring Items'!$D$23),0)+(IF(AC420=1,'Debt Tracker'!$P$21&gt;0.01,INDEX('Debt Tracker'!$T$5:$AE$29,17,AC420-1)&gt;0.01))*('Recurring Items'!$H$24&lt;&gt;"Skip")*(DAY(AB420)='Recurring Items'!$F$24)*IFERROR(N('Recurring Items'!$D$24),0)+(IF(AC420=1,'Debt Tracker'!$P$22&gt;0.01,INDEX('Debt Tracker'!$T$5:$AE$29,18,AC420-1)&gt;0.01))*('Recurring Items'!$H$25&lt;&gt;"Skip")*(DAY(AB420)='Recurring Items'!$F$25)*IFERROR(N('Recurring Items'!$D$25),0)+(IF(AC420=1,'Debt Tracker'!$P$23&gt;0.01,INDEX('Debt Tracker'!$T$5:$AE$29,19,AC420-1)&gt;0.01))*('Recurring Items'!$H$26&lt;&gt;"Skip")*(DAY(AB420)='Recurring Items'!$F$26)*IFERROR(N('Recurring Items'!$D$26),0)+(IF(AC420=1,'Debt Tracker'!$P$24&gt;0.01,INDEX('Debt Tracker'!$T$5:$AE$29,20,AC420-1)&gt;0.01))*('Recurring Items'!$H$27&lt;&gt;"Skip")*(DAY(AB420)='Recurring Items'!$F$27)*IFERROR(N('Recurring Items'!$D$27),0)+(IF(AC420=1,'Debt Tracker'!$P$25&gt;0.01,INDEX('Debt Tracker'!$T$5:$AE$29,21,AC420-1)&gt;0.01))*('Recurring Items'!$H$28&lt;&gt;"Skip")*(DAY(AB420)='Recurring Items'!$F$28)*IFERROR(N('Recurring Items'!$D$28),0)+(IF(AC420=1,'Debt Tracker'!$P$26&gt;0.01,INDEX('Debt Tracker'!$T$5:$AE$29,22,AC420-1)&gt;0.01))*('Recurring Items'!$H$29&lt;&gt;"Skip")*(DAY(AB420)='Recurring Items'!$F$29)*IFERROR(N('Recurring Items'!$D$29),0)+(IF(AC420=1,'Debt Tracker'!$P$27&gt;0.01,INDEX('Debt Tracker'!$T$5:$AE$29,23,AC420-1)&gt;0.01))*('Recurring Items'!$H$30&lt;&gt;"Skip")*(DAY(AB420)='Recurring Items'!$F$30)*IFERROR(N('Recurring Items'!$D$30),0)+(IF(AC420=1,'Debt Tracker'!$P$28&gt;0.01,INDEX('Debt Tracker'!$T$5:$AE$29,24,AC420-1)&gt;0.01))*('Recurring Items'!$H$31&lt;&gt;"Skip")*(DAY(AB420)='Recurring Items'!$F$31)*IFERROR(N('Recurring Items'!$D$31),0)+(IF(AC420=1,'Debt Tracker'!$P$29&gt;0.01,INDEX('Debt Tracker'!$T$5:$AE$29,25,AC420-1)&gt;0.01))*('Recurring Items'!$H$32&lt;&gt;"Skip")*(DAY(AB420)='Recurring Items'!$F$32)*IFERROR(N('Recurring Items'!$D$32),0)</f>
        <v>0</v>
      </c>
      <c r="AG420" s="1" t="n">
        <f aca="false">AD420-AE420-AF420</f>
        <v>-672.8</v>
      </c>
      <c r="AH420" s="1" t="n">
        <f aca="false">AH419+AG420</f>
        <v>13720.4</v>
      </c>
    </row>
    <row r="421" customFormat="false" ht="15" hidden="false" customHeight="true" outlineLevel="0" collapsed="false">
      <c r="AA421" s="1" t="n">
        <v>221</v>
      </c>
      <c r="AB421" s="145" t="n">
        <f aca="false">$D$3+221</f>
        <v>46364</v>
      </c>
      <c r="AC421" s="1" t="n">
        <f aca="false">MIN(12,1+DATEDIF($D$3,AB421,"M"))</f>
        <v>8</v>
      </c>
      <c r="AD421" s="1" t="n">
        <f aca="false">SUMPRODUCT(('Recurring Items'!$C$6:$C$56="Income")*('Recurring Items'!$H$6:$H$56&lt;&gt;"Skip")*IFERROR(N('Recurring Items'!$D$6:$D$56),0)*(('Recurring Items'!$E$6:$E$56="Monthly")*(DAY(AB421)='Recurring Items'!$F$6:$F$56)+('Recurring Items'!$E$6:$E$56="Bi-weekly")*(WEEKDAY(AB421)=IFERROR(WEEKDAY('Recurring Items'!$G$6:$G$56),0))*(MOD(AB421-IFERROR('Recurring Items'!$G$6:$G$56,0),14)=0)*(AB421&gt;=IFERROR('Recurring Items'!$G$6:$G$56,9000000000))+('Recurring Items'!$E$6:$E$56="Weekly")*(WEEKDAY(AB421)=IFERROR(WEEKDAY('Recurring Items'!$G$6:$G$56),0))*(AB421&gt;=IFERROR('Recurring Items'!$G$6:$G$56,9000000000))+('Recurring Items'!$E$6:$E$56="One-time")*(AB421='Recurring Items'!$G$6:$G$56)))</f>
        <v>0</v>
      </c>
      <c r="AE421" s="1" t="n">
        <f aca="false">SUMPRODUCT(('Recurring Items'!$C$6:$C$56="Expense")*('Recurring Items'!$H$6:$H$56&lt;&gt;"Skip")*IFERROR(N('Recurring Items'!$D$6:$D$56),0)*(('Recurring Items'!$E$6:$E$56="Monthly")*(DAY(AB421)='Recurring Items'!$F$6:$F$56)+('Recurring Items'!$E$6:$E$56="Bi-weekly")*(WEEKDAY(AB421)=IFERROR(WEEKDAY('Recurring Items'!$G$6:$G$56),0))*(MOD(AB421-IFERROR('Recurring Items'!$G$6:$G$56,0),14)=0)*(AB421&gt;=IFERROR('Recurring Items'!$G$6:$G$56,9000000000))+('Recurring Items'!$E$6:$E$56="Weekly")*(WEEKDAY(AB421)=IFERROR(WEEKDAY('Recurring Items'!$G$6:$G$56),0))*(AB421&gt;=IFERROR('Recurring Items'!$G$6:$G$56,9000000000))+('Recurring Items'!$E$6:$E$56="One-time")*(AB421='Recurring Items'!$G$6:$G$56)))</f>
        <v>53.85</v>
      </c>
      <c r="AF421" s="1" t="n">
        <f aca="false">(IF(AC421=1,'Debt Tracker'!$P$5&gt;0.01,INDEX('Debt Tracker'!$T$5:$AE$29,1,AC421-1)&gt;0.01))*('Recurring Items'!$H$8&lt;&gt;"Skip")*(DAY(AB421)='Recurring Items'!$F$8)*IFERROR(N('Recurring Items'!$D$8),0)+(IF(AC421=1,'Debt Tracker'!$P$6&gt;0.01,INDEX('Debt Tracker'!$T$5:$AE$29,2,AC421-1)&gt;0.01))*('Recurring Items'!$H$9&lt;&gt;"Skip")*(DAY(AB421)='Recurring Items'!$F$9)*IFERROR(N('Recurring Items'!$D$9),0)+(IF(AC421=1,'Debt Tracker'!$P$7&gt;0.01,INDEX('Debt Tracker'!$T$5:$AE$29,3,AC421-1)&gt;0.01))*('Recurring Items'!$H$10&lt;&gt;"Skip")*(DAY(AB421)='Recurring Items'!$F$10)*IFERROR(N('Recurring Items'!$D$10),0)+(IF(AC421=1,'Debt Tracker'!$P$8&gt;0.01,INDEX('Debt Tracker'!$T$5:$AE$29,4,AC421-1)&gt;0.01))*('Recurring Items'!$H$11&lt;&gt;"Skip")*(DAY(AB421)='Recurring Items'!$F$11)*IFERROR(N('Recurring Items'!$D$11),0)+(IF(AC421=1,'Debt Tracker'!$P$9&gt;0.01,INDEX('Debt Tracker'!$T$5:$AE$29,5,AC421-1)&gt;0.01))*('Recurring Items'!$H$12&lt;&gt;"Skip")*(DAY(AB421)='Recurring Items'!$F$12)*IFERROR(N('Recurring Items'!$D$12),0)+(IF(AC421=1,'Debt Tracker'!$P$10&gt;0.01,INDEX('Debt Tracker'!$T$5:$AE$29,6,AC421-1)&gt;0.01))*('Recurring Items'!$H$13&lt;&gt;"Skip")*(DAY(AB421)='Recurring Items'!$F$13)*IFERROR(N('Recurring Items'!$D$13),0)+(IF(AC421=1,'Debt Tracker'!$P$11&gt;0.01,INDEX('Debt Tracker'!$T$5:$AE$29,7,AC421-1)&gt;0.01))*('Recurring Items'!$H$14&lt;&gt;"Skip")*(DAY(AB421)='Recurring Items'!$F$14)*IFERROR(N('Recurring Items'!$D$14),0)+(IF(AC421=1,'Debt Tracker'!$P$12&gt;0.01,INDEX('Debt Tracker'!$T$5:$AE$29,8,AC421-1)&gt;0.01))*('Recurring Items'!$H$15&lt;&gt;"Skip")*(DAY(AB421)='Recurring Items'!$F$15)*IFERROR(N('Recurring Items'!$D$15),0)+(IF(AC421=1,'Debt Tracker'!$P$13&gt;0.01,INDEX('Debt Tracker'!$T$5:$AE$29,9,AC421-1)&gt;0.01))*('Recurring Items'!$H$16&lt;&gt;"Skip")*(DAY(AB421)='Recurring Items'!$F$16)*IFERROR(N('Recurring Items'!$D$16),0)+(IF(AC421=1,'Debt Tracker'!$P$14&gt;0.01,INDEX('Debt Tracker'!$T$5:$AE$29,10,AC421-1)&gt;0.01))*('Recurring Items'!$H$17&lt;&gt;"Skip")*(DAY(AB421)='Recurring Items'!$F$17)*IFERROR(N('Recurring Items'!$D$17),0)+(IF(AC421=1,'Debt Tracker'!$P$15&gt;0.01,INDEX('Debt Tracker'!$T$5:$AE$29,11,AC421-1)&gt;0.01))*('Recurring Items'!$H$18&lt;&gt;"Skip")*(DAY(AB421)='Recurring Items'!$F$18)*IFERROR(N('Recurring Items'!$D$18),0)+(IF(AC421=1,'Debt Tracker'!$P$16&gt;0.01,INDEX('Debt Tracker'!$T$5:$AE$29,12,AC421-1)&gt;0.01))*('Recurring Items'!$H$19&lt;&gt;"Skip")*(DAY(AB421)='Recurring Items'!$F$19)*IFERROR(N('Recurring Items'!$D$19),0)+(IF(AC421=1,'Debt Tracker'!$P$17&gt;0.01,INDEX('Debt Tracker'!$T$5:$AE$29,13,AC421-1)&gt;0.01))*('Recurring Items'!$H$20&lt;&gt;"Skip")*(DAY(AB421)='Recurring Items'!$F$20)*IFERROR(N('Recurring Items'!$D$20),0)+(IF(AC421=1,'Debt Tracker'!$P$18&gt;0.01,INDEX('Debt Tracker'!$T$5:$AE$29,14,AC421-1)&gt;0.01))*('Recurring Items'!$H$21&lt;&gt;"Skip")*(DAY(AB421)='Recurring Items'!$F$21)*IFERROR(N('Recurring Items'!$D$21),0)+(IF(AC421=1,'Debt Tracker'!$P$19&gt;0.01,INDEX('Debt Tracker'!$T$5:$AE$29,15,AC421-1)&gt;0.01))*('Recurring Items'!$H$22&lt;&gt;"Skip")*(DAY(AB421)='Recurring Items'!$F$22)*IFERROR(N('Recurring Items'!$D$22),0)+(IF(AC421=1,'Debt Tracker'!$P$20&gt;0.01,INDEX('Debt Tracker'!$T$5:$AE$29,16,AC421-1)&gt;0.01))*('Recurring Items'!$H$23&lt;&gt;"Skip")*(DAY(AB421)='Recurring Items'!$F$23)*IFERROR(N('Recurring Items'!$D$23),0)+(IF(AC421=1,'Debt Tracker'!$P$21&gt;0.01,INDEX('Debt Tracker'!$T$5:$AE$29,17,AC421-1)&gt;0.01))*('Recurring Items'!$H$24&lt;&gt;"Skip")*(DAY(AB421)='Recurring Items'!$F$24)*IFERROR(N('Recurring Items'!$D$24),0)+(IF(AC421=1,'Debt Tracker'!$P$22&gt;0.01,INDEX('Debt Tracker'!$T$5:$AE$29,18,AC421-1)&gt;0.01))*('Recurring Items'!$H$25&lt;&gt;"Skip")*(DAY(AB421)='Recurring Items'!$F$25)*IFERROR(N('Recurring Items'!$D$25),0)+(IF(AC421=1,'Debt Tracker'!$P$23&gt;0.01,INDEX('Debt Tracker'!$T$5:$AE$29,19,AC421-1)&gt;0.01))*('Recurring Items'!$H$26&lt;&gt;"Skip")*(DAY(AB421)='Recurring Items'!$F$26)*IFERROR(N('Recurring Items'!$D$26),0)+(IF(AC421=1,'Debt Tracker'!$P$24&gt;0.01,INDEX('Debt Tracker'!$T$5:$AE$29,20,AC421-1)&gt;0.01))*('Recurring Items'!$H$27&lt;&gt;"Skip")*(DAY(AB421)='Recurring Items'!$F$27)*IFERROR(N('Recurring Items'!$D$27),0)+(IF(AC421=1,'Debt Tracker'!$P$25&gt;0.01,INDEX('Debt Tracker'!$T$5:$AE$29,21,AC421-1)&gt;0.01))*('Recurring Items'!$H$28&lt;&gt;"Skip")*(DAY(AB421)='Recurring Items'!$F$28)*IFERROR(N('Recurring Items'!$D$28),0)+(IF(AC421=1,'Debt Tracker'!$P$26&gt;0.01,INDEX('Debt Tracker'!$T$5:$AE$29,22,AC421-1)&gt;0.01))*('Recurring Items'!$H$29&lt;&gt;"Skip")*(DAY(AB421)='Recurring Items'!$F$29)*IFERROR(N('Recurring Items'!$D$29),0)+(IF(AC421=1,'Debt Tracker'!$P$27&gt;0.01,INDEX('Debt Tracker'!$T$5:$AE$29,23,AC421-1)&gt;0.01))*('Recurring Items'!$H$30&lt;&gt;"Skip")*(DAY(AB421)='Recurring Items'!$F$30)*IFERROR(N('Recurring Items'!$D$30),0)+(IF(AC421=1,'Debt Tracker'!$P$28&gt;0.01,INDEX('Debt Tracker'!$T$5:$AE$29,24,AC421-1)&gt;0.01))*('Recurring Items'!$H$31&lt;&gt;"Skip")*(DAY(AB421)='Recurring Items'!$F$31)*IFERROR(N('Recurring Items'!$D$31),0)+(IF(AC421=1,'Debt Tracker'!$P$29&gt;0.01,INDEX('Debt Tracker'!$T$5:$AE$29,25,AC421-1)&gt;0.01))*('Recurring Items'!$H$32&lt;&gt;"Skip")*(DAY(AB421)='Recurring Items'!$F$32)*IFERROR(N('Recurring Items'!$D$32),0)</f>
        <v>0</v>
      </c>
      <c r="AG421" s="1" t="n">
        <f aca="false">AD421-AE421-AF421</f>
        <v>-53.85</v>
      </c>
      <c r="AH421" s="1" t="n">
        <f aca="false">AH420+AG421</f>
        <v>13666.55</v>
      </c>
    </row>
    <row r="422" customFormat="false" ht="15" hidden="false" customHeight="true" outlineLevel="0" collapsed="false">
      <c r="AA422" s="1" t="n">
        <v>222</v>
      </c>
      <c r="AB422" s="145" t="n">
        <f aca="false">$D$3+222</f>
        <v>46365</v>
      </c>
      <c r="AC422" s="1" t="n">
        <f aca="false">MIN(12,1+DATEDIF($D$3,AB422,"M"))</f>
        <v>8</v>
      </c>
      <c r="AD422" s="1" t="n">
        <f aca="false">SUMPRODUCT(('Recurring Items'!$C$6:$C$56="Income")*('Recurring Items'!$H$6:$H$56&lt;&gt;"Skip")*IFERROR(N('Recurring Items'!$D$6:$D$56),0)*(('Recurring Items'!$E$6:$E$56="Monthly")*(DAY(AB422)='Recurring Items'!$F$6:$F$56)+('Recurring Items'!$E$6:$E$56="Bi-weekly")*(WEEKDAY(AB422)=IFERROR(WEEKDAY('Recurring Items'!$G$6:$G$56),0))*(MOD(AB422-IFERROR('Recurring Items'!$G$6:$G$56,0),14)=0)*(AB422&gt;=IFERROR('Recurring Items'!$G$6:$G$56,9000000000))+('Recurring Items'!$E$6:$E$56="Weekly")*(WEEKDAY(AB422)=IFERROR(WEEKDAY('Recurring Items'!$G$6:$G$56),0))*(AB422&gt;=IFERROR('Recurring Items'!$G$6:$G$56,9000000000))+('Recurring Items'!$E$6:$E$56="One-time")*(AB422='Recurring Items'!$G$6:$G$56)))</f>
        <v>0</v>
      </c>
      <c r="AE422" s="1" t="n">
        <f aca="false">SUMPRODUCT(('Recurring Items'!$C$6:$C$56="Expense")*('Recurring Items'!$H$6:$H$56&lt;&gt;"Skip")*IFERROR(N('Recurring Items'!$D$6:$D$56),0)*(('Recurring Items'!$E$6:$E$56="Monthly")*(DAY(AB422)='Recurring Items'!$F$6:$F$56)+('Recurring Items'!$E$6:$E$56="Bi-weekly")*(WEEKDAY(AB422)=IFERROR(WEEKDAY('Recurring Items'!$G$6:$G$56),0))*(MOD(AB422-IFERROR('Recurring Items'!$G$6:$G$56,0),14)=0)*(AB422&gt;=IFERROR('Recurring Items'!$G$6:$G$56,9000000000))+('Recurring Items'!$E$6:$E$56="Weekly")*(WEEKDAY(AB422)=IFERROR(WEEKDAY('Recurring Items'!$G$6:$G$56),0))*(AB422&gt;=IFERROR('Recurring Items'!$G$6:$G$56,9000000000))+('Recurring Items'!$E$6:$E$56="One-time")*(AB422='Recurring Items'!$G$6:$G$56)))</f>
        <v>0</v>
      </c>
      <c r="AF422" s="1" t="n">
        <f aca="false">(IF(AC422=1,'Debt Tracker'!$P$5&gt;0.01,INDEX('Debt Tracker'!$T$5:$AE$29,1,AC422-1)&gt;0.01))*('Recurring Items'!$H$8&lt;&gt;"Skip")*(DAY(AB422)='Recurring Items'!$F$8)*IFERROR(N('Recurring Items'!$D$8),0)+(IF(AC422=1,'Debt Tracker'!$P$6&gt;0.01,INDEX('Debt Tracker'!$T$5:$AE$29,2,AC422-1)&gt;0.01))*('Recurring Items'!$H$9&lt;&gt;"Skip")*(DAY(AB422)='Recurring Items'!$F$9)*IFERROR(N('Recurring Items'!$D$9),0)+(IF(AC422=1,'Debt Tracker'!$P$7&gt;0.01,INDEX('Debt Tracker'!$T$5:$AE$29,3,AC422-1)&gt;0.01))*('Recurring Items'!$H$10&lt;&gt;"Skip")*(DAY(AB422)='Recurring Items'!$F$10)*IFERROR(N('Recurring Items'!$D$10),0)+(IF(AC422=1,'Debt Tracker'!$P$8&gt;0.01,INDEX('Debt Tracker'!$T$5:$AE$29,4,AC422-1)&gt;0.01))*('Recurring Items'!$H$11&lt;&gt;"Skip")*(DAY(AB422)='Recurring Items'!$F$11)*IFERROR(N('Recurring Items'!$D$11),0)+(IF(AC422=1,'Debt Tracker'!$P$9&gt;0.01,INDEX('Debt Tracker'!$T$5:$AE$29,5,AC422-1)&gt;0.01))*('Recurring Items'!$H$12&lt;&gt;"Skip")*(DAY(AB422)='Recurring Items'!$F$12)*IFERROR(N('Recurring Items'!$D$12),0)+(IF(AC422=1,'Debt Tracker'!$P$10&gt;0.01,INDEX('Debt Tracker'!$T$5:$AE$29,6,AC422-1)&gt;0.01))*('Recurring Items'!$H$13&lt;&gt;"Skip")*(DAY(AB422)='Recurring Items'!$F$13)*IFERROR(N('Recurring Items'!$D$13),0)+(IF(AC422=1,'Debt Tracker'!$P$11&gt;0.01,INDEX('Debt Tracker'!$T$5:$AE$29,7,AC422-1)&gt;0.01))*('Recurring Items'!$H$14&lt;&gt;"Skip")*(DAY(AB422)='Recurring Items'!$F$14)*IFERROR(N('Recurring Items'!$D$14),0)+(IF(AC422=1,'Debt Tracker'!$P$12&gt;0.01,INDEX('Debt Tracker'!$T$5:$AE$29,8,AC422-1)&gt;0.01))*('Recurring Items'!$H$15&lt;&gt;"Skip")*(DAY(AB422)='Recurring Items'!$F$15)*IFERROR(N('Recurring Items'!$D$15),0)+(IF(AC422=1,'Debt Tracker'!$P$13&gt;0.01,INDEX('Debt Tracker'!$T$5:$AE$29,9,AC422-1)&gt;0.01))*('Recurring Items'!$H$16&lt;&gt;"Skip")*(DAY(AB422)='Recurring Items'!$F$16)*IFERROR(N('Recurring Items'!$D$16),0)+(IF(AC422=1,'Debt Tracker'!$P$14&gt;0.01,INDEX('Debt Tracker'!$T$5:$AE$29,10,AC422-1)&gt;0.01))*('Recurring Items'!$H$17&lt;&gt;"Skip")*(DAY(AB422)='Recurring Items'!$F$17)*IFERROR(N('Recurring Items'!$D$17),0)+(IF(AC422=1,'Debt Tracker'!$P$15&gt;0.01,INDEX('Debt Tracker'!$T$5:$AE$29,11,AC422-1)&gt;0.01))*('Recurring Items'!$H$18&lt;&gt;"Skip")*(DAY(AB422)='Recurring Items'!$F$18)*IFERROR(N('Recurring Items'!$D$18),0)+(IF(AC422=1,'Debt Tracker'!$P$16&gt;0.01,INDEX('Debt Tracker'!$T$5:$AE$29,12,AC422-1)&gt;0.01))*('Recurring Items'!$H$19&lt;&gt;"Skip")*(DAY(AB422)='Recurring Items'!$F$19)*IFERROR(N('Recurring Items'!$D$19),0)+(IF(AC422=1,'Debt Tracker'!$P$17&gt;0.01,INDEX('Debt Tracker'!$T$5:$AE$29,13,AC422-1)&gt;0.01))*('Recurring Items'!$H$20&lt;&gt;"Skip")*(DAY(AB422)='Recurring Items'!$F$20)*IFERROR(N('Recurring Items'!$D$20),0)+(IF(AC422=1,'Debt Tracker'!$P$18&gt;0.01,INDEX('Debt Tracker'!$T$5:$AE$29,14,AC422-1)&gt;0.01))*('Recurring Items'!$H$21&lt;&gt;"Skip")*(DAY(AB422)='Recurring Items'!$F$21)*IFERROR(N('Recurring Items'!$D$21),0)+(IF(AC422=1,'Debt Tracker'!$P$19&gt;0.01,INDEX('Debt Tracker'!$T$5:$AE$29,15,AC422-1)&gt;0.01))*('Recurring Items'!$H$22&lt;&gt;"Skip")*(DAY(AB422)='Recurring Items'!$F$22)*IFERROR(N('Recurring Items'!$D$22),0)+(IF(AC422=1,'Debt Tracker'!$P$20&gt;0.01,INDEX('Debt Tracker'!$T$5:$AE$29,16,AC422-1)&gt;0.01))*('Recurring Items'!$H$23&lt;&gt;"Skip")*(DAY(AB422)='Recurring Items'!$F$23)*IFERROR(N('Recurring Items'!$D$23),0)+(IF(AC422=1,'Debt Tracker'!$P$21&gt;0.01,INDEX('Debt Tracker'!$T$5:$AE$29,17,AC422-1)&gt;0.01))*('Recurring Items'!$H$24&lt;&gt;"Skip")*(DAY(AB422)='Recurring Items'!$F$24)*IFERROR(N('Recurring Items'!$D$24),0)+(IF(AC422=1,'Debt Tracker'!$P$22&gt;0.01,INDEX('Debt Tracker'!$T$5:$AE$29,18,AC422-1)&gt;0.01))*('Recurring Items'!$H$25&lt;&gt;"Skip")*(DAY(AB422)='Recurring Items'!$F$25)*IFERROR(N('Recurring Items'!$D$25),0)+(IF(AC422=1,'Debt Tracker'!$P$23&gt;0.01,INDEX('Debt Tracker'!$T$5:$AE$29,19,AC422-1)&gt;0.01))*('Recurring Items'!$H$26&lt;&gt;"Skip")*(DAY(AB422)='Recurring Items'!$F$26)*IFERROR(N('Recurring Items'!$D$26),0)+(IF(AC422=1,'Debt Tracker'!$P$24&gt;0.01,INDEX('Debt Tracker'!$T$5:$AE$29,20,AC422-1)&gt;0.01))*('Recurring Items'!$H$27&lt;&gt;"Skip")*(DAY(AB422)='Recurring Items'!$F$27)*IFERROR(N('Recurring Items'!$D$27),0)+(IF(AC422=1,'Debt Tracker'!$P$25&gt;0.01,INDEX('Debt Tracker'!$T$5:$AE$29,21,AC422-1)&gt;0.01))*('Recurring Items'!$H$28&lt;&gt;"Skip")*(DAY(AB422)='Recurring Items'!$F$28)*IFERROR(N('Recurring Items'!$D$28),0)+(IF(AC422=1,'Debt Tracker'!$P$26&gt;0.01,INDEX('Debt Tracker'!$T$5:$AE$29,22,AC422-1)&gt;0.01))*('Recurring Items'!$H$29&lt;&gt;"Skip")*(DAY(AB422)='Recurring Items'!$F$29)*IFERROR(N('Recurring Items'!$D$29),0)+(IF(AC422=1,'Debt Tracker'!$P$27&gt;0.01,INDEX('Debt Tracker'!$T$5:$AE$29,23,AC422-1)&gt;0.01))*('Recurring Items'!$H$30&lt;&gt;"Skip")*(DAY(AB422)='Recurring Items'!$F$30)*IFERROR(N('Recurring Items'!$D$30),0)+(IF(AC422=1,'Debt Tracker'!$P$28&gt;0.01,INDEX('Debt Tracker'!$T$5:$AE$29,24,AC422-1)&gt;0.01))*('Recurring Items'!$H$31&lt;&gt;"Skip")*(DAY(AB422)='Recurring Items'!$F$31)*IFERROR(N('Recurring Items'!$D$31),0)+(IF(AC422=1,'Debt Tracker'!$P$29&gt;0.01,INDEX('Debt Tracker'!$T$5:$AE$29,25,AC422-1)&gt;0.01))*('Recurring Items'!$H$32&lt;&gt;"Skip")*(DAY(AB422)='Recurring Items'!$F$32)*IFERROR(N('Recurring Items'!$D$32),0)</f>
        <v>0</v>
      </c>
      <c r="AG422" s="1" t="n">
        <f aca="false">AD422-AE422-AF422</f>
        <v>0</v>
      </c>
      <c r="AH422" s="1" t="n">
        <f aca="false">AH421+AG422</f>
        <v>13666.55</v>
      </c>
    </row>
    <row r="423" customFormat="false" ht="15" hidden="false" customHeight="true" outlineLevel="0" collapsed="false">
      <c r="AA423" s="1" t="n">
        <v>223</v>
      </c>
      <c r="AB423" s="145" t="n">
        <f aca="false">$D$3+223</f>
        <v>46366</v>
      </c>
      <c r="AC423" s="1" t="n">
        <f aca="false">MIN(12,1+DATEDIF($D$3,AB423,"M"))</f>
        <v>8</v>
      </c>
      <c r="AD423" s="1" t="n">
        <f aca="false">SUMPRODUCT(('Recurring Items'!$C$6:$C$56="Income")*('Recurring Items'!$H$6:$H$56&lt;&gt;"Skip")*IFERROR(N('Recurring Items'!$D$6:$D$56),0)*(('Recurring Items'!$E$6:$E$56="Monthly")*(DAY(AB423)='Recurring Items'!$F$6:$F$56)+('Recurring Items'!$E$6:$E$56="Bi-weekly")*(WEEKDAY(AB423)=IFERROR(WEEKDAY('Recurring Items'!$G$6:$G$56),0))*(MOD(AB423-IFERROR('Recurring Items'!$G$6:$G$56,0),14)=0)*(AB423&gt;=IFERROR('Recurring Items'!$G$6:$G$56,9000000000))+('Recurring Items'!$E$6:$E$56="Weekly")*(WEEKDAY(AB423)=IFERROR(WEEKDAY('Recurring Items'!$G$6:$G$56),0))*(AB423&gt;=IFERROR('Recurring Items'!$G$6:$G$56,9000000000))+('Recurring Items'!$E$6:$E$56="One-time")*(AB423='Recurring Items'!$G$6:$G$56)))</f>
        <v>0</v>
      </c>
      <c r="AE423" s="1" t="n">
        <f aca="false">SUMPRODUCT(('Recurring Items'!$C$6:$C$56="Expense")*('Recurring Items'!$H$6:$H$56&lt;&gt;"Skip")*IFERROR(N('Recurring Items'!$D$6:$D$56),0)*(('Recurring Items'!$E$6:$E$56="Monthly")*(DAY(AB423)='Recurring Items'!$F$6:$F$56)+('Recurring Items'!$E$6:$E$56="Bi-weekly")*(WEEKDAY(AB423)=IFERROR(WEEKDAY('Recurring Items'!$G$6:$G$56),0))*(MOD(AB423-IFERROR('Recurring Items'!$G$6:$G$56,0),14)=0)*(AB423&gt;=IFERROR('Recurring Items'!$G$6:$G$56,9000000000))+('Recurring Items'!$E$6:$E$56="Weekly")*(WEEKDAY(AB423)=IFERROR(WEEKDAY('Recurring Items'!$G$6:$G$56),0))*(AB423&gt;=IFERROR('Recurring Items'!$G$6:$G$56,9000000000))+('Recurring Items'!$E$6:$E$56="One-time")*(AB423='Recurring Items'!$G$6:$G$56)))</f>
        <v>340.22</v>
      </c>
      <c r="AF423" s="1" t="n">
        <f aca="false">(IF(AC423=1,'Debt Tracker'!$P$5&gt;0.01,INDEX('Debt Tracker'!$T$5:$AE$29,1,AC423-1)&gt;0.01))*('Recurring Items'!$H$8&lt;&gt;"Skip")*(DAY(AB423)='Recurring Items'!$F$8)*IFERROR(N('Recurring Items'!$D$8),0)+(IF(AC423=1,'Debt Tracker'!$P$6&gt;0.01,INDEX('Debt Tracker'!$T$5:$AE$29,2,AC423-1)&gt;0.01))*('Recurring Items'!$H$9&lt;&gt;"Skip")*(DAY(AB423)='Recurring Items'!$F$9)*IFERROR(N('Recurring Items'!$D$9),0)+(IF(AC423=1,'Debt Tracker'!$P$7&gt;0.01,INDEX('Debt Tracker'!$T$5:$AE$29,3,AC423-1)&gt;0.01))*('Recurring Items'!$H$10&lt;&gt;"Skip")*(DAY(AB423)='Recurring Items'!$F$10)*IFERROR(N('Recurring Items'!$D$10),0)+(IF(AC423=1,'Debt Tracker'!$P$8&gt;0.01,INDEX('Debt Tracker'!$T$5:$AE$29,4,AC423-1)&gt;0.01))*('Recurring Items'!$H$11&lt;&gt;"Skip")*(DAY(AB423)='Recurring Items'!$F$11)*IFERROR(N('Recurring Items'!$D$11),0)+(IF(AC423=1,'Debt Tracker'!$P$9&gt;0.01,INDEX('Debt Tracker'!$T$5:$AE$29,5,AC423-1)&gt;0.01))*('Recurring Items'!$H$12&lt;&gt;"Skip")*(DAY(AB423)='Recurring Items'!$F$12)*IFERROR(N('Recurring Items'!$D$12),0)+(IF(AC423=1,'Debt Tracker'!$P$10&gt;0.01,INDEX('Debt Tracker'!$T$5:$AE$29,6,AC423-1)&gt;0.01))*('Recurring Items'!$H$13&lt;&gt;"Skip")*(DAY(AB423)='Recurring Items'!$F$13)*IFERROR(N('Recurring Items'!$D$13),0)+(IF(AC423=1,'Debt Tracker'!$P$11&gt;0.01,INDEX('Debt Tracker'!$T$5:$AE$29,7,AC423-1)&gt;0.01))*('Recurring Items'!$H$14&lt;&gt;"Skip")*(DAY(AB423)='Recurring Items'!$F$14)*IFERROR(N('Recurring Items'!$D$14),0)+(IF(AC423=1,'Debt Tracker'!$P$12&gt;0.01,INDEX('Debt Tracker'!$T$5:$AE$29,8,AC423-1)&gt;0.01))*('Recurring Items'!$H$15&lt;&gt;"Skip")*(DAY(AB423)='Recurring Items'!$F$15)*IFERROR(N('Recurring Items'!$D$15),0)+(IF(AC423=1,'Debt Tracker'!$P$13&gt;0.01,INDEX('Debt Tracker'!$T$5:$AE$29,9,AC423-1)&gt;0.01))*('Recurring Items'!$H$16&lt;&gt;"Skip")*(DAY(AB423)='Recurring Items'!$F$16)*IFERROR(N('Recurring Items'!$D$16),0)+(IF(AC423=1,'Debt Tracker'!$P$14&gt;0.01,INDEX('Debt Tracker'!$T$5:$AE$29,10,AC423-1)&gt;0.01))*('Recurring Items'!$H$17&lt;&gt;"Skip")*(DAY(AB423)='Recurring Items'!$F$17)*IFERROR(N('Recurring Items'!$D$17),0)+(IF(AC423=1,'Debt Tracker'!$P$15&gt;0.01,INDEX('Debt Tracker'!$T$5:$AE$29,11,AC423-1)&gt;0.01))*('Recurring Items'!$H$18&lt;&gt;"Skip")*(DAY(AB423)='Recurring Items'!$F$18)*IFERROR(N('Recurring Items'!$D$18),0)+(IF(AC423=1,'Debt Tracker'!$P$16&gt;0.01,INDEX('Debt Tracker'!$T$5:$AE$29,12,AC423-1)&gt;0.01))*('Recurring Items'!$H$19&lt;&gt;"Skip")*(DAY(AB423)='Recurring Items'!$F$19)*IFERROR(N('Recurring Items'!$D$19),0)+(IF(AC423=1,'Debt Tracker'!$P$17&gt;0.01,INDEX('Debt Tracker'!$T$5:$AE$29,13,AC423-1)&gt;0.01))*('Recurring Items'!$H$20&lt;&gt;"Skip")*(DAY(AB423)='Recurring Items'!$F$20)*IFERROR(N('Recurring Items'!$D$20),0)+(IF(AC423=1,'Debt Tracker'!$P$18&gt;0.01,INDEX('Debt Tracker'!$T$5:$AE$29,14,AC423-1)&gt;0.01))*('Recurring Items'!$H$21&lt;&gt;"Skip")*(DAY(AB423)='Recurring Items'!$F$21)*IFERROR(N('Recurring Items'!$D$21),0)+(IF(AC423=1,'Debt Tracker'!$P$19&gt;0.01,INDEX('Debt Tracker'!$T$5:$AE$29,15,AC423-1)&gt;0.01))*('Recurring Items'!$H$22&lt;&gt;"Skip")*(DAY(AB423)='Recurring Items'!$F$22)*IFERROR(N('Recurring Items'!$D$22),0)+(IF(AC423=1,'Debt Tracker'!$P$20&gt;0.01,INDEX('Debt Tracker'!$T$5:$AE$29,16,AC423-1)&gt;0.01))*('Recurring Items'!$H$23&lt;&gt;"Skip")*(DAY(AB423)='Recurring Items'!$F$23)*IFERROR(N('Recurring Items'!$D$23),0)+(IF(AC423=1,'Debt Tracker'!$P$21&gt;0.01,INDEX('Debt Tracker'!$T$5:$AE$29,17,AC423-1)&gt;0.01))*('Recurring Items'!$H$24&lt;&gt;"Skip")*(DAY(AB423)='Recurring Items'!$F$24)*IFERROR(N('Recurring Items'!$D$24),0)+(IF(AC423=1,'Debt Tracker'!$P$22&gt;0.01,INDEX('Debt Tracker'!$T$5:$AE$29,18,AC423-1)&gt;0.01))*('Recurring Items'!$H$25&lt;&gt;"Skip")*(DAY(AB423)='Recurring Items'!$F$25)*IFERROR(N('Recurring Items'!$D$25),0)+(IF(AC423=1,'Debt Tracker'!$P$23&gt;0.01,INDEX('Debt Tracker'!$T$5:$AE$29,19,AC423-1)&gt;0.01))*('Recurring Items'!$H$26&lt;&gt;"Skip")*(DAY(AB423)='Recurring Items'!$F$26)*IFERROR(N('Recurring Items'!$D$26),0)+(IF(AC423=1,'Debt Tracker'!$P$24&gt;0.01,INDEX('Debt Tracker'!$T$5:$AE$29,20,AC423-1)&gt;0.01))*('Recurring Items'!$H$27&lt;&gt;"Skip")*(DAY(AB423)='Recurring Items'!$F$27)*IFERROR(N('Recurring Items'!$D$27),0)+(IF(AC423=1,'Debt Tracker'!$P$25&gt;0.01,INDEX('Debt Tracker'!$T$5:$AE$29,21,AC423-1)&gt;0.01))*('Recurring Items'!$H$28&lt;&gt;"Skip")*(DAY(AB423)='Recurring Items'!$F$28)*IFERROR(N('Recurring Items'!$D$28),0)+(IF(AC423=1,'Debt Tracker'!$P$26&gt;0.01,INDEX('Debt Tracker'!$T$5:$AE$29,22,AC423-1)&gt;0.01))*('Recurring Items'!$H$29&lt;&gt;"Skip")*(DAY(AB423)='Recurring Items'!$F$29)*IFERROR(N('Recurring Items'!$D$29),0)+(IF(AC423=1,'Debt Tracker'!$P$27&gt;0.01,INDEX('Debt Tracker'!$T$5:$AE$29,23,AC423-1)&gt;0.01))*('Recurring Items'!$H$30&lt;&gt;"Skip")*(DAY(AB423)='Recurring Items'!$F$30)*IFERROR(N('Recurring Items'!$D$30),0)+(IF(AC423=1,'Debt Tracker'!$P$28&gt;0.01,INDEX('Debt Tracker'!$T$5:$AE$29,24,AC423-1)&gt;0.01))*('Recurring Items'!$H$31&lt;&gt;"Skip")*(DAY(AB423)='Recurring Items'!$F$31)*IFERROR(N('Recurring Items'!$D$31),0)+(IF(AC423=1,'Debt Tracker'!$P$29&gt;0.01,INDEX('Debt Tracker'!$T$5:$AE$29,25,AC423-1)&gt;0.01))*('Recurring Items'!$H$32&lt;&gt;"Skip")*(DAY(AB423)='Recurring Items'!$F$32)*IFERROR(N('Recurring Items'!$D$32),0)</f>
        <v>0</v>
      </c>
      <c r="AG423" s="1" t="n">
        <f aca="false">AD423-AE423-AF423</f>
        <v>-340.22</v>
      </c>
      <c r="AH423" s="1" t="n">
        <f aca="false">AH422+AG423</f>
        <v>13326.33</v>
      </c>
    </row>
    <row r="424" customFormat="false" ht="15" hidden="false" customHeight="true" outlineLevel="0" collapsed="false">
      <c r="AA424" s="1" t="n">
        <v>224</v>
      </c>
      <c r="AB424" s="145" t="n">
        <f aca="false">$D$3+224</f>
        <v>46367</v>
      </c>
      <c r="AC424" s="1" t="n">
        <f aca="false">MIN(12,1+DATEDIF($D$3,AB424,"M"))</f>
        <v>8</v>
      </c>
      <c r="AD424" s="1" t="n">
        <f aca="false">SUMPRODUCT(('Recurring Items'!$C$6:$C$56="Income")*('Recurring Items'!$H$6:$H$56&lt;&gt;"Skip")*IFERROR(N('Recurring Items'!$D$6:$D$56),0)*(('Recurring Items'!$E$6:$E$56="Monthly")*(DAY(AB424)='Recurring Items'!$F$6:$F$56)+('Recurring Items'!$E$6:$E$56="Bi-weekly")*(WEEKDAY(AB424)=IFERROR(WEEKDAY('Recurring Items'!$G$6:$G$56),0))*(MOD(AB424-IFERROR('Recurring Items'!$G$6:$G$56,0),14)=0)*(AB424&gt;=IFERROR('Recurring Items'!$G$6:$G$56,9000000000))+('Recurring Items'!$E$6:$E$56="Weekly")*(WEEKDAY(AB424)=IFERROR(WEEKDAY('Recurring Items'!$G$6:$G$56),0))*(AB424&gt;=IFERROR('Recurring Items'!$G$6:$G$56,9000000000))+('Recurring Items'!$E$6:$E$56="One-time")*(AB424='Recurring Items'!$G$6:$G$56)))</f>
        <v>3819.79</v>
      </c>
      <c r="AE424" s="1" t="n">
        <f aca="false">SUMPRODUCT(('Recurring Items'!$C$6:$C$56="Expense")*('Recurring Items'!$H$6:$H$56&lt;&gt;"Skip")*IFERROR(N('Recurring Items'!$D$6:$D$56),0)*(('Recurring Items'!$E$6:$E$56="Monthly")*(DAY(AB424)='Recurring Items'!$F$6:$F$56)+('Recurring Items'!$E$6:$E$56="Bi-weekly")*(WEEKDAY(AB424)=IFERROR(WEEKDAY('Recurring Items'!$G$6:$G$56),0))*(MOD(AB424-IFERROR('Recurring Items'!$G$6:$G$56,0),14)=0)*(AB424&gt;=IFERROR('Recurring Items'!$G$6:$G$56,9000000000))+('Recurring Items'!$E$6:$E$56="Weekly")*(WEEKDAY(AB424)=IFERROR(WEEKDAY('Recurring Items'!$G$6:$G$56),0))*(AB424&gt;=IFERROR('Recurring Items'!$G$6:$G$56,9000000000))+('Recurring Items'!$E$6:$E$56="One-time")*(AB424='Recurring Items'!$G$6:$G$56)))</f>
        <v>460</v>
      </c>
      <c r="AF424" s="1" t="n">
        <f aca="false">(IF(AC424=1,'Debt Tracker'!$P$5&gt;0.01,INDEX('Debt Tracker'!$T$5:$AE$29,1,AC424-1)&gt;0.01))*('Recurring Items'!$H$8&lt;&gt;"Skip")*(DAY(AB424)='Recurring Items'!$F$8)*IFERROR(N('Recurring Items'!$D$8),0)+(IF(AC424=1,'Debt Tracker'!$P$6&gt;0.01,INDEX('Debt Tracker'!$T$5:$AE$29,2,AC424-1)&gt;0.01))*('Recurring Items'!$H$9&lt;&gt;"Skip")*(DAY(AB424)='Recurring Items'!$F$9)*IFERROR(N('Recurring Items'!$D$9),0)+(IF(AC424=1,'Debt Tracker'!$P$7&gt;0.01,INDEX('Debt Tracker'!$T$5:$AE$29,3,AC424-1)&gt;0.01))*('Recurring Items'!$H$10&lt;&gt;"Skip")*(DAY(AB424)='Recurring Items'!$F$10)*IFERROR(N('Recurring Items'!$D$10),0)+(IF(AC424=1,'Debt Tracker'!$P$8&gt;0.01,INDEX('Debt Tracker'!$T$5:$AE$29,4,AC424-1)&gt;0.01))*('Recurring Items'!$H$11&lt;&gt;"Skip")*(DAY(AB424)='Recurring Items'!$F$11)*IFERROR(N('Recurring Items'!$D$11),0)+(IF(AC424=1,'Debt Tracker'!$P$9&gt;0.01,INDEX('Debt Tracker'!$T$5:$AE$29,5,AC424-1)&gt;0.01))*('Recurring Items'!$H$12&lt;&gt;"Skip")*(DAY(AB424)='Recurring Items'!$F$12)*IFERROR(N('Recurring Items'!$D$12),0)+(IF(AC424=1,'Debt Tracker'!$P$10&gt;0.01,INDEX('Debt Tracker'!$T$5:$AE$29,6,AC424-1)&gt;0.01))*('Recurring Items'!$H$13&lt;&gt;"Skip")*(DAY(AB424)='Recurring Items'!$F$13)*IFERROR(N('Recurring Items'!$D$13),0)+(IF(AC424=1,'Debt Tracker'!$P$11&gt;0.01,INDEX('Debt Tracker'!$T$5:$AE$29,7,AC424-1)&gt;0.01))*('Recurring Items'!$H$14&lt;&gt;"Skip")*(DAY(AB424)='Recurring Items'!$F$14)*IFERROR(N('Recurring Items'!$D$14),0)+(IF(AC424=1,'Debt Tracker'!$P$12&gt;0.01,INDEX('Debt Tracker'!$T$5:$AE$29,8,AC424-1)&gt;0.01))*('Recurring Items'!$H$15&lt;&gt;"Skip")*(DAY(AB424)='Recurring Items'!$F$15)*IFERROR(N('Recurring Items'!$D$15),0)+(IF(AC424=1,'Debt Tracker'!$P$13&gt;0.01,INDEX('Debt Tracker'!$T$5:$AE$29,9,AC424-1)&gt;0.01))*('Recurring Items'!$H$16&lt;&gt;"Skip")*(DAY(AB424)='Recurring Items'!$F$16)*IFERROR(N('Recurring Items'!$D$16),0)+(IF(AC424=1,'Debt Tracker'!$P$14&gt;0.01,INDEX('Debt Tracker'!$T$5:$AE$29,10,AC424-1)&gt;0.01))*('Recurring Items'!$H$17&lt;&gt;"Skip")*(DAY(AB424)='Recurring Items'!$F$17)*IFERROR(N('Recurring Items'!$D$17),0)+(IF(AC424=1,'Debt Tracker'!$P$15&gt;0.01,INDEX('Debt Tracker'!$T$5:$AE$29,11,AC424-1)&gt;0.01))*('Recurring Items'!$H$18&lt;&gt;"Skip")*(DAY(AB424)='Recurring Items'!$F$18)*IFERROR(N('Recurring Items'!$D$18),0)+(IF(AC424=1,'Debt Tracker'!$P$16&gt;0.01,INDEX('Debt Tracker'!$T$5:$AE$29,12,AC424-1)&gt;0.01))*('Recurring Items'!$H$19&lt;&gt;"Skip")*(DAY(AB424)='Recurring Items'!$F$19)*IFERROR(N('Recurring Items'!$D$19),0)+(IF(AC424=1,'Debt Tracker'!$P$17&gt;0.01,INDEX('Debt Tracker'!$T$5:$AE$29,13,AC424-1)&gt;0.01))*('Recurring Items'!$H$20&lt;&gt;"Skip")*(DAY(AB424)='Recurring Items'!$F$20)*IFERROR(N('Recurring Items'!$D$20),0)+(IF(AC424=1,'Debt Tracker'!$P$18&gt;0.01,INDEX('Debt Tracker'!$T$5:$AE$29,14,AC424-1)&gt;0.01))*('Recurring Items'!$H$21&lt;&gt;"Skip")*(DAY(AB424)='Recurring Items'!$F$21)*IFERROR(N('Recurring Items'!$D$21),0)+(IF(AC424=1,'Debt Tracker'!$P$19&gt;0.01,INDEX('Debt Tracker'!$T$5:$AE$29,15,AC424-1)&gt;0.01))*('Recurring Items'!$H$22&lt;&gt;"Skip")*(DAY(AB424)='Recurring Items'!$F$22)*IFERROR(N('Recurring Items'!$D$22),0)+(IF(AC424=1,'Debt Tracker'!$P$20&gt;0.01,INDEX('Debt Tracker'!$T$5:$AE$29,16,AC424-1)&gt;0.01))*('Recurring Items'!$H$23&lt;&gt;"Skip")*(DAY(AB424)='Recurring Items'!$F$23)*IFERROR(N('Recurring Items'!$D$23),0)+(IF(AC424=1,'Debt Tracker'!$P$21&gt;0.01,INDEX('Debt Tracker'!$T$5:$AE$29,17,AC424-1)&gt;0.01))*('Recurring Items'!$H$24&lt;&gt;"Skip")*(DAY(AB424)='Recurring Items'!$F$24)*IFERROR(N('Recurring Items'!$D$24),0)+(IF(AC424=1,'Debt Tracker'!$P$22&gt;0.01,INDEX('Debt Tracker'!$T$5:$AE$29,18,AC424-1)&gt;0.01))*('Recurring Items'!$H$25&lt;&gt;"Skip")*(DAY(AB424)='Recurring Items'!$F$25)*IFERROR(N('Recurring Items'!$D$25),0)+(IF(AC424=1,'Debt Tracker'!$P$23&gt;0.01,INDEX('Debt Tracker'!$T$5:$AE$29,19,AC424-1)&gt;0.01))*('Recurring Items'!$H$26&lt;&gt;"Skip")*(DAY(AB424)='Recurring Items'!$F$26)*IFERROR(N('Recurring Items'!$D$26),0)+(IF(AC424=1,'Debt Tracker'!$P$24&gt;0.01,INDEX('Debt Tracker'!$T$5:$AE$29,20,AC424-1)&gt;0.01))*('Recurring Items'!$H$27&lt;&gt;"Skip")*(DAY(AB424)='Recurring Items'!$F$27)*IFERROR(N('Recurring Items'!$D$27),0)+(IF(AC424=1,'Debt Tracker'!$P$25&gt;0.01,INDEX('Debt Tracker'!$T$5:$AE$29,21,AC424-1)&gt;0.01))*('Recurring Items'!$H$28&lt;&gt;"Skip")*(DAY(AB424)='Recurring Items'!$F$28)*IFERROR(N('Recurring Items'!$D$28),0)+(IF(AC424=1,'Debt Tracker'!$P$26&gt;0.01,INDEX('Debt Tracker'!$T$5:$AE$29,22,AC424-1)&gt;0.01))*('Recurring Items'!$H$29&lt;&gt;"Skip")*(DAY(AB424)='Recurring Items'!$F$29)*IFERROR(N('Recurring Items'!$D$29),0)+(IF(AC424=1,'Debt Tracker'!$P$27&gt;0.01,INDEX('Debt Tracker'!$T$5:$AE$29,23,AC424-1)&gt;0.01))*('Recurring Items'!$H$30&lt;&gt;"Skip")*(DAY(AB424)='Recurring Items'!$F$30)*IFERROR(N('Recurring Items'!$D$30),0)+(IF(AC424=1,'Debt Tracker'!$P$28&gt;0.01,INDEX('Debt Tracker'!$T$5:$AE$29,24,AC424-1)&gt;0.01))*('Recurring Items'!$H$31&lt;&gt;"Skip")*(DAY(AB424)='Recurring Items'!$F$31)*IFERROR(N('Recurring Items'!$D$31),0)+(IF(AC424=1,'Debt Tracker'!$P$29&gt;0.01,INDEX('Debt Tracker'!$T$5:$AE$29,25,AC424-1)&gt;0.01))*('Recurring Items'!$H$32&lt;&gt;"Skip")*(DAY(AB424)='Recurring Items'!$F$32)*IFERROR(N('Recurring Items'!$D$32),0)</f>
        <v>0</v>
      </c>
      <c r="AG424" s="1" t="n">
        <f aca="false">AD424-AE424-AF424</f>
        <v>3359.79</v>
      </c>
      <c r="AH424" s="1" t="n">
        <f aca="false">AH423+AG424</f>
        <v>16686.12</v>
      </c>
    </row>
    <row r="425" customFormat="false" ht="15" hidden="false" customHeight="true" outlineLevel="0" collapsed="false">
      <c r="AA425" s="1" t="n">
        <v>225</v>
      </c>
      <c r="AB425" s="145" t="n">
        <f aca="false">$D$3+225</f>
        <v>46368</v>
      </c>
      <c r="AC425" s="1" t="n">
        <f aca="false">MIN(12,1+DATEDIF($D$3,AB425,"M"))</f>
        <v>8</v>
      </c>
      <c r="AD425" s="1" t="n">
        <f aca="false">SUMPRODUCT(('Recurring Items'!$C$6:$C$56="Income")*('Recurring Items'!$H$6:$H$56&lt;&gt;"Skip")*IFERROR(N('Recurring Items'!$D$6:$D$56),0)*(('Recurring Items'!$E$6:$E$56="Monthly")*(DAY(AB425)='Recurring Items'!$F$6:$F$56)+('Recurring Items'!$E$6:$E$56="Bi-weekly")*(WEEKDAY(AB425)=IFERROR(WEEKDAY('Recurring Items'!$G$6:$G$56),0))*(MOD(AB425-IFERROR('Recurring Items'!$G$6:$G$56,0),14)=0)*(AB425&gt;=IFERROR('Recurring Items'!$G$6:$G$56,9000000000))+('Recurring Items'!$E$6:$E$56="Weekly")*(WEEKDAY(AB425)=IFERROR(WEEKDAY('Recurring Items'!$G$6:$G$56),0))*(AB425&gt;=IFERROR('Recurring Items'!$G$6:$G$56,9000000000))+('Recurring Items'!$E$6:$E$56="One-time")*(AB425='Recurring Items'!$G$6:$G$56)))</f>
        <v>0</v>
      </c>
      <c r="AE425" s="1" t="n">
        <f aca="false">SUMPRODUCT(('Recurring Items'!$C$6:$C$56="Expense")*('Recurring Items'!$H$6:$H$56&lt;&gt;"Skip")*IFERROR(N('Recurring Items'!$D$6:$D$56),0)*(('Recurring Items'!$E$6:$E$56="Monthly")*(DAY(AB425)='Recurring Items'!$F$6:$F$56)+('Recurring Items'!$E$6:$E$56="Bi-weekly")*(WEEKDAY(AB425)=IFERROR(WEEKDAY('Recurring Items'!$G$6:$G$56),0))*(MOD(AB425-IFERROR('Recurring Items'!$G$6:$G$56,0),14)=0)*(AB425&gt;=IFERROR('Recurring Items'!$G$6:$G$56,9000000000))+('Recurring Items'!$E$6:$E$56="Weekly")*(WEEKDAY(AB425)=IFERROR(WEEKDAY('Recurring Items'!$G$6:$G$56),0))*(AB425&gt;=IFERROR('Recurring Items'!$G$6:$G$56,9000000000))+('Recurring Items'!$E$6:$E$56="One-time")*(AB425='Recurring Items'!$G$6:$G$56)))</f>
        <v>167.68</v>
      </c>
      <c r="AF425" s="1" t="n">
        <f aca="false">(IF(AC425=1,'Debt Tracker'!$P$5&gt;0.01,INDEX('Debt Tracker'!$T$5:$AE$29,1,AC425-1)&gt;0.01))*('Recurring Items'!$H$8&lt;&gt;"Skip")*(DAY(AB425)='Recurring Items'!$F$8)*IFERROR(N('Recurring Items'!$D$8),0)+(IF(AC425=1,'Debt Tracker'!$P$6&gt;0.01,INDEX('Debt Tracker'!$T$5:$AE$29,2,AC425-1)&gt;0.01))*('Recurring Items'!$H$9&lt;&gt;"Skip")*(DAY(AB425)='Recurring Items'!$F$9)*IFERROR(N('Recurring Items'!$D$9),0)+(IF(AC425=1,'Debt Tracker'!$P$7&gt;0.01,INDEX('Debt Tracker'!$T$5:$AE$29,3,AC425-1)&gt;0.01))*('Recurring Items'!$H$10&lt;&gt;"Skip")*(DAY(AB425)='Recurring Items'!$F$10)*IFERROR(N('Recurring Items'!$D$10),0)+(IF(AC425=1,'Debt Tracker'!$P$8&gt;0.01,INDEX('Debt Tracker'!$T$5:$AE$29,4,AC425-1)&gt;0.01))*('Recurring Items'!$H$11&lt;&gt;"Skip")*(DAY(AB425)='Recurring Items'!$F$11)*IFERROR(N('Recurring Items'!$D$11),0)+(IF(AC425=1,'Debt Tracker'!$P$9&gt;0.01,INDEX('Debt Tracker'!$T$5:$AE$29,5,AC425-1)&gt;0.01))*('Recurring Items'!$H$12&lt;&gt;"Skip")*(DAY(AB425)='Recurring Items'!$F$12)*IFERROR(N('Recurring Items'!$D$12),0)+(IF(AC425=1,'Debt Tracker'!$P$10&gt;0.01,INDEX('Debt Tracker'!$T$5:$AE$29,6,AC425-1)&gt;0.01))*('Recurring Items'!$H$13&lt;&gt;"Skip")*(DAY(AB425)='Recurring Items'!$F$13)*IFERROR(N('Recurring Items'!$D$13),0)+(IF(AC425=1,'Debt Tracker'!$P$11&gt;0.01,INDEX('Debt Tracker'!$T$5:$AE$29,7,AC425-1)&gt;0.01))*('Recurring Items'!$H$14&lt;&gt;"Skip")*(DAY(AB425)='Recurring Items'!$F$14)*IFERROR(N('Recurring Items'!$D$14),0)+(IF(AC425=1,'Debt Tracker'!$P$12&gt;0.01,INDEX('Debt Tracker'!$T$5:$AE$29,8,AC425-1)&gt;0.01))*('Recurring Items'!$H$15&lt;&gt;"Skip")*(DAY(AB425)='Recurring Items'!$F$15)*IFERROR(N('Recurring Items'!$D$15),0)+(IF(AC425=1,'Debt Tracker'!$P$13&gt;0.01,INDEX('Debt Tracker'!$T$5:$AE$29,9,AC425-1)&gt;0.01))*('Recurring Items'!$H$16&lt;&gt;"Skip")*(DAY(AB425)='Recurring Items'!$F$16)*IFERROR(N('Recurring Items'!$D$16),0)+(IF(AC425=1,'Debt Tracker'!$P$14&gt;0.01,INDEX('Debt Tracker'!$T$5:$AE$29,10,AC425-1)&gt;0.01))*('Recurring Items'!$H$17&lt;&gt;"Skip")*(DAY(AB425)='Recurring Items'!$F$17)*IFERROR(N('Recurring Items'!$D$17),0)+(IF(AC425=1,'Debt Tracker'!$P$15&gt;0.01,INDEX('Debt Tracker'!$T$5:$AE$29,11,AC425-1)&gt;0.01))*('Recurring Items'!$H$18&lt;&gt;"Skip")*(DAY(AB425)='Recurring Items'!$F$18)*IFERROR(N('Recurring Items'!$D$18),0)+(IF(AC425=1,'Debt Tracker'!$P$16&gt;0.01,INDEX('Debt Tracker'!$T$5:$AE$29,12,AC425-1)&gt;0.01))*('Recurring Items'!$H$19&lt;&gt;"Skip")*(DAY(AB425)='Recurring Items'!$F$19)*IFERROR(N('Recurring Items'!$D$19),0)+(IF(AC425=1,'Debt Tracker'!$P$17&gt;0.01,INDEX('Debt Tracker'!$T$5:$AE$29,13,AC425-1)&gt;0.01))*('Recurring Items'!$H$20&lt;&gt;"Skip")*(DAY(AB425)='Recurring Items'!$F$20)*IFERROR(N('Recurring Items'!$D$20),0)+(IF(AC425=1,'Debt Tracker'!$P$18&gt;0.01,INDEX('Debt Tracker'!$T$5:$AE$29,14,AC425-1)&gt;0.01))*('Recurring Items'!$H$21&lt;&gt;"Skip")*(DAY(AB425)='Recurring Items'!$F$21)*IFERROR(N('Recurring Items'!$D$21),0)+(IF(AC425=1,'Debt Tracker'!$P$19&gt;0.01,INDEX('Debt Tracker'!$T$5:$AE$29,15,AC425-1)&gt;0.01))*('Recurring Items'!$H$22&lt;&gt;"Skip")*(DAY(AB425)='Recurring Items'!$F$22)*IFERROR(N('Recurring Items'!$D$22),0)+(IF(AC425=1,'Debt Tracker'!$P$20&gt;0.01,INDEX('Debt Tracker'!$T$5:$AE$29,16,AC425-1)&gt;0.01))*('Recurring Items'!$H$23&lt;&gt;"Skip")*(DAY(AB425)='Recurring Items'!$F$23)*IFERROR(N('Recurring Items'!$D$23),0)+(IF(AC425=1,'Debt Tracker'!$P$21&gt;0.01,INDEX('Debt Tracker'!$T$5:$AE$29,17,AC425-1)&gt;0.01))*('Recurring Items'!$H$24&lt;&gt;"Skip")*(DAY(AB425)='Recurring Items'!$F$24)*IFERROR(N('Recurring Items'!$D$24),0)+(IF(AC425=1,'Debt Tracker'!$P$22&gt;0.01,INDEX('Debt Tracker'!$T$5:$AE$29,18,AC425-1)&gt;0.01))*('Recurring Items'!$H$25&lt;&gt;"Skip")*(DAY(AB425)='Recurring Items'!$F$25)*IFERROR(N('Recurring Items'!$D$25),0)+(IF(AC425=1,'Debt Tracker'!$P$23&gt;0.01,INDEX('Debt Tracker'!$T$5:$AE$29,19,AC425-1)&gt;0.01))*('Recurring Items'!$H$26&lt;&gt;"Skip")*(DAY(AB425)='Recurring Items'!$F$26)*IFERROR(N('Recurring Items'!$D$26),0)+(IF(AC425=1,'Debt Tracker'!$P$24&gt;0.01,INDEX('Debt Tracker'!$T$5:$AE$29,20,AC425-1)&gt;0.01))*('Recurring Items'!$H$27&lt;&gt;"Skip")*(DAY(AB425)='Recurring Items'!$F$27)*IFERROR(N('Recurring Items'!$D$27),0)+(IF(AC425=1,'Debt Tracker'!$P$25&gt;0.01,INDEX('Debt Tracker'!$T$5:$AE$29,21,AC425-1)&gt;0.01))*('Recurring Items'!$H$28&lt;&gt;"Skip")*(DAY(AB425)='Recurring Items'!$F$28)*IFERROR(N('Recurring Items'!$D$28),0)+(IF(AC425=1,'Debt Tracker'!$P$26&gt;0.01,INDEX('Debt Tracker'!$T$5:$AE$29,22,AC425-1)&gt;0.01))*('Recurring Items'!$H$29&lt;&gt;"Skip")*(DAY(AB425)='Recurring Items'!$F$29)*IFERROR(N('Recurring Items'!$D$29),0)+(IF(AC425=1,'Debt Tracker'!$P$27&gt;0.01,INDEX('Debt Tracker'!$T$5:$AE$29,23,AC425-1)&gt;0.01))*('Recurring Items'!$H$30&lt;&gt;"Skip")*(DAY(AB425)='Recurring Items'!$F$30)*IFERROR(N('Recurring Items'!$D$30),0)+(IF(AC425=1,'Debt Tracker'!$P$28&gt;0.01,INDEX('Debt Tracker'!$T$5:$AE$29,24,AC425-1)&gt;0.01))*('Recurring Items'!$H$31&lt;&gt;"Skip")*(DAY(AB425)='Recurring Items'!$F$31)*IFERROR(N('Recurring Items'!$D$31),0)+(IF(AC425=1,'Debt Tracker'!$P$29&gt;0.01,INDEX('Debt Tracker'!$T$5:$AE$29,25,AC425-1)&gt;0.01))*('Recurring Items'!$H$32&lt;&gt;"Skip")*(DAY(AB425)='Recurring Items'!$F$32)*IFERROR(N('Recurring Items'!$D$32),0)</f>
        <v>0</v>
      </c>
      <c r="AG425" s="1" t="n">
        <f aca="false">AD425-AE425-AF425</f>
        <v>-167.68</v>
      </c>
      <c r="AH425" s="1" t="n">
        <f aca="false">AH424+AG425</f>
        <v>16518.44</v>
      </c>
    </row>
    <row r="426" customFormat="false" ht="15" hidden="false" customHeight="true" outlineLevel="0" collapsed="false">
      <c r="AA426" s="1" t="n">
        <v>226</v>
      </c>
      <c r="AB426" s="145" t="n">
        <f aca="false">$D$3+226</f>
        <v>46369</v>
      </c>
      <c r="AC426" s="1" t="n">
        <f aca="false">MIN(12,1+DATEDIF($D$3,AB426,"M"))</f>
        <v>8</v>
      </c>
      <c r="AD426" s="1" t="n">
        <f aca="false">SUMPRODUCT(('Recurring Items'!$C$6:$C$56="Income")*('Recurring Items'!$H$6:$H$56&lt;&gt;"Skip")*IFERROR(N('Recurring Items'!$D$6:$D$56),0)*(('Recurring Items'!$E$6:$E$56="Monthly")*(DAY(AB426)='Recurring Items'!$F$6:$F$56)+('Recurring Items'!$E$6:$E$56="Bi-weekly")*(WEEKDAY(AB426)=IFERROR(WEEKDAY('Recurring Items'!$G$6:$G$56),0))*(MOD(AB426-IFERROR('Recurring Items'!$G$6:$G$56,0),14)=0)*(AB426&gt;=IFERROR('Recurring Items'!$G$6:$G$56,9000000000))+('Recurring Items'!$E$6:$E$56="Weekly")*(WEEKDAY(AB426)=IFERROR(WEEKDAY('Recurring Items'!$G$6:$G$56),0))*(AB426&gt;=IFERROR('Recurring Items'!$G$6:$G$56,9000000000))+('Recurring Items'!$E$6:$E$56="One-time")*(AB426='Recurring Items'!$G$6:$G$56)))</f>
        <v>0</v>
      </c>
      <c r="AE426" s="1" t="n">
        <f aca="false">SUMPRODUCT(('Recurring Items'!$C$6:$C$56="Expense")*('Recurring Items'!$H$6:$H$56&lt;&gt;"Skip")*IFERROR(N('Recurring Items'!$D$6:$D$56),0)*(('Recurring Items'!$E$6:$E$56="Monthly")*(DAY(AB426)='Recurring Items'!$F$6:$F$56)+('Recurring Items'!$E$6:$E$56="Bi-weekly")*(WEEKDAY(AB426)=IFERROR(WEEKDAY('Recurring Items'!$G$6:$G$56),0))*(MOD(AB426-IFERROR('Recurring Items'!$G$6:$G$56,0),14)=0)*(AB426&gt;=IFERROR('Recurring Items'!$G$6:$G$56,9000000000))+('Recurring Items'!$E$6:$E$56="Weekly")*(WEEKDAY(AB426)=IFERROR(WEEKDAY('Recurring Items'!$G$6:$G$56),0))*(AB426&gt;=IFERROR('Recurring Items'!$G$6:$G$56,9000000000))+('Recurring Items'!$E$6:$E$56="One-time")*(AB426='Recurring Items'!$G$6:$G$56)))</f>
        <v>0</v>
      </c>
      <c r="AF426" s="1" t="n">
        <f aca="false">(IF(AC426=1,'Debt Tracker'!$P$5&gt;0.01,INDEX('Debt Tracker'!$T$5:$AE$29,1,AC426-1)&gt;0.01))*('Recurring Items'!$H$8&lt;&gt;"Skip")*(DAY(AB426)='Recurring Items'!$F$8)*IFERROR(N('Recurring Items'!$D$8),0)+(IF(AC426=1,'Debt Tracker'!$P$6&gt;0.01,INDEX('Debt Tracker'!$T$5:$AE$29,2,AC426-1)&gt;0.01))*('Recurring Items'!$H$9&lt;&gt;"Skip")*(DAY(AB426)='Recurring Items'!$F$9)*IFERROR(N('Recurring Items'!$D$9),0)+(IF(AC426=1,'Debt Tracker'!$P$7&gt;0.01,INDEX('Debt Tracker'!$T$5:$AE$29,3,AC426-1)&gt;0.01))*('Recurring Items'!$H$10&lt;&gt;"Skip")*(DAY(AB426)='Recurring Items'!$F$10)*IFERROR(N('Recurring Items'!$D$10),0)+(IF(AC426=1,'Debt Tracker'!$P$8&gt;0.01,INDEX('Debt Tracker'!$T$5:$AE$29,4,AC426-1)&gt;0.01))*('Recurring Items'!$H$11&lt;&gt;"Skip")*(DAY(AB426)='Recurring Items'!$F$11)*IFERROR(N('Recurring Items'!$D$11),0)+(IF(AC426=1,'Debt Tracker'!$P$9&gt;0.01,INDEX('Debt Tracker'!$T$5:$AE$29,5,AC426-1)&gt;0.01))*('Recurring Items'!$H$12&lt;&gt;"Skip")*(DAY(AB426)='Recurring Items'!$F$12)*IFERROR(N('Recurring Items'!$D$12),0)+(IF(AC426=1,'Debt Tracker'!$P$10&gt;0.01,INDEX('Debt Tracker'!$T$5:$AE$29,6,AC426-1)&gt;0.01))*('Recurring Items'!$H$13&lt;&gt;"Skip")*(DAY(AB426)='Recurring Items'!$F$13)*IFERROR(N('Recurring Items'!$D$13),0)+(IF(AC426=1,'Debt Tracker'!$P$11&gt;0.01,INDEX('Debt Tracker'!$T$5:$AE$29,7,AC426-1)&gt;0.01))*('Recurring Items'!$H$14&lt;&gt;"Skip")*(DAY(AB426)='Recurring Items'!$F$14)*IFERROR(N('Recurring Items'!$D$14),0)+(IF(AC426=1,'Debt Tracker'!$P$12&gt;0.01,INDEX('Debt Tracker'!$T$5:$AE$29,8,AC426-1)&gt;0.01))*('Recurring Items'!$H$15&lt;&gt;"Skip")*(DAY(AB426)='Recurring Items'!$F$15)*IFERROR(N('Recurring Items'!$D$15),0)+(IF(AC426=1,'Debt Tracker'!$P$13&gt;0.01,INDEX('Debt Tracker'!$T$5:$AE$29,9,AC426-1)&gt;0.01))*('Recurring Items'!$H$16&lt;&gt;"Skip")*(DAY(AB426)='Recurring Items'!$F$16)*IFERROR(N('Recurring Items'!$D$16),0)+(IF(AC426=1,'Debt Tracker'!$P$14&gt;0.01,INDEX('Debt Tracker'!$T$5:$AE$29,10,AC426-1)&gt;0.01))*('Recurring Items'!$H$17&lt;&gt;"Skip")*(DAY(AB426)='Recurring Items'!$F$17)*IFERROR(N('Recurring Items'!$D$17),0)+(IF(AC426=1,'Debt Tracker'!$P$15&gt;0.01,INDEX('Debt Tracker'!$T$5:$AE$29,11,AC426-1)&gt;0.01))*('Recurring Items'!$H$18&lt;&gt;"Skip")*(DAY(AB426)='Recurring Items'!$F$18)*IFERROR(N('Recurring Items'!$D$18),0)+(IF(AC426=1,'Debt Tracker'!$P$16&gt;0.01,INDEX('Debt Tracker'!$T$5:$AE$29,12,AC426-1)&gt;0.01))*('Recurring Items'!$H$19&lt;&gt;"Skip")*(DAY(AB426)='Recurring Items'!$F$19)*IFERROR(N('Recurring Items'!$D$19),0)+(IF(AC426=1,'Debt Tracker'!$P$17&gt;0.01,INDEX('Debt Tracker'!$T$5:$AE$29,13,AC426-1)&gt;0.01))*('Recurring Items'!$H$20&lt;&gt;"Skip")*(DAY(AB426)='Recurring Items'!$F$20)*IFERROR(N('Recurring Items'!$D$20),0)+(IF(AC426=1,'Debt Tracker'!$P$18&gt;0.01,INDEX('Debt Tracker'!$T$5:$AE$29,14,AC426-1)&gt;0.01))*('Recurring Items'!$H$21&lt;&gt;"Skip")*(DAY(AB426)='Recurring Items'!$F$21)*IFERROR(N('Recurring Items'!$D$21),0)+(IF(AC426=1,'Debt Tracker'!$P$19&gt;0.01,INDEX('Debt Tracker'!$T$5:$AE$29,15,AC426-1)&gt;0.01))*('Recurring Items'!$H$22&lt;&gt;"Skip")*(DAY(AB426)='Recurring Items'!$F$22)*IFERROR(N('Recurring Items'!$D$22),0)+(IF(AC426=1,'Debt Tracker'!$P$20&gt;0.01,INDEX('Debt Tracker'!$T$5:$AE$29,16,AC426-1)&gt;0.01))*('Recurring Items'!$H$23&lt;&gt;"Skip")*(DAY(AB426)='Recurring Items'!$F$23)*IFERROR(N('Recurring Items'!$D$23),0)+(IF(AC426=1,'Debt Tracker'!$P$21&gt;0.01,INDEX('Debt Tracker'!$T$5:$AE$29,17,AC426-1)&gt;0.01))*('Recurring Items'!$H$24&lt;&gt;"Skip")*(DAY(AB426)='Recurring Items'!$F$24)*IFERROR(N('Recurring Items'!$D$24),0)+(IF(AC426=1,'Debt Tracker'!$P$22&gt;0.01,INDEX('Debt Tracker'!$T$5:$AE$29,18,AC426-1)&gt;0.01))*('Recurring Items'!$H$25&lt;&gt;"Skip")*(DAY(AB426)='Recurring Items'!$F$25)*IFERROR(N('Recurring Items'!$D$25),0)+(IF(AC426=1,'Debt Tracker'!$P$23&gt;0.01,INDEX('Debt Tracker'!$T$5:$AE$29,19,AC426-1)&gt;0.01))*('Recurring Items'!$H$26&lt;&gt;"Skip")*(DAY(AB426)='Recurring Items'!$F$26)*IFERROR(N('Recurring Items'!$D$26),0)+(IF(AC426=1,'Debt Tracker'!$P$24&gt;0.01,INDEX('Debt Tracker'!$T$5:$AE$29,20,AC426-1)&gt;0.01))*('Recurring Items'!$H$27&lt;&gt;"Skip")*(DAY(AB426)='Recurring Items'!$F$27)*IFERROR(N('Recurring Items'!$D$27),0)+(IF(AC426=1,'Debt Tracker'!$P$25&gt;0.01,INDEX('Debt Tracker'!$T$5:$AE$29,21,AC426-1)&gt;0.01))*('Recurring Items'!$H$28&lt;&gt;"Skip")*(DAY(AB426)='Recurring Items'!$F$28)*IFERROR(N('Recurring Items'!$D$28),0)+(IF(AC426=1,'Debt Tracker'!$P$26&gt;0.01,INDEX('Debt Tracker'!$T$5:$AE$29,22,AC426-1)&gt;0.01))*('Recurring Items'!$H$29&lt;&gt;"Skip")*(DAY(AB426)='Recurring Items'!$F$29)*IFERROR(N('Recurring Items'!$D$29),0)+(IF(AC426=1,'Debt Tracker'!$P$27&gt;0.01,INDEX('Debt Tracker'!$T$5:$AE$29,23,AC426-1)&gt;0.01))*('Recurring Items'!$H$30&lt;&gt;"Skip")*(DAY(AB426)='Recurring Items'!$F$30)*IFERROR(N('Recurring Items'!$D$30),0)+(IF(AC426=1,'Debt Tracker'!$P$28&gt;0.01,INDEX('Debt Tracker'!$T$5:$AE$29,24,AC426-1)&gt;0.01))*('Recurring Items'!$H$31&lt;&gt;"Skip")*(DAY(AB426)='Recurring Items'!$F$31)*IFERROR(N('Recurring Items'!$D$31),0)+(IF(AC426=1,'Debt Tracker'!$P$29&gt;0.01,INDEX('Debt Tracker'!$T$5:$AE$29,25,AC426-1)&gt;0.01))*('Recurring Items'!$H$32&lt;&gt;"Skip")*(DAY(AB426)='Recurring Items'!$F$32)*IFERROR(N('Recurring Items'!$D$32),0)</f>
        <v>40</v>
      </c>
      <c r="AG426" s="1" t="n">
        <f aca="false">AD426-AE426-AF426</f>
        <v>-40</v>
      </c>
      <c r="AH426" s="1" t="n">
        <f aca="false">AH425+AG426</f>
        <v>16478.44</v>
      </c>
    </row>
    <row r="427" customFormat="false" ht="15" hidden="false" customHeight="true" outlineLevel="0" collapsed="false">
      <c r="AA427" s="1" t="n">
        <v>227</v>
      </c>
      <c r="AB427" s="145" t="n">
        <f aca="false">$D$3+227</f>
        <v>46370</v>
      </c>
      <c r="AC427" s="1" t="n">
        <f aca="false">MIN(12,1+DATEDIF($D$3,AB427,"M"))</f>
        <v>8</v>
      </c>
      <c r="AD427" s="1" t="n">
        <f aca="false">SUMPRODUCT(('Recurring Items'!$C$6:$C$56="Income")*('Recurring Items'!$H$6:$H$56&lt;&gt;"Skip")*IFERROR(N('Recurring Items'!$D$6:$D$56),0)*(('Recurring Items'!$E$6:$E$56="Monthly")*(DAY(AB427)='Recurring Items'!$F$6:$F$56)+('Recurring Items'!$E$6:$E$56="Bi-weekly")*(WEEKDAY(AB427)=IFERROR(WEEKDAY('Recurring Items'!$G$6:$G$56),0))*(MOD(AB427-IFERROR('Recurring Items'!$G$6:$G$56,0),14)=0)*(AB427&gt;=IFERROR('Recurring Items'!$G$6:$G$56,9000000000))+('Recurring Items'!$E$6:$E$56="Weekly")*(WEEKDAY(AB427)=IFERROR(WEEKDAY('Recurring Items'!$G$6:$G$56),0))*(AB427&gt;=IFERROR('Recurring Items'!$G$6:$G$56,9000000000))+('Recurring Items'!$E$6:$E$56="One-time")*(AB427='Recurring Items'!$G$6:$G$56)))</f>
        <v>0</v>
      </c>
      <c r="AE427" s="1" t="n">
        <f aca="false">SUMPRODUCT(('Recurring Items'!$C$6:$C$56="Expense")*('Recurring Items'!$H$6:$H$56&lt;&gt;"Skip")*IFERROR(N('Recurring Items'!$D$6:$D$56),0)*(('Recurring Items'!$E$6:$E$56="Monthly")*(DAY(AB427)='Recurring Items'!$F$6:$F$56)+('Recurring Items'!$E$6:$E$56="Bi-weekly")*(WEEKDAY(AB427)=IFERROR(WEEKDAY('Recurring Items'!$G$6:$G$56),0))*(MOD(AB427-IFERROR('Recurring Items'!$G$6:$G$56,0),14)=0)*(AB427&gt;=IFERROR('Recurring Items'!$G$6:$G$56,9000000000))+('Recurring Items'!$E$6:$E$56="Weekly")*(WEEKDAY(AB427)=IFERROR(WEEKDAY('Recurring Items'!$G$6:$G$56),0))*(AB427&gt;=IFERROR('Recurring Items'!$G$6:$G$56,9000000000))+('Recurring Items'!$E$6:$E$56="One-time")*(AB427='Recurring Items'!$G$6:$G$56)))</f>
        <v>0</v>
      </c>
      <c r="AF427" s="1" t="n">
        <f aca="false">(IF(AC427=1,'Debt Tracker'!$P$5&gt;0.01,INDEX('Debt Tracker'!$T$5:$AE$29,1,AC427-1)&gt;0.01))*('Recurring Items'!$H$8&lt;&gt;"Skip")*(DAY(AB427)='Recurring Items'!$F$8)*IFERROR(N('Recurring Items'!$D$8),0)+(IF(AC427=1,'Debt Tracker'!$P$6&gt;0.01,INDEX('Debt Tracker'!$T$5:$AE$29,2,AC427-1)&gt;0.01))*('Recurring Items'!$H$9&lt;&gt;"Skip")*(DAY(AB427)='Recurring Items'!$F$9)*IFERROR(N('Recurring Items'!$D$9),0)+(IF(AC427=1,'Debt Tracker'!$P$7&gt;0.01,INDEX('Debt Tracker'!$T$5:$AE$29,3,AC427-1)&gt;0.01))*('Recurring Items'!$H$10&lt;&gt;"Skip")*(DAY(AB427)='Recurring Items'!$F$10)*IFERROR(N('Recurring Items'!$D$10),0)+(IF(AC427=1,'Debt Tracker'!$P$8&gt;0.01,INDEX('Debt Tracker'!$T$5:$AE$29,4,AC427-1)&gt;0.01))*('Recurring Items'!$H$11&lt;&gt;"Skip")*(DAY(AB427)='Recurring Items'!$F$11)*IFERROR(N('Recurring Items'!$D$11),0)+(IF(AC427=1,'Debt Tracker'!$P$9&gt;0.01,INDEX('Debt Tracker'!$T$5:$AE$29,5,AC427-1)&gt;0.01))*('Recurring Items'!$H$12&lt;&gt;"Skip")*(DAY(AB427)='Recurring Items'!$F$12)*IFERROR(N('Recurring Items'!$D$12),0)+(IF(AC427=1,'Debt Tracker'!$P$10&gt;0.01,INDEX('Debt Tracker'!$T$5:$AE$29,6,AC427-1)&gt;0.01))*('Recurring Items'!$H$13&lt;&gt;"Skip")*(DAY(AB427)='Recurring Items'!$F$13)*IFERROR(N('Recurring Items'!$D$13),0)+(IF(AC427=1,'Debt Tracker'!$P$11&gt;0.01,INDEX('Debt Tracker'!$T$5:$AE$29,7,AC427-1)&gt;0.01))*('Recurring Items'!$H$14&lt;&gt;"Skip")*(DAY(AB427)='Recurring Items'!$F$14)*IFERROR(N('Recurring Items'!$D$14),0)+(IF(AC427=1,'Debt Tracker'!$P$12&gt;0.01,INDEX('Debt Tracker'!$T$5:$AE$29,8,AC427-1)&gt;0.01))*('Recurring Items'!$H$15&lt;&gt;"Skip")*(DAY(AB427)='Recurring Items'!$F$15)*IFERROR(N('Recurring Items'!$D$15),0)+(IF(AC427=1,'Debt Tracker'!$P$13&gt;0.01,INDEX('Debt Tracker'!$T$5:$AE$29,9,AC427-1)&gt;0.01))*('Recurring Items'!$H$16&lt;&gt;"Skip")*(DAY(AB427)='Recurring Items'!$F$16)*IFERROR(N('Recurring Items'!$D$16),0)+(IF(AC427=1,'Debt Tracker'!$P$14&gt;0.01,INDEX('Debt Tracker'!$T$5:$AE$29,10,AC427-1)&gt;0.01))*('Recurring Items'!$H$17&lt;&gt;"Skip")*(DAY(AB427)='Recurring Items'!$F$17)*IFERROR(N('Recurring Items'!$D$17),0)+(IF(AC427=1,'Debt Tracker'!$P$15&gt;0.01,INDEX('Debt Tracker'!$T$5:$AE$29,11,AC427-1)&gt;0.01))*('Recurring Items'!$H$18&lt;&gt;"Skip")*(DAY(AB427)='Recurring Items'!$F$18)*IFERROR(N('Recurring Items'!$D$18),0)+(IF(AC427=1,'Debt Tracker'!$P$16&gt;0.01,INDEX('Debt Tracker'!$T$5:$AE$29,12,AC427-1)&gt;0.01))*('Recurring Items'!$H$19&lt;&gt;"Skip")*(DAY(AB427)='Recurring Items'!$F$19)*IFERROR(N('Recurring Items'!$D$19),0)+(IF(AC427=1,'Debt Tracker'!$P$17&gt;0.01,INDEX('Debt Tracker'!$T$5:$AE$29,13,AC427-1)&gt;0.01))*('Recurring Items'!$H$20&lt;&gt;"Skip")*(DAY(AB427)='Recurring Items'!$F$20)*IFERROR(N('Recurring Items'!$D$20),0)+(IF(AC427=1,'Debt Tracker'!$P$18&gt;0.01,INDEX('Debt Tracker'!$T$5:$AE$29,14,AC427-1)&gt;0.01))*('Recurring Items'!$H$21&lt;&gt;"Skip")*(DAY(AB427)='Recurring Items'!$F$21)*IFERROR(N('Recurring Items'!$D$21),0)+(IF(AC427=1,'Debt Tracker'!$P$19&gt;0.01,INDEX('Debt Tracker'!$T$5:$AE$29,15,AC427-1)&gt;0.01))*('Recurring Items'!$H$22&lt;&gt;"Skip")*(DAY(AB427)='Recurring Items'!$F$22)*IFERROR(N('Recurring Items'!$D$22),0)+(IF(AC427=1,'Debt Tracker'!$P$20&gt;0.01,INDEX('Debt Tracker'!$T$5:$AE$29,16,AC427-1)&gt;0.01))*('Recurring Items'!$H$23&lt;&gt;"Skip")*(DAY(AB427)='Recurring Items'!$F$23)*IFERROR(N('Recurring Items'!$D$23),0)+(IF(AC427=1,'Debt Tracker'!$P$21&gt;0.01,INDEX('Debt Tracker'!$T$5:$AE$29,17,AC427-1)&gt;0.01))*('Recurring Items'!$H$24&lt;&gt;"Skip")*(DAY(AB427)='Recurring Items'!$F$24)*IFERROR(N('Recurring Items'!$D$24),0)+(IF(AC427=1,'Debt Tracker'!$P$22&gt;0.01,INDEX('Debt Tracker'!$T$5:$AE$29,18,AC427-1)&gt;0.01))*('Recurring Items'!$H$25&lt;&gt;"Skip")*(DAY(AB427)='Recurring Items'!$F$25)*IFERROR(N('Recurring Items'!$D$25),0)+(IF(AC427=1,'Debt Tracker'!$P$23&gt;0.01,INDEX('Debt Tracker'!$T$5:$AE$29,19,AC427-1)&gt;0.01))*('Recurring Items'!$H$26&lt;&gt;"Skip")*(DAY(AB427)='Recurring Items'!$F$26)*IFERROR(N('Recurring Items'!$D$26),0)+(IF(AC427=1,'Debt Tracker'!$P$24&gt;0.01,INDEX('Debt Tracker'!$T$5:$AE$29,20,AC427-1)&gt;0.01))*('Recurring Items'!$H$27&lt;&gt;"Skip")*(DAY(AB427)='Recurring Items'!$F$27)*IFERROR(N('Recurring Items'!$D$27),0)+(IF(AC427=1,'Debt Tracker'!$P$25&gt;0.01,INDEX('Debt Tracker'!$T$5:$AE$29,21,AC427-1)&gt;0.01))*('Recurring Items'!$H$28&lt;&gt;"Skip")*(DAY(AB427)='Recurring Items'!$F$28)*IFERROR(N('Recurring Items'!$D$28),0)+(IF(AC427=1,'Debt Tracker'!$P$26&gt;0.01,INDEX('Debt Tracker'!$T$5:$AE$29,22,AC427-1)&gt;0.01))*('Recurring Items'!$H$29&lt;&gt;"Skip")*(DAY(AB427)='Recurring Items'!$F$29)*IFERROR(N('Recurring Items'!$D$29),0)+(IF(AC427=1,'Debt Tracker'!$P$27&gt;0.01,INDEX('Debt Tracker'!$T$5:$AE$29,23,AC427-1)&gt;0.01))*('Recurring Items'!$H$30&lt;&gt;"Skip")*(DAY(AB427)='Recurring Items'!$F$30)*IFERROR(N('Recurring Items'!$D$30),0)+(IF(AC427=1,'Debt Tracker'!$P$28&gt;0.01,INDEX('Debt Tracker'!$T$5:$AE$29,24,AC427-1)&gt;0.01))*('Recurring Items'!$H$31&lt;&gt;"Skip")*(DAY(AB427)='Recurring Items'!$F$31)*IFERROR(N('Recurring Items'!$D$31),0)+(IF(AC427=1,'Debt Tracker'!$P$29&gt;0.01,INDEX('Debt Tracker'!$T$5:$AE$29,25,AC427-1)&gt;0.01))*('Recurring Items'!$H$32&lt;&gt;"Skip")*(DAY(AB427)='Recurring Items'!$F$32)*IFERROR(N('Recurring Items'!$D$32),0)</f>
        <v>76.4</v>
      </c>
      <c r="AG427" s="1" t="n">
        <f aca="false">AD427-AE427-AF427</f>
        <v>-76.4</v>
      </c>
      <c r="AH427" s="1" t="n">
        <f aca="false">AH426+AG427</f>
        <v>16402.04</v>
      </c>
    </row>
    <row r="428" customFormat="false" ht="15" hidden="false" customHeight="true" outlineLevel="0" collapsed="false">
      <c r="AA428" s="1" t="n">
        <v>228</v>
      </c>
      <c r="AB428" s="145" t="n">
        <f aca="false">$D$3+228</f>
        <v>46371</v>
      </c>
      <c r="AC428" s="1" t="n">
        <f aca="false">MIN(12,1+DATEDIF($D$3,AB428,"M"))</f>
        <v>8</v>
      </c>
      <c r="AD428" s="1" t="n">
        <f aca="false">SUMPRODUCT(('Recurring Items'!$C$6:$C$56="Income")*('Recurring Items'!$H$6:$H$56&lt;&gt;"Skip")*IFERROR(N('Recurring Items'!$D$6:$D$56),0)*(('Recurring Items'!$E$6:$E$56="Monthly")*(DAY(AB428)='Recurring Items'!$F$6:$F$56)+('Recurring Items'!$E$6:$E$56="Bi-weekly")*(WEEKDAY(AB428)=IFERROR(WEEKDAY('Recurring Items'!$G$6:$G$56),0))*(MOD(AB428-IFERROR('Recurring Items'!$G$6:$G$56,0),14)=0)*(AB428&gt;=IFERROR('Recurring Items'!$G$6:$G$56,9000000000))+('Recurring Items'!$E$6:$E$56="Weekly")*(WEEKDAY(AB428)=IFERROR(WEEKDAY('Recurring Items'!$G$6:$G$56),0))*(AB428&gt;=IFERROR('Recurring Items'!$G$6:$G$56,9000000000))+('Recurring Items'!$E$6:$E$56="One-time")*(AB428='Recurring Items'!$G$6:$G$56)))</f>
        <v>0</v>
      </c>
      <c r="AE428" s="1" t="n">
        <f aca="false">SUMPRODUCT(('Recurring Items'!$C$6:$C$56="Expense")*('Recurring Items'!$H$6:$H$56&lt;&gt;"Skip")*IFERROR(N('Recurring Items'!$D$6:$D$56),0)*(('Recurring Items'!$E$6:$E$56="Monthly")*(DAY(AB428)='Recurring Items'!$F$6:$F$56)+('Recurring Items'!$E$6:$E$56="Bi-weekly")*(WEEKDAY(AB428)=IFERROR(WEEKDAY('Recurring Items'!$G$6:$G$56),0))*(MOD(AB428-IFERROR('Recurring Items'!$G$6:$G$56,0),14)=0)*(AB428&gt;=IFERROR('Recurring Items'!$G$6:$G$56,9000000000))+('Recurring Items'!$E$6:$E$56="Weekly")*(WEEKDAY(AB428)=IFERROR(WEEKDAY('Recurring Items'!$G$6:$G$56),0))*(AB428&gt;=IFERROR('Recurring Items'!$G$6:$G$56,9000000000))+('Recurring Items'!$E$6:$E$56="One-time")*(AB428='Recurring Items'!$G$6:$G$56)))</f>
        <v>2990.57</v>
      </c>
      <c r="AF428" s="1" t="n">
        <f aca="false">(IF(AC428=1,'Debt Tracker'!$P$5&gt;0.01,INDEX('Debt Tracker'!$T$5:$AE$29,1,AC428-1)&gt;0.01))*('Recurring Items'!$H$8&lt;&gt;"Skip")*(DAY(AB428)='Recurring Items'!$F$8)*IFERROR(N('Recurring Items'!$D$8),0)+(IF(AC428=1,'Debt Tracker'!$P$6&gt;0.01,INDEX('Debt Tracker'!$T$5:$AE$29,2,AC428-1)&gt;0.01))*('Recurring Items'!$H$9&lt;&gt;"Skip")*(DAY(AB428)='Recurring Items'!$F$9)*IFERROR(N('Recurring Items'!$D$9),0)+(IF(AC428=1,'Debt Tracker'!$P$7&gt;0.01,INDEX('Debt Tracker'!$T$5:$AE$29,3,AC428-1)&gt;0.01))*('Recurring Items'!$H$10&lt;&gt;"Skip")*(DAY(AB428)='Recurring Items'!$F$10)*IFERROR(N('Recurring Items'!$D$10),0)+(IF(AC428=1,'Debt Tracker'!$P$8&gt;0.01,INDEX('Debt Tracker'!$T$5:$AE$29,4,AC428-1)&gt;0.01))*('Recurring Items'!$H$11&lt;&gt;"Skip")*(DAY(AB428)='Recurring Items'!$F$11)*IFERROR(N('Recurring Items'!$D$11),0)+(IF(AC428=1,'Debt Tracker'!$P$9&gt;0.01,INDEX('Debt Tracker'!$T$5:$AE$29,5,AC428-1)&gt;0.01))*('Recurring Items'!$H$12&lt;&gt;"Skip")*(DAY(AB428)='Recurring Items'!$F$12)*IFERROR(N('Recurring Items'!$D$12),0)+(IF(AC428=1,'Debt Tracker'!$P$10&gt;0.01,INDEX('Debt Tracker'!$T$5:$AE$29,6,AC428-1)&gt;0.01))*('Recurring Items'!$H$13&lt;&gt;"Skip")*(DAY(AB428)='Recurring Items'!$F$13)*IFERROR(N('Recurring Items'!$D$13),0)+(IF(AC428=1,'Debt Tracker'!$P$11&gt;0.01,INDEX('Debt Tracker'!$T$5:$AE$29,7,AC428-1)&gt;0.01))*('Recurring Items'!$H$14&lt;&gt;"Skip")*(DAY(AB428)='Recurring Items'!$F$14)*IFERROR(N('Recurring Items'!$D$14),0)+(IF(AC428=1,'Debt Tracker'!$P$12&gt;0.01,INDEX('Debt Tracker'!$T$5:$AE$29,8,AC428-1)&gt;0.01))*('Recurring Items'!$H$15&lt;&gt;"Skip")*(DAY(AB428)='Recurring Items'!$F$15)*IFERROR(N('Recurring Items'!$D$15),0)+(IF(AC428=1,'Debt Tracker'!$P$13&gt;0.01,INDEX('Debt Tracker'!$T$5:$AE$29,9,AC428-1)&gt;0.01))*('Recurring Items'!$H$16&lt;&gt;"Skip")*(DAY(AB428)='Recurring Items'!$F$16)*IFERROR(N('Recurring Items'!$D$16),0)+(IF(AC428=1,'Debt Tracker'!$P$14&gt;0.01,INDEX('Debt Tracker'!$T$5:$AE$29,10,AC428-1)&gt;0.01))*('Recurring Items'!$H$17&lt;&gt;"Skip")*(DAY(AB428)='Recurring Items'!$F$17)*IFERROR(N('Recurring Items'!$D$17),0)+(IF(AC428=1,'Debt Tracker'!$P$15&gt;0.01,INDEX('Debt Tracker'!$T$5:$AE$29,11,AC428-1)&gt;0.01))*('Recurring Items'!$H$18&lt;&gt;"Skip")*(DAY(AB428)='Recurring Items'!$F$18)*IFERROR(N('Recurring Items'!$D$18),0)+(IF(AC428=1,'Debt Tracker'!$P$16&gt;0.01,INDEX('Debt Tracker'!$T$5:$AE$29,12,AC428-1)&gt;0.01))*('Recurring Items'!$H$19&lt;&gt;"Skip")*(DAY(AB428)='Recurring Items'!$F$19)*IFERROR(N('Recurring Items'!$D$19),0)+(IF(AC428=1,'Debt Tracker'!$P$17&gt;0.01,INDEX('Debt Tracker'!$T$5:$AE$29,13,AC428-1)&gt;0.01))*('Recurring Items'!$H$20&lt;&gt;"Skip")*(DAY(AB428)='Recurring Items'!$F$20)*IFERROR(N('Recurring Items'!$D$20),0)+(IF(AC428=1,'Debt Tracker'!$P$18&gt;0.01,INDEX('Debt Tracker'!$T$5:$AE$29,14,AC428-1)&gt;0.01))*('Recurring Items'!$H$21&lt;&gt;"Skip")*(DAY(AB428)='Recurring Items'!$F$21)*IFERROR(N('Recurring Items'!$D$21),0)+(IF(AC428=1,'Debt Tracker'!$P$19&gt;0.01,INDEX('Debt Tracker'!$T$5:$AE$29,15,AC428-1)&gt;0.01))*('Recurring Items'!$H$22&lt;&gt;"Skip")*(DAY(AB428)='Recurring Items'!$F$22)*IFERROR(N('Recurring Items'!$D$22),0)+(IF(AC428=1,'Debt Tracker'!$P$20&gt;0.01,INDEX('Debt Tracker'!$T$5:$AE$29,16,AC428-1)&gt;0.01))*('Recurring Items'!$H$23&lt;&gt;"Skip")*(DAY(AB428)='Recurring Items'!$F$23)*IFERROR(N('Recurring Items'!$D$23),0)+(IF(AC428=1,'Debt Tracker'!$P$21&gt;0.01,INDEX('Debt Tracker'!$T$5:$AE$29,17,AC428-1)&gt;0.01))*('Recurring Items'!$H$24&lt;&gt;"Skip")*(DAY(AB428)='Recurring Items'!$F$24)*IFERROR(N('Recurring Items'!$D$24),0)+(IF(AC428=1,'Debt Tracker'!$P$22&gt;0.01,INDEX('Debt Tracker'!$T$5:$AE$29,18,AC428-1)&gt;0.01))*('Recurring Items'!$H$25&lt;&gt;"Skip")*(DAY(AB428)='Recurring Items'!$F$25)*IFERROR(N('Recurring Items'!$D$25),0)+(IF(AC428=1,'Debt Tracker'!$P$23&gt;0.01,INDEX('Debt Tracker'!$T$5:$AE$29,19,AC428-1)&gt;0.01))*('Recurring Items'!$H$26&lt;&gt;"Skip")*(DAY(AB428)='Recurring Items'!$F$26)*IFERROR(N('Recurring Items'!$D$26),0)+(IF(AC428=1,'Debt Tracker'!$P$24&gt;0.01,INDEX('Debt Tracker'!$T$5:$AE$29,20,AC428-1)&gt;0.01))*('Recurring Items'!$H$27&lt;&gt;"Skip")*(DAY(AB428)='Recurring Items'!$F$27)*IFERROR(N('Recurring Items'!$D$27),0)+(IF(AC428=1,'Debt Tracker'!$P$25&gt;0.01,INDEX('Debt Tracker'!$T$5:$AE$29,21,AC428-1)&gt;0.01))*('Recurring Items'!$H$28&lt;&gt;"Skip")*(DAY(AB428)='Recurring Items'!$F$28)*IFERROR(N('Recurring Items'!$D$28),0)+(IF(AC428=1,'Debt Tracker'!$P$26&gt;0.01,INDEX('Debt Tracker'!$T$5:$AE$29,22,AC428-1)&gt;0.01))*('Recurring Items'!$H$29&lt;&gt;"Skip")*(DAY(AB428)='Recurring Items'!$F$29)*IFERROR(N('Recurring Items'!$D$29),0)+(IF(AC428=1,'Debt Tracker'!$P$27&gt;0.01,INDEX('Debt Tracker'!$T$5:$AE$29,23,AC428-1)&gt;0.01))*('Recurring Items'!$H$30&lt;&gt;"Skip")*(DAY(AB428)='Recurring Items'!$F$30)*IFERROR(N('Recurring Items'!$D$30),0)+(IF(AC428=1,'Debt Tracker'!$P$28&gt;0.01,INDEX('Debt Tracker'!$T$5:$AE$29,24,AC428-1)&gt;0.01))*('Recurring Items'!$H$31&lt;&gt;"Skip")*(DAY(AB428)='Recurring Items'!$F$31)*IFERROR(N('Recurring Items'!$D$31),0)+(IF(AC428=1,'Debt Tracker'!$P$29&gt;0.01,INDEX('Debt Tracker'!$T$5:$AE$29,25,AC428-1)&gt;0.01))*('Recurring Items'!$H$32&lt;&gt;"Skip")*(DAY(AB428)='Recurring Items'!$F$32)*IFERROR(N('Recurring Items'!$D$32),0)</f>
        <v>107.75</v>
      </c>
      <c r="AG428" s="1" t="n">
        <f aca="false">AD428-AE428-AF428</f>
        <v>-3098.32</v>
      </c>
      <c r="AH428" s="1" t="n">
        <f aca="false">AH427+AG428</f>
        <v>13303.72</v>
      </c>
    </row>
    <row r="429" customFormat="false" ht="15" hidden="false" customHeight="true" outlineLevel="0" collapsed="false">
      <c r="AA429" s="1" t="n">
        <v>229</v>
      </c>
      <c r="AB429" s="145" t="n">
        <f aca="false">$D$3+229</f>
        <v>46372</v>
      </c>
      <c r="AC429" s="1" t="n">
        <f aca="false">MIN(12,1+DATEDIF($D$3,AB429,"M"))</f>
        <v>8</v>
      </c>
      <c r="AD429" s="1" t="n">
        <f aca="false">SUMPRODUCT(('Recurring Items'!$C$6:$C$56="Income")*('Recurring Items'!$H$6:$H$56&lt;&gt;"Skip")*IFERROR(N('Recurring Items'!$D$6:$D$56),0)*(('Recurring Items'!$E$6:$E$56="Monthly")*(DAY(AB429)='Recurring Items'!$F$6:$F$56)+('Recurring Items'!$E$6:$E$56="Bi-weekly")*(WEEKDAY(AB429)=IFERROR(WEEKDAY('Recurring Items'!$G$6:$G$56),0))*(MOD(AB429-IFERROR('Recurring Items'!$G$6:$G$56,0),14)=0)*(AB429&gt;=IFERROR('Recurring Items'!$G$6:$G$56,9000000000))+('Recurring Items'!$E$6:$E$56="Weekly")*(WEEKDAY(AB429)=IFERROR(WEEKDAY('Recurring Items'!$G$6:$G$56),0))*(AB429&gt;=IFERROR('Recurring Items'!$G$6:$G$56,9000000000))+('Recurring Items'!$E$6:$E$56="One-time")*(AB429='Recurring Items'!$G$6:$G$56)))</f>
        <v>0</v>
      </c>
      <c r="AE429" s="1" t="n">
        <f aca="false">SUMPRODUCT(('Recurring Items'!$C$6:$C$56="Expense")*('Recurring Items'!$H$6:$H$56&lt;&gt;"Skip")*IFERROR(N('Recurring Items'!$D$6:$D$56),0)*(('Recurring Items'!$E$6:$E$56="Monthly")*(DAY(AB429)='Recurring Items'!$F$6:$F$56)+('Recurring Items'!$E$6:$E$56="Bi-weekly")*(WEEKDAY(AB429)=IFERROR(WEEKDAY('Recurring Items'!$G$6:$G$56),0))*(MOD(AB429-IFERROR('Recurring Items'!$G$6:$G$56,0),14)=0)*(AB429&gt;=IFERROR('Recurring Items'!$G$6:$G$56,9000000000))+('Recurring Items'!$E$6:$E$56="Weekly")*(WEEKDAY(AB429)=IFERROR(WEEKDAY('Recurring Items'!$G$6:$G$56),0))*(AB429&gt;=IFERROR('Recurring Items'!$G$6:$G$56,9000000000))+('Recurring Items'!$E$6:$E$56="One-time")*(AB429='Recurring Items'!$G$6:$G$56)))</f>
        <v>342</v>
      </c>
      <c r="AF429" s="1" t="n">
        <f aca="false">(IF(AC429=1,'Debt Tracker'!$P$5&gt;0.01,INDEX('Debt Tracker'!$T$5:$AE$29,1,AC429-1)&gt;0.01))*('Recurring Items'!$H$8&lt;&gt;"Skip")*(DAY(AB429)='Recurring Items'!$F$8)*IFERROR(N('Recurring Items'!$D$8),0)+(IF(AC429=1,'Debt Tracker'!$P$6&gt;0.01,INDEX('Debt Tracker'!$T$5:$AE$29,2,AC429-1)&gt;0.01))*('Recurring Items'!$H$9&lt;&gt;"Skip")*(DAY(AB429)='Recurring Items'!$F$9)*IFERROR(N('Recurring Items'!$D$9),0)+(IF(AC429=1,'Debt Tracker'!$P$7&gt;0.01,INDEX('Debt Tracker'!$T$5:$AE$29,3,AC429-1)&gt;0.01))*('Recurring Items'!$H$10&lt;&gt;"Skip")*(DAY(AB429)='Recurring Items'!$F$10)*IFERROR(N('Recurring Items'!$D$10),0)+(IF(AC429=1,'Debt Tracker'!$P$8&gt;0.01,INDEX('Debt Tracker'!$T$5:$AE$29,4,AC429-1)&gt;0.01))*('Recurring Items'!$H$11&lt;&gt;"Skip")*(DAY(AB429)='Recurring Items'!$F$11)*IFERROR(N('Recurring Items'!$D$11),0)+(IF(AC429=1,'Debt Tracker'!$P$9&gt;0.01,INDEX('Debt Tracker'!$T$5:$AE$29,5,AC429-1)&gt;0.01))*('Recurring Items'!$H$12&lt;&gt;"Skip")*(DAY(AB429)='Recurring Items'!$F$12)*IFERROR(N('Recurring Items'!$D$12),0)+(IF(AC429=1,'Debt Tracker'!$P$10&gt;0.01,INDEX('Debt Tracker'!$T$5:$AE$29,6,AC429-1)&gt;0.01))*('Recurring Items'!$H$13&lt;&gt;"Skip")*(DAY(AB429)='Recurring Items'!$F$13)*IFERROR(N('Recurring Items'!$D$13),0)+(IF(AC429=1,'Debt Tracker'!$P$11&gt;0.01,INDEX('Debt Tracker'!$T$5:$AE$29,7,AC429-1)&gt;0.01))*('Recurring Items'!$H$14&lt;&gt;"Skip")*(DAY(AB429)='Recurring Items'!$F$14)*IFERROR(N('Recurring Items'!$D$14),0)+(IF(AC429=1,'Debt Tracker'!$P$12&gt;0.01,INDEX('Debt Tracker'!$T$5:$AE$29,8,AC429-1)&gt;0.01))*('Recurring Items'!$H$15&lt;&gt;"Skip")*(DAY(AB429)='Recurring Items'!$F$15)*IFERROR(N('Recurring Items'!$D$15),0)+(IF(AC429=1,'Debt Tracker'!$P$13&gt;0.01,INDEX('Debt Tracker'!$T$5:$AE$29,9,AC429-1)&gt;0.01))*('Recurring Items'!$H$16&lt;&gt;"Skip")*(DAY(AB429)='Recurring Items'!$F$16)*IFERROR(N('Recurring Items'!$D$16),0)+(IF(AC429=1,'Debt Tracker'!$P$14&gt;0.01,INDEX('Debt Tracker'!$T$5:$AE$29,10,AC429-1)&gt;0.01))*('Recurring Items'!$H$17&lt;&gt;"Skip")*(DAY(AB429)='Recurring Items'!$F$17)*IFERROR(N('Recurring Items'!$D$17),0)+(IF(AC429=1,'Debt Tracker'!$P$15&gt;0.01,INDEX('Debt Tracker'!$T$5:$AE$29,11,AC429-1)&gt;0.01))*('Recurring Items'!$H$18&lt;&gt;"Skip")*(DAY(AB429)='Recurring Items'!$F$18)*IFERROR(N('Recurring Items'!$D$18),0)+(IF(AC429=1,'Debt Tracker'!$P$16&gt;0.01,INDEX('Debt Tracker'!$T$5:$AE$29,12,AC429-1)&gt;0.01))*('Recurring Items'!$H$19&lt;&gt;"Skip")*(DAY(AB429)='Recurring Items'!$F$19)*IFERROR(N('Recurring Items'!$D$19),0)+(IF(AC429=1,'Debt Tracker'!$P$17&gt;0.01,INDEX('Debt Tracker'!$T$5:$AE$29,13,AC429-1)&gt;0.01))*('Recurring Items'!$H$20&lt;&gt;"Skip")*(DAY(AB429)='Recurring Items'!$F$20)*IFERROR(N('Recurring Items'!$D$20),0)+(IF(AC429=1,'Debt Tracker'!$P$18&gt;0.01,INDEX('Debt Tracker'!$T$5:$AE$29,14,AC429-1)&gt;0.01))*('Recurring Items'!$H$21&lt;&gt;"Skip")*(DAY(AB429)='Recurring Items'!$F$21)*IFERROR(N('Recurring Items'!$D$21),0)+(IF(AC429=1,'Debt Tracker'!$P$19&gt;0.01,INDEX('Debt Tracker'!$T$5:$AE$29,15,AC429-1)&gt;0.01))*('Recurring Items'!$H$22&lt;&gt;"Skip")*(DAY(AB429)='Recurring Items'!$F$22)*IFERROR(N('Recurring Items'!$D$22),0)+(IF(AC429=1,'Debt Tracker'!$P$20&gt;0.01,INDEX('Debt Tracker'!$T$5:$AE$29,16,AC429-1)&gt;0.01))*('Recurring Items'!$H$23&lt;&gt;"Skip")*(DAY(AB429)='Recurring Items'!$F$23)*IFERROR(N('Recurring Items'!$D$23),0)+(IF(AC429=1,'Debt Tracker'!$P$21&gt;0.01,INDEX('Debt Tracker'!$T$5:$AE$29,17,AC429-1)&gt;0.01))*('Recurring Items'!$H$24&lt;&gt;"Skip")*(DAY(AB429)='Recurring Items'!$F$24)*IFERROR(N('Recurring Items'!$D$24),0)+(IF(AC429=1,'Debt Tracker'!$P$22&gt;0.01,INDEX('Debt Tracker'!$T$5:$AE$29,18,AC429-1)&gt;0.01))*('Recurring Items'!$H$25&lt;&gt;"Skip")*(DAY(AB429)='Recurring Items'!$F$25)*IFERROR(N('Recurring Items'!$D$25),0)+(IF(AC429=1,'Debt Tracker'!$P$23&gt;0.01,INDEX('Debt Tracker'!$T$5:$AE$29,19,AC429-1)&gt;0.01))*('Recurring Items'!$H$26&lt;&gt;"Skip")*(DAY(AB429)='Recurring Items'!$F$26)*IFERROR(N('Recurring Items'!$D$26),0)+(IF(AC429=1,'Debt Tracker'!$P$24&gt;0.01,INDEX('Debt Tracker'!$T$5:$AE$29,20,AC429-1)&gt;0.01))*('Recurring Items'!$H$27&lt;&gt;"Skip")*(DAY(AB429)='Recurring Items'!$F$27)*IFERROR(N('Recurring Items'!$D$27),0)+(IF(AC429=1,'Debt Tracker'!$P$25&gt;0.01,INDEX('Debt Tracker'!$T$5:$AE$29,21,AC429-1)&gt;0.01))*('Recurring Items'!$H$28&lt;&gt;"Skip")*(DAY(AB429)='Recurring Items'!$F$28)*IFERROR(N('Recurring Items'!$D$28),0)+(IF(AC429=1,'Debt Tracker'!$P$26&gt;0.01,INDEX('Debt Tracker'!$T$5:$AE$29,22,AC429-1)&gt;0.01))*('Recurring Items'!$H$29&lt;&gt;"Skip")*(DAY(AB429)='Recurring Items'!$F$29)*IFERROR(N('Recurring Items'!$D$29),0)+(IF(AC429=1,'Debt Tracker'!$P$27&gt;0.01,INDEX('Debt Tracker'!$T$5:$AE$29,23,AC429-1)&gt;0.01))*('Recurring Items'!$H$30&lt;&gt;"Skip")*(DAY(AB429)='Recurring Items'!$F$30)*IFERROR(N('Recurring Items'!$D$30),0)+(IF(AC429=1,'Debt Tracker'!$P$28&gt;0.01,INDEX('Debt Tracker'!$T$5:$AE$29,24,AC429-1)&gt;0.01))*('Recurring Items'!$H$31&lt;&gt;"Skip")*(DAY(AB429)='Recurring Items'!$F$31)*IFERROR(N('Recurring Items'!$D$31),0)+(IF(AC429=1,'Debt Tracker'!$P$29&gt;0.01,INDEX('Debt Tracker'!$T$5:$AE$29,25,AC429-1)&gt;0.01))*('Recurring Items'!$H$32&lt;&gt;"Skip")*(DAY(AB429)='Recurring Items'!$F$32)*IFERROR(N('Recurring Items'!$D$32),0)</f>
        <v>99</v>
      </c>
      <c r="AG429" s="1" t="n">
        <f aca="false">AD429-AE429-AF429</f>
        <v>-441</v>
      </c>
      <c r="AH429" s="1" t="n">
        <f aca="false">AH428+AG429</f>
        <v>12862.72</v>
      </c>
    </row>
    <row r="430" customFormat="false" ht="15" hidden="false" customHeight="true" outlineLevel="0" collapsed="false">
      <c r="AA430" s="1" t="n">
        <v>230</v>
      </c>
      <c r="AB430" s="145" t="n">
        <f aca="false">$D$3+230</f>
        <v>46373</v>
      </c>
      <c r="AC430" s="1" t="n">
        <f aca="false">MIN(12,1+DATEDIF($D$3,AB430,"M"))</f>
        <v>8</v>
      </c>
      <c r="AD430" s="1" t="n">
        <f aca="false">SUMPRODUCT(('Recurring Items'!$C$6:$C$56="Income")*('Recurring Items'!$H$6:$H$56&lt;&gt;"Skip")*IFERROR(N('Recurring Items'!$D$6:$D$56),0)*(('Recurring Items'!$E$6:$E$56="Monthly")*(DAY(AB430)='Recurring Items'!$F$6:$F$56)+('Recurring Items'!$E$6:$E$56="Bi-weekly")*(WEEKDAY(AB430)=IFERROR(WEEKDAY('Recurring Items'!$G$6:$G$56),0))*(MOD(AB430-IFERROR('Recurring Items'!$G$6:$G$56,0),14)=0)*(AB430&gt;=IFERROR('Recurring Items'!$G$6:$G$56,9000000000))+('Recurring Items'!$E$6:$E$56="Weekly")*(WEEKDAY(AB430)=IFERROR(WEEKDAY('Recurring Items'!$G$6:$G$56),0))*(AB430&gt;=IFERROR('Recurring Items'!$G$6:$G$56,9000000000))+('Recurring Items'!$E$6:$E$56="One-time")*(AB430='Recurring Items'!$G$6:$G$56)))</f>
        <v>2274.42</v>
      </c>
      <c r="AE430" s="1" t="n">
        <f aca="false">SUMPRODUCT(('Recurring Items'!$C$6:$C$56="Expense")*('Recurring Items'!$H$6:$H$56&lt;&gt;"Skip")*IFERROR(N('Recurring Items'!$D$6:$D$56),0)*(('Recurring Items'!$E$6:$E$56="Monthly")*(DAY(AB430)='Recurring Items'!$F$6:$F$56)+('Recurring Items'!$E$6:$E$56="Bi-weekly")*(WEEKDAY(AB430)=IFERROR(WEEKDAY('Recurring Items'!$G$6:$G$56),0))*(MOD(AB430-IFERROR('Recurring Items'!$G$6:$G$56,0),14)=0)*(AB430&gt;=IFERROR('Recurring Items'!$G$6:$G$56,9000000000))+('Recurring Items'!$E$6:$E$56="Weekly")*(WEEKDAY(AB430)=IFERROR(WEEKDAY('Recurring Items'!$G$6:$G$56),0))*(AB430&gt;=IFERROR('Recurring Items'!$G$6:$G$56,9000000000))+('Recurring Items'!$E$6:$E$56="One-time")*(AB430='Recurring Items'!$G$6:$G$56)))</f>
        <v>0</v>
      </c>
      <c r="AF430" s="1" t="n">
        <f aca="false">(IF(AC430=1,'Debt Tracker'!$P$5&gt;0.01,INDEX('Debt Tracker'!$T$5:$AE$29,1,AC430-1)&gt;0.01))*('Recurring Items'!$H$8&lt;&gt;"Skip")*(DAY(AB430)='Recurring Items'!$F$8)*IFERROR(N('Recurring Items'!$D$8),0)+(IF(AC430=1,'Debt Tracker'!$P$6&gt;0.01,INDEX('Debt Tracker'!$T$5:$AE$29,2,AC430-1)&gt;0.01))*('Recurring Items'!$H$9&lt;&gt;"Skip")*(DAY(AB430)='Recurring Items'!$F$9)*IFERROR(N('Recurring Items'!$D$9),0)+(IF(AC430=1,'Debt Tracker'!$P$7&gt;0.01,INDEX('Debt Tracker'!$T$5:$AE$29,3,AC430-1)&gt;0.01))*('Recurring Items'!$H$10&lt;&gt;"Skip")*(DAY(AB430)='Recurring Items'!$F$10)*IFERROR(N('Recurring Items'!$D$10),0)+(IF(AC430=1,'Debt Tracker'!$P$8&gt;0.01,INDEX('Debt Tracker'!$T$5:$AE$29,4,AC430-1)&gt;0.01))*('Recurring Items'!$H$11&lt;&gt;"Skip")*(DAY(AB430)='Recurring Items'!$F$11)*IFERROR(N('Recurring Items'!$D$11),0)+(IF(AC430=1,'Debt Tracker'!$P$9&gt;0.01,INDEX('Debt Tracker'!$T$5:$AE$29,5,AC430-1)&gt;0.01))*('Recurring Items'!$H$12&lt;&gt;"Skip")*(DAY(AB430)='Recurring Items'!$F$12)*IFERROR(N('Recurring Items'!$D$12),0)+(IF(AC430=1,'Debt Tracker'!$P$10&gt;0.01,INDEX('Debt Tracker'!$T$5:$AE$29,6,AC430-1)&gt;0.01))*('Recurring Items'!$H$13&lt;&gt;"Skip")*(DAY(AB430)='Recurring Items'!$F$13)*IFERROR(N('Recurring Items'!$D$13),0)+(IF(AC430=1,'Debt Tracker'!$P$11&gt;0.01,INDEX('Debt Tracker'!$T$5:$AE$29,7,AC430-1)&gt;0.01))*('Recurring Items'!$H$14&lt;&gt;"Skip")*(DAY(AB430)='Recurring Items'!$F$14)*IFERROR(N('Recurring Items'!$D$14),0)+(IF(AC430=1,'Debt Tracker'!$P$12&gt;0.01,INDEX('Debt Tracker'!$T$5:$AE$29,8,AC430-1)&gt;0.01))*('Recurring Items'!$H$15&lt;&gt;"Skip")*(DAY(AB430)='Recurring Items'!$F$15)*IFERROR(N('Recurring Items'!$D$15),0)+(IF(AC430=1,'Debt Tracker'!$P$13&gt;0.01,INDEX('Debt Tracker'!$T$5:$AE$29,9,AC430-1)&gt;0.01))*('Recurring Items'!$H$16&lt;&gt;"Skip")*(DAY(AB430)='Recurring Items'!$F$16)*IFERROR(N('Recurring Items'!$D$16),0)+(IF(AC430=1,'Debt Tracker'!$P$14&gt;0.01,INDEX('Debt Tracker'!$T$5:$AE$29,10,AC430-1)&gt;0.01))*('Recurring Items'!$H$17&lt;&gt;"Skip")*(DAY(AB430)='Recurring Items'!$F$17)*IFERROR(N('Recurring Items'!$D$17),0)+(IF(AC430=1,'Debt Tracker'!$P$15&gt;0.01,INDEX('Debt Tracker'!$T$5:$AE$29,11,AC430-1)&gt;0.01))*('Recurring Items'!$H$18&lt;&gt;"Skip")*(DAY(AB430)='Recurring Items'!$F$18)*IFERROR(N('Recurring Items'!$D$18),0)+(IF(AC430=1,'Debt Tracker'!$P$16&gt;0.01,INDEX('Debt Tracker'!$T$5:$AE$29,12,AC430-1)&gt;0.01))*('Recurring Items'!$H$19&lt;&gt;"Skip")*(DAY(AB430)='Recurring Items'!$F$19)*IFERROR(N('Recurring Items'!$D$19),0)+(IF(AC430=1,'Debt Tracker'!$P$17&gt;0.01,INDEX('Debt Tracker'!$T$5:$AE$29,13,AC430-1)&gt;0.01))*('Recurring Items'!$H$20&lt;&gt;"Skip")*(DAY(AB430)='Recurring Items'!$F$20)*IFERROR(N('Recurring Items'!$D$20),0)+(IF(AC430=1,'Debt Tracker'!$P$18&gt;0.01,INDEX('Debt Tracker'!$T$5:$AE$29,14,AC430-1)&gt;0.01))*('Recurring Items'!$H$21&lt;&gt;"Skip")*(DAY(AB430)='Recurring Items'!$F$21)*IFERROR(N('Recurring Items'!$D$21),0)+(IF(AC430=1,'Debt Tracker'!$P$19&gt;0.01,INDEX('Debt Tracker'!$T$5:$AE$29,15,AC430-1)&gt;0.01))*('Recurring Items'!$H$22&lt;&gt;"Skip")*(DAY(AB430)='Recurring Items'!$F$22)*IFERROR(N('Recurring Items'!$D$22),0)+(IF(AC430=1,'Debt Tracker'!$P$20&gt;0.01,INDEX('Debt Tracker'!$T$5:$AE$29,16,AC430-1)&gt;0.01))*('Recurring Items'!$H$23&lt;&gt;"Skip")*(DAY(AB430)='Recurring Items'!$F$23)*IFERROR(N('Recurring Items'!$D$23),0)+(IF(AC430=1,'Debt Tracker'!$P$21&gt;0.01,INDEX('Debt Tracker'!$T$5:$AE$29,17,AC430-1)&gt;0.01))*('Recurring Items'!$H$24&lt;&gt;"Skip")*(DAY(AB430)='Recurring Items'!$F$24)*IFERROR(N('Recurring Items'!$D$24),0)+(IF(AC430=1,'Debt Tracker'!$P$22&gt;0.01,INDEX('Debt Tracker'!$T$5:$AE$29,18,AC430-1)&gt;0.01))*('Recurring Items'!$H$25&lt;&gt;"Skip")*(DAY(AB430)='Recurring Items'!$F$25)*IFERROR(N('Recurring Items'!$D$25),0)+(IF(AC430=1,'Debt Tracker'!$P$23&gt;0.01,INDEX('Debt Tracker'!$T$5:$AE$29,19,AC430-1)&gt;0.01))*('Recurring Items'!$H$26&lt;&gt;"Skip")*(DAY(AB430)='Recurring Items'!$F$26)*IFERROR(N('Recurring Items'!$D$26),0)+(IF(AC430=1,'Debt Tracker'!$P$24&gt;0.01,INDEX('Debt Tracker'!$T$5:$AE$29,20,AC430-1)&gt;0.01))*('Recurring Items'!$H$27&lt;&gt;"Skip")*(DAY(AB430)='Recurring Items'!$F$27)*IFERROR(N('Recurring Items'!$D$27),0)+(IF(AC430=1,'Debt Tracker'!$P$25&gt;0.01,INDEX('Debt Tracker'!$T$5:$AE$29,21,AC430-1)&gt;0.01))*('Recurring Items'!$H$28&lt;&gt;"Skip")*(DAY(AB430)='Recurring Items'!$F$28)*IFERROR(N('Recurring Items'!$D$28),0)+(IF(AC430=1,'Debt Tracker'!$P$26&gt;0.01,INDEX('Debt Tracker'!$T$5:$AE$29,22,AC430-1)&gt;0.01))*('Recurring Items'!$H$29&lt;&gt;"Skip")*(DAY(AB430)='Recurring Items'!$F$29)*IFERROR(N('Recurring Items'!$D$29),0)+(IF(AC430=1,'Debt Tracker'!$P$27&gt;0.01,INDEX('Debt Tracker'!$T$5:$AE$29,23,AC430-1)&gt;0.01))*('Recurring Items'!$H$30&lt;&gt;"Skip")*(DAY(AB430)='Recurring Items'!$F$30)*IFERROR(N('Recurring Items'!$D$30),0)+(IF(AC430=1,'Debt Tracker'!$P$28&gt;0.01,INDEX('Debt Tracker'!$T$5:$AE$29,24,AC430-1)&gt;0.01))*('Recurring Items'!$H$31&lt;&gt;"Skip")*(DAY(AB430)='Recurring Items'!$F$31)*IFERROR(N('Recurring Items'!$D$31),0)+(IF(AC430=1,'Debt Tracker'!$P$29&gt;0.01,INDEX('Debt Tracker'!$T$5:$AE$29,25,AC430-1)&gt;0.01))*('Recurring Items'!$H$32&lt;&gt;"Skip")*(DAY(AB430)='Recurring Items'!$F$32)*IFERROR(N('Recurring Items'!$D$32),0)</f>
        <v>0</v>
      </c>
      <c r="AG430" s="1" t="n">
        <f aca="false">AD430-AE430-AF430</f>
        <v>2274.42</v>
      </c>
      <c r="AH430" s="1" t="n">
        <f aca="false">AH429+AG430</f>
        <v>15137.14</v>
      </c>
    </row>
    <row r="431" customFormat="false" ht="15" hidden="false" customHeight="true" outlineLevel="0" collapsed="false">
      <c r="AA431" s="1" t="n">
        <v>231</v>
      </c>
      <c r="AB431" s="145" t="n">
        <f aca="false">$D$3+231</f>
        <v>46374</v>
      </c>
      <c r="AC431" s="1" t="n">
        <f aca="false">MIN(12,1+DATEDIF($D$3,AB431,"M"))</f>
        <v>8</v>
      </c>
      <c r="AD431" s="1" t="n">
        <f aca="false">SUMPRODUCT(('Recurring Items'!$C$6:$C$56="Income")*('Recurring Items'!$H$6:$H$56&lt;&gt;"Skip")*IFERROR(N('Recurring Items'!$D$6:$D$56),0)*(('Recurring Items'!$E$6:$E$56="Monthly")*(DAY(AB431)='Recurring Items'!$F$6:$F$56)+('Recurring Items'!$E$6:$E$56="Bi-weekly")*(WEEKDAY(AB431)=IFERROR(WEEKDAY('Recurring Items'!$G$6:$G$56),0))*(MOD(AB431-IFERROR('Recurring Items'!$G$6:$G$56,0),14)=0)*(AB431&gt;=IFERROR('Recurring Items'!$G$6:$G$56,9000000000))+('Recurring Items'!$E$6:$E$56="Weekly")*(WEEKDAY(AB431)=IFERROR(WEEKDAY('Recurring Items'!$G$6:$G$56),0))*(AB431&gt;=IFERROR('Recurring Items'!$G$6:$G$56,9000000000))+('Recurring Items'!$E$6:$E$56="One-time")*(AB431='Recurring Items'!$G$6:$G$56)))</f>
        <v>0</v>
      </c>
      <c r="AE431" s="1" t="n">
        <f aca="false">SUMPRODUCT(('Recurring Items'!$C$6:$C$56="Expense")*('Recurring Items'!$H$6:$H$56&lt;&gt;"Skip")*IFERROR(N('Recurring Items'!$D$6:$D$56),0)*(('Recurring Items'!$E$6:$E$56="Monthly")*(DAY(AB431)='Recurring Items'!$F$6:$F$56)+('Recurring Items'!$E$6:$E$56="Bi-weekly")*(WEEKDAY(AB431)=IFERROR(WEEKDAY('Recurring Items'!$G$6:$G$56),0))*(MOD(AB431-IFERROR('Recurring Items'!$G$6:$G$56,0),14)=0)*(AB431&gt;=IFERROR('Recurring Items'!$G$6:$G$56,9000000000))+('Recurring Items'!$E$6:$E$56="Weekly")*(WEEKDAY(AB431)=IFERROR(WEEKDAY('Recurring Items'!$G$6:$G$56),0))*(AB431&gt;=IFERROR('Recurring Items'!$G$6:$G$56,9000000000))+('Recurring Items'!$E$6:$E$56="One-time")*(AB431='Recurring Items'!$G$6:$G$56)))</f>
        <v>460</v>
      </c>
      <c r="AF431" s="1" t="n">
        <f aca="false">(IF(AC431=1,'Debt Tracker'!$P$5&gt;0.01,INDEX('Debt Tracker'!$T$5:$AE$29,1,AC431-1)&gt;0.01))*('Recurring Items'!$H$8&lt;&gt;"Skip")*(DAY(AB431)='Recurring Items'!$F$8)*IFERROR(N('Recurring Items'!$D$8),0)+(IF(AC431=1,'Debt Tracker'!$P$6&gt;0.01,INDEX('Debt Tracker'!$T$5:$AE$29,2,AC431-1)&gt;0.01))*('Recurring Items'!$H$9&lt;&gt;"Skip")*(DAY(AB431)='Recurring Items'!$F$9)*IFERROR(N('Recurring Items'!$D$9),0)+(IF(AC431=1,'Debt Tracker'!$P$7&gt;0.01,INDEX('Debt Tracker'!$T$5:$AE$29,3,AC431-1)&gt;0.01))*('Recurring Items'!$H$10&lt;&gt;"Skip")*(DAY(AB431)='Recurring Items'!$F$10)*IFERROR(N('Recurring Items'!$D$10),0)+(IF(AC431=1,'Debt Tracker'!$P$8&gt;0.01,INDEX('Debt Tracker'!$T$5:$AE$29,4,AC431-1)&gt;0.01))*('Recurring Items'!$H$11&lt;&gt;"Skip")*(DAY(AB431)='Recurring Items'!$F$11)*IFERROR(N('Recurring Items'!$D$11),0)+(IF(AC431=1,'Debt Tracker'!$P$9&gt;0.01,INDEX('Debt Tracker'!$T$5:$AE$29,5,AC431-1)&gt;0.01))*('Recurring Items'!$H$12&lt;&gt;"Skip")*(DAY(AB431)='Recurring Items'!$F$12)*IFERROR(N('Recurring Items'!$D$12),0)+(IF(AC431=1,'Debt Tracker'!$P$10&gt;0.01,INDEX('Debt Tracker'!$T$5:$AE$29,6,AC431-1)&gt;0.01))*('Recurring Items'!$H$13&lt;&gt;"Skip")*(DAY(AB431)='Recurring Items'!$F$13)*IFERROR(N('Recurring Items'!$D$13),0)+(IF(AC431=1,'Debt Tracker'!$P$11&gt;0.01,INDEX('Debt Tracker'!$T$5:$AE$29,7,AC431-1)&gt;0.01))*('Recurring Items'!$H$14&lt;&gt;"Skip")*(DAY(AB431)='Recurring Items'!$F$14)*IFERROR(N('Recurring Items'!$D$14),0)+(IF(AC431=1,'Debt Tracker'!$P$12&gt;0.01,INDEX('Debt Tracker'!$T$5:$AE$29,8,AC431-1)&gt;0.01))*('Recurring Items'!$H$15&lt;&gt;"Skip")*(DAY(AB431)='Recurring Items'!$F$15)*IFERROR(N('Recurring Items'!$D$15),0)+(IF(AC431=1,'Debt Tracker'!$P$13&gt;0.01,INDEX('Debt Tracker'!$T$5:$AE$29,9,AC431-1)&gt;0.01))*('Recurring Items'!$H$16&lt;&gt;"Skip")*(DAY(AB431)='Recurring Items'!$F$16)*IFERROR(N('Recurring Items'!$D$16),0)+(IF(AC431=1,'Debt Tracker'!$P$14&gt;0.01,INDEX('Debt Tracker'!$T$5:$AE$29,10,AC431-1)&gt;0.01))*('Recurring Items'!$H$17&lt;&gt;"Skip")*(DAY(AB431)='Recurring Items'!$F$17)*IFERROR(N('Recurring Items'!$D$17),0)+(IF(AC431=1,'Debt Tracker'!$P$15&gt;0.01,INDEX('Debt Tracker'!$T$5:$AE$29,11,AC431-1)&gt;0.01))*('Recurring Items'!$H$18&lt;&gt;"Skip")*(DAY(AB431)='Recurring Items'!$F$18)*IFERROR(N('Recurring Items'!$D$18),0)+(IF(AC431=1,'Debt Tracker'!$P$16&gt;0.01,INDEX('Debt Tracker'!$T$5:$AE$29,12,AC431-1)&gt;0.01))*('Recurring Items'!$H$19&lt;&gt;"Skip")*(DAY(AB431)='Recurring Items'!$F$19)*IFERROR(N('Recurring Items'!$D$19),0)+(IF(AC431=1,'Debt Tracker'!$P$17&gt;0.01,INDEX('Debt Tracker'!$T$5:$AE$29,13,AC431-1)&gt;0.01))*('Recurring Items'!$H$20&lt;&gt;"Skip")*(DAY(AB431)='Recurring Items'!$F$20)*IFERROR(N('Recurring Items'!$D$20),0)+(IF(AC431=1,'Debt Tracker'!$P$18&gt;0.01,INDEX('Debt Tracker'!$T$5:$AE$29,14,AC431-1)&gt;0.01))*('Recurring Items'!$H$21&lt;&gt;"Skip")*(DAY(AB431)='Recurring Items'!$F$21)*IFERROR(N('Recurring Items'!$D$21),0)+(IF(AC431=1,'Debt Tracker'!$P$19&gt;0.01,INDEX('Debt Tracker'!$T$5:$AE$29,15,AC431-1)&gt;0.01))*('Recurring Items'!$H$22&lt;&gt;"Skip")*(DAY(AB431)='Recurring Items'!$F$22)*IFERROR(N('Recurring Items'!$D$22),0)+(IF(AC431=1,'Debt Tracker'!$P$20&gt;0.01,INDEX('Debt Tracker'!$T$5:$AE$29,16,AC431-1)&gt;0.01))*('Recurring Items'!$H$23&lt;&gt;"Skip")*(DAY(AB431)='Recurring Items'!$F$23)*IFERROR(N('Recurring Items'!$D$23),0)+(IF(AC431=1,'Debt Tracker'!$P$21&gt;0.01,INDEX('Debt Tracker'!$T$5:$AE$29,17,AC431-1)&gt;0.01))*('Recurring Items'!$H$24&lt;&gt;"Skip")*(DAY(AB431)='Recurring Items'!$F$24)*IFERROR(N('Recurring Items'!$D$24),0)+(IF(AC431=1,'Debt Tracker'!$P$22&gt;0.01,INDEX('Debt Tracker'!$T$5:$AE$29,18,AC431-1)&gt;0.01))*('Recurring Items'!$H$25&lt;&gt;"Skip")*(DAY(AB431)='Recurring Items'!$F$25)*IFERROR(N('Recurring Items'!$D$25),0)+(IF(AC431=1,'Debt Tracker'!$P$23&gt;0.01,INDEX('Debt Tracker'!$T$5:$AE$29,19,AC431-1)&gt;0.01))*('Recurring Items'!$H$26&lt;&gt;"Skip")*(DAY(AB431)='Recurring Items'!$F$26)*IFERROR(N('Recurring Items'!$D$26),0)+(IF(AC431=1,'Debt Tracker'!$P$24&gt;0.01,INDEX('Debt Tracker'!$T$5:$AE$29,20,AC431-1)&gt;0.01))*('Recurring Items'!$H$27&lt;&gt;"Skip")*(DAY(AB431)='Recurring Items'!$F$27)*IFERROR(N('Recurring Items'!$D$27),0)+(IF(AC431=1,'Debt Tracker'!$P$25&gt;0.01,INDEX('Debt Tracker'!$T$5:$AE$29,21,AC431-1)&gt;0.01))*('Recurring Items'!$H$28&lt;&gt;"Skip")*(DAY(AB431)='Recurring Items'!$F$28)*IFERROR(N('Recurring Items'!$D$28),0)+(IF(AC431=1,'Debt Tracker'!$P$26&gt;0.01,INDEX('Debt Tracker'!$T$5:$AE$29,22,AC431-1)&gt;0.01))*('Recurring Items'!$H$29&lt;&gt;"Skip")*(DAY(AB431)='Recurring Items'!$F$29)*IFERROR(N('Recurring Items'!$D$29),0)+(IF(AC431=1,'Debt Tracker'!$P$27&gt;0.01,INDEX('Debt Tracker'!$T$5:$AE$29,23,AC431-1)&gt;0.01))*('Recurring Items'!$H$30&lt;&gt;"Skip")*(DAY(AB431)='Recurring Items'!$F$30)*IFERROR(N('Recurring Items'!$D$30),0)+(IF(AC431=1,'Debt Tracker'!$P$28&gt;0.01,INDEX('Debt Tracker'!$T$5:$AE$29,24,AC431-1)&gt;0.01))*('Recurring Items'!$H$31&lt;&gt;"Skip")*(DAY(AB431)='Recurring Items'!$F$31)*IFERROR(N('Recurring Items'!$D$31),0)+(IF(AC431=1,'Debt Tracker'!$P$29&gt;0.01,INDEX('Debt Tracker'!$T$5:$AE$29,25,AC431-1)&gt;0.01))*('Recurring Items'!$H$32&lt;&gt;"Skip")*(DAY(AB431)='Recurring Items'!$F$32)*IFERROR(N('Recurring Items'!$D$32),0)</f>
        <v>0</v>
      </c>
      <c r="AG431" s="1" t="n">
        <f aca="false">AD431-AE431-AF431</f>
        <v>-460</v>
      </c>
      <c r="AH431" s="1" t="n">
        <f aca="false">AH430+AG431</f>
        <v>14677.14</v>
      </c>
    </row>
    <row r="432" customFormat="false" ht="15" hidden="false" customHeight="true" outlineLevel="0" collapsed="false">
      <c r="AA432" s="1" t="n">
        <v>232</v>
      </c>
      <c r="AB432" s="145" t="n">
        <f aca="false">$D$3+232</f>
        <v>46375</v>
      </c>
      <c r="AC432" s="1" t="n">
        <f aca="false">MIN(12,1+DATEDIF($D$3,AB432,"M"))</f>
        <v>8</v>
      </c>
      <c r="AD432" s="1" t="n">
        <f aca="false">SUMPRODUCT(('Recurring Items'!$C$6:$C$56="Income")*('Recurring Items'!$H$6:$H$56&lt;&gt;"Skip")*IFERROR(N('Recurring Items'!$D$6:$D$56),0)*(('Recurring Items'!$E$6:$E$56="Monthly")*(DAY(AB432)='Recurring Items'!$F$6:$F$56)+('Recurring Items'!$E$6:$E$56="Bi-weekly")*(WEEKDAY(AB432)=IFERROR(WEEKDAY('Recurring Items'!$G$6:$G$56),0))*(MOD(AB432-IFERROR('Recurring Items'!$G$6:$G$56,0),14)=0)*(AB432&gt;=IFERROR('Recurring Items'!$G$6:$G$56,9000000000))+('Recurring Items'!$E$6:$E$56="Weekly")*(WEEKDAY(AB432)=IFERROR(WEEKDAY('Recurring Items'!$G$6:$G$56),0))*(AB432&gt;=IFERROR('Recurring Items'!$G$6:$G$56,9000000000))+('Recurring Items'!$E$6:$E$56="One-time")*(AB432='Recurring Items'!$G$6:$G$56)))</f>
        <v>0</v>
      </c>
      <c r="AE432" s="1" t="n">
        <f aca="false">SUMPRODUCT(('Recurring Items'!$C$6:$C$56="Expense")*('Recurring Items'!$H$6:$H$56&lt;&gt;"Skip")*IFERROR(N('Recurring Items'!$D$6:$D$56),0)*(('Recurring Items'!$E$6:$E$56="Monthly")*(DAY(AB432)='Recurring Items'!$F$6:$F$56)+('Recurring Items'!$E$6:$E$56="Bi-weekly")*(WEEKDAY(AB432)=IFERROR(WEEKDAY('Recurring Items'!$G$6:$G$56),0))*(MOD(AB432-IFERROR('Recurring Items'!$G$6:$G$56,0),14)=0)*(AB432&gt;=IFERROR('Recurring Items'!$G$6:$G$56,9000000000))+('Recurring Items'!$E$6:$E$56="Weekly")*(WEEKDAY(AB432)=IFERROR(WEEKDAY('Recurring Items'!$G$6:$G$56),0))*(AB432&gt;=IFERROR('Recurring Items'!$G$6:$G$56,9000000000))+('Recurring Items'!$E$6:$E$56="One-time")*(AB432='Recurring Items'!$G$6:$G$56)))</f>
        <v>0</v>
      </c>
      <c r="AF432" s="1" t="n">
        <f aca="false">(IF(AC432=1,'Debt Tracker'!$P$5&gt;0.01,INDEX('Debt Tracker'!$T$5:$AE$29,1,AC432-1)&gt;0.01))*('Recurring Items'!$H$8&lt;&gt;"Skip")*(DAY(AB432)='Recurring Items'!$F$8)*IFERROR(N('Recurring Items'!$D$8),0)+(IF(AC432=1,'Debt Tracker'!$P$6&gt;0.01,INDEX('Debt Tracker'!$T$5:$AE$29,2,AC432-1)&gt;0.01))*('Recurring Items'!$H$9&lt;&gt;"Skip")*(DAY(AB432)='Recurring Items'!$F$9)*IFERROR(N('Recurring Items'!$D$9),0)+(IF(AC432=1,'Debt Tracker'!$P$7&gt;0.01,INDEX('Debt Tracker'!$T$5:$AE$29,3,AC432-1)&gt;0.01))*('Recurring Items'!$H$10&lt;&gt;"Skip")*(DAY(AB432)='Recurring Items'!$F$10)*IFERROR(N('Recurring Items'!$D$10),0)+(IF(AC432=1,'Debt Tracker'!$P$8&gt;0.01,INDEX('Debt Tracker'!$T$5:$AE$29,4,AC432-1)&gt;0.01))*('Recurring Items'!$H$11&lt;&gt;"Skip")*(DAY(AB432)='Recurring Items'!$F$11)*IFERROR(N('Recurring Items'!$D$11),0)+(IF(AC432=1,'Debt Tracker'!$P$9&gt;0.01,INDEX('Debt Tracker'!$T$5:$AE$29,5,AC432-1)&gt;0.01))*('Recurring Items'!$H$12&lt;&gt;"Skip")*(DAY(AB432)='Recurring Items'!$F$12)*IFERROR(N('Recurring Items'!$D$12),0)+(IF(AC432=1,'Debt Tracker'!$P$10&gt;0.01,INDEX('Debt Tracker'!$T$5:$AE$29,6,AC432-1)&gt;0.01))*('Recurring Items'!$H$13&lt;&gt;"Skip")*(DAY(AB432)='Recurring Items'!$F$13)*IFERROR(N('Recurring Items'!$D$13),0)+(IF(AC432=1,'Debt Tracker'!$P$11&gt;0.01,INDEX('Debt Tracker'!$T$5:$AE$29,7,AC432-1)&gt;0.01))*('Recurring Items'!$H$14&lt;&gt;"Skip")*(DAY(AB432)='Recurring Items'!$F$14)*IFERROR(N('Recurring Items'!$D$14),0)+(IF(AC432=1,'Debt Tracker'!$P$12&gt;0.01,INDEX('Debt Tracker'!$T$5:$AE$29,8,AC432-1)&gt;0.01))*('Recurring Items'!$H$15&lt;&gt;"Skip")*(DAY(AB432)='Recurring Items'!$F$15)*IFERROR(N('Recurring Items'!$D$15),0)+(IF(AC432=1,'Debt Tracker'!$P$13&gt;0.01,INDEX('Debt Tracker'!$T$5:$AE$29,9,AC432-1)&gt;0.01))*('Recurring Items'!$H$16&lt;&gt;"Skip")*(DAY(AB432)='Recurring Items'!$F$16)*IFERROR(N('Recurring Items'!$D$16),0)+(IF(AC432=1,'Debt Tracker'!$P$14&gt;0.01,INDEX('Debt Tracker'!$T$5:$AE$29,10,AC432-1)&gt;0.01))*('Recurring Items'!$H$17&lt;&gt;"Skip")*(DAY(AB432)='Recurring Items'!$F$17)*IFERROR(N('Recurring Items'!$D$17),0)+(IF(AC432=1,'Debt Tracker'!$P$15&gt;0.01,INDEX('Debt Tracker'!$T$5:$AE$29,11,AC432-1)&gt;0.01))*('Recurring Items'!$H$18&lt;&gt;"Skip")*(DAY(AB432)='Recurring Items'!$F$18)*IFERROR(N('Recurring Items'!$D$18),0)+(IF(AC432=1,'Debt Tracker'!$P$16&gt;0.01,INDEX('Debt Tracker'!$T$5:$AE$29,12,AC432-1)&gt;0.01))*('Recurring Items'!$H$19&lt;&gt;"Skip")*(DAY(AB432)='Recurring Items'!$F$19)*IFERROR(N('Recurring Items'!$D$19),0)+(IF(AC432=1,'Debt Tracker'!$P$17&gt;0.01,INDEX('Debt Tracker'!$T$5:$AE$29,13,AC432-1)&gt;0.01))*('Recurring Items'!$H$20&lt;&gt;"Skip")*(DAY(AB432)='Recurring Items'!$F$20)*IFERROR(N('Recurring Items'!$D$20),0)+(IF(AC432=1,'Debt Tracker'!$P$18&gt;0.01,INDEX('Debt Tracker'!$T$5:$AE$29,14,AC432-1)&gt;0.01))*('Recurring Items'!$H$21&lt;&gt;"Skip")*(DAY(AB432)='Recurring Items'!$F$21)*IFERROR(N('Recurring Items'!$D$21),0)+(IF(AC432=1,'Debt Tracker'!$P$19&gt;0.01,INDEX('Debt Tracker'!$T$5:$AE$29,15,AC432-1)&gt;0.01))*('Recurring Items'!$H$22&lt;&gt;"Skip")*(DAY(AB432)='Recurring Items'!$F$22)*IFERROR(N('Recurring Items'!$D$22),0)+(IF(AC432=1,'Debt Tracker'!$P$20&gt;0.01,INDEX('Debt Tracker'!$T$5:$AE$29,16,AC432-1)&gt;0.01))*('Recurring Items'!$H$23&lt;&gt;"Skip")*(DAY(AB432)='Recurring Items'!$F$23)*IFERROR(N('Recurring Items'!$D$23),0)+(IF(AC432=1,'Debt Tracker'!$P$21&gt;0.01,INDEX('Debt Tracker'!$T$5:$AE$29,17,AC432-1)&gt;0.01))*('Recurring Items'!$H$24&lt;&gt;"Skip")*(DAY(AB432)='Recurring Items'!$F$24)*IFERROR(N('Recurring Items'!$D$24),0)+(IF(AC432=1,'Debt Tracker'!$P$22&gt;0.01,INDEX('Debt Tracker'!$T$5:$AE$29,18,AC432-1)&gt;0.01))*('Recurring Items'!$H$25&lt;&gt;"Skip")*(DAY(AB432)='Recurring Items'!$F$25)*IFERROR(N('Recurring Items'!$D$25),0)+(IF(AC432=1,'Debt Tracker'!$P$23&gt;0.01,INDEX('Debt Tracker'!$T$5:$AE$29,19,AC432-1)&gt;0.01))*('Recurring Items'!$H$26&lt;&gt;"Skip")*(DAY(AB432)='Recurring Items'!$F$26)*IFERROR(N('Recurring Items'!$D$26),0)+(IF(AC432=1,'Debt Tracker'!$P$24&gt;0.01,INDEX('Debt Tracker'!$T$5:$AE$29,20,AC432-1)&gt;0.01))*('Recurring Items'!$H$27&lt;&gt;"Skip")*(DAY(AB432)='Recurring Items'!$F$27)*IFERROR(N('Recurring Items'!$D$27),0)+(IF(AC432=1,'Debt Tracker'!$P$25&gt;0.01,INDEX('Debt Tracker'!$T$5:$AE$29,21,AC432-1)&gt;0.01))*('Recurring Items'!$H$28&lt;&gt;"Skip")*(DAY(AB432)='Recurring Items'!$F$28)*IFERROR(N('Recurring Items'!$D$28),0)+(IF(AC432=1,'Debt Tracker'!$P$26&gt;0.01,INDEX('Debt Tracker'!$T$5:$AE$29,22,AC432-1)&gt;0.01))*('Recurring Items'!$H$29&lt;&gt;"Skip")*(DAY(AB432)='Recurring Items'!$F$29)*IFERROR(N('Recurring Items'!$D$29),0)+(IF(AC432=1,'Debt Tracker'!$P$27&gt;0.01,INDEX('Debt Tracker'!$T$5:$AE$29,23,AC432-1)&gt;0.01))*('Recurring Items'!$H$30&lt;&gt;"Skip")*(DAY(AB432)='Recurring Items'!$F$30)*IFERROR(N('Recurring Items'!$D$30),0)+(IF(AC432=1,'Debt Tracker'!$P$28&gt;0.01,INDEX('Debt Tracker'!$T$5:$AE$29,24,AC432-1)&gt;0.01))*('Recurring Items'!$H$31&lt;&gt;"Skip")*(DAY(AB432)='Recurring Items'!$F$31)*IFERROR(N('Recurring Items'!$D$31),0)+(IF(AC432=1,'Debt Tracker'!$P$29&gt;0.01,INDEX('Debt Tracker'!$T$5:$AE$29,25,AC432-1)&gt;0.01))*('Recurring Items'!$H$32&lt;&gt;"Skip")*(DAY(AB432)='Recurring Items'!$F$32)*IFERROR(N('Recurring Items'!$D$32),0)</f>
        <v>0</v>
      </c>
      <c r="AG432" s="1" t="n">
        <f aca="false">AD432-AE432-AF432</f>
        <v>0</v>
      </c>
      <c r="AH432" s="1" t="n">
        <f aca="false">AH431+AG432</f>
        <v>14677.14</v>
      </c>
    </row>
    <row r="433" customFormat="false" ht="15" hidden="false" customHeight="true" outlineLevel="0" collapsed="false">
      <c r="AA433" s="1" t="n">
        <v>233</v>
      </c>
      <c r="AB433" s="145" t="n">
        <f aca="false">$D$3+233</f>
        <v>46376</v>
      </c>
      <c r="AC433" s="1" t="n">
        <f aca="false">MIN(12,1+DATEDIF($D$3,AB433,"M"))</f>
        <v>8</v>
      </c>
      <c r="AD433" s="1" t="n">
        <f aca="false">SUMPRODUCT(('Recurring Items'!$C$6:$C$56="Income")*('Recurring Items'!$H$6:$H$56&lt;&gt;"Skip")*IFERROR(N('Recurring Items'!$D$6:$D$56),0)*(('Recurring Items'!$E$6:$E$56="Monthly")*(DAY(AB433)='Recurring Items'!$F$6:$F$56)+('Recurring Items'!$E$6:$E$56="Bi-weekly")*(WEEKDAY(AB433)=IFERROR(WEEKDAY('Recurring Items'!$G$6:$G$56),0))*(MOD(AB433-IFERROR('Recurring Items'!$G$6:$G$56,0),14)=0)*(AB433&gt;=IFERROR('Recurring Items'!$G$6:$G$56,9000000000))+('Recurring Items'!$E$6:$E$56="Weekly")*(WEEKDAY(AB433)=IFERROR(WEEKDAY('Recurring Items'!$G$6:$G$56),0))*(AB433&gt;=IFERROR('Recurring Items'!$G$6:$G$56,9000000000))+('Recurring Items'!$E$6:$E$56="One-time")*(AB433='Recurring Items'!$G$6:$G$56)))</f>
        <v>0</v>
      </c>
      <c r="AE433" s="1" t="n">
        <f aca="false">SUMPRODUCT(('Recurring Items'!$C$6:$C$56="Expense")*('Recurring Items'!$H$6:$H$56&lt;&gt;"Skip")*IFERROR(N('Recurring Items'!$D$6:$D$56),0)*(('Recurring Items'!$E$6:$E$56="Monthly")*(DAY(AB433)='Recurring Items'!$F$6:$F$56)+('Recurring Items'!$E$6:$E$56="Bi-weekly")*(WEEKDAY(AB433)=IFERROR(WEEKDAY('Recurring Items'!$G$6:$G$56),0))*(MOD(AB433-IFERROR('Recurring Items'!$G$6:$G$56,0),14)=0)*(AB433&gt;=IFERROR('Recurring Items'!$G$6:$G$56,9000000000))+('Recurring Items'!$E$6:$E$56="Weekly")*(WEEKDAY(AB433)=IFERROR(WEEKDAY('Recurring Items'!$G$6:$G$56),0))*(AB433&gt;=IFERROR('Recurring Items'!$G$6:$G$56,9000000000))+('Recurring Items'!$E$6:$E$56="One-time")*(AB433='Recurring Items'!$G$6:$G$56)))</f>
        <v>0</v>
      </c>
      <c r="AF433" s="1" t="n">
        <f aca="false">(IF(AC433=1,'Debt Tracker'!$P$5&gt;0.01,INDEX('Debt Tracker'!$T$5:$AE$29,1,AC433-1)&gt;0.01))*('Recurring Items'!$H$8&lt;&gt;"Skip")*(DAY(AB433)='Recurring Items'!$F$8)*IFERROR(N('Recurring Items'!$D$8),0)+(IF(AC433=1,'Debt Tracker'!$P$6&gt;0.01,INDEX('Debt Tracker'!$T$5:$AE$29,2,AC433-1)&gt;0.01))*('Recurring Items'!$H$9&lt;&gt;"Skip")*(DAY(AB433)='Recurring Items'!$F$9)*IFERROR(N('Recurring Items'!$D$9),0)+(IF(AC433=1,'Debt Tracker'!$P$7&gt;0.01,INDEX('Debt Tracker'!$T$5:$AE$29,3,AC433-1)&gt;0.01))*('Recurring Items'!$H$10&lt;&gt;"Skip")*(DAY(AB433)='Recurring Items'!$F$10)*IFERROR(N('Recurring Items'!$D$10),0)+(IF(AC433=1,'Debt Tracker'!$P$8&gt;0.01,INDEX('Debt Tracker'!$T$5:$AE$29,4,AC433-1)&gt;0.01))*('Recurring Items'!$H$11&lt;&gt;"Skip")*(DAY(AB433)='Recurring Items'!$F$11)*IFERROR(N('Recurring Items'!$D$11),0)+(IF(AC433=1,'Debt Tracker'!$P$9&gt;0.01,INDEX('Debt Tracker'!$T$5:$AE$29,5,AC433-1)&gt;0.01))*('Recurring Items'!$H$12&lt;&gt;"Skip")*(DAY(AB433)='Recurring Items'!$F$12)*IFERROR(N('Recurring Items'!$D$12),0)+(IF(AC433=1,'Debt Tracker'!$P$10&gt;0.01,INDEX('Debt Tracker'!$T$5:$AE$29,6,AC433-1)&gt;0.01))*('Recurring Items'!$H$13&lt;&gt;"Skip")*(DAY(AB433)='Recurring Items'!$F$13)*IFERROR(N('Recurring Items'!$D$13),0)+(IF(AC433=1,'Debt Tracker'!$P$11&gt;0.01,INDEX('Debt Tracker'!$T$5:$AE$29,7,AC433-1)&gt;0.01))*('Recurring Items'!$H$14&lt;&gt;"Skip")*(DAY(AB433)='Recurring Items'!$F$14)*IFERROR(N('Recurring Items'!$D$14),0)+(IF(AC433=1,'Debt Tracker'!$P$12&gt;0.01,INDEX('Debt Tracker'!$T$5:$AE$29,8,AC433-1)&gt;0.01))*('Recurring Items'!$H$15&lt;&gt;"Skip")*(DAY(AB433)='Recurring Items'!$F$15)*IFERROR(N('Recurring Items'!$D$15),0)+(IF(AC433=1,'Debt Tracker'!$P$13&gt;0.01,INDEX('Debt Tracker'!$T$5:$AE$29,9,AC433-1)&gt;0.01))*('Recurring Items'!$H$16&lt;&gt;"Skip")*(DAY(AB433)='Recurring Items'!$F$16)*IFERROR(N('Recurring Items'!$D$16),0)+(IF(AC433=1,'Debt Tracker'!$P$14&gt;0.01,INDEX('Debt Tracker'!$T$5:$AE$29,10,AC433-1)&gt;0.01))*('Recurring Items'!$H$17&lt;&gt;"Skip")*(DAY(AB433)='Recurring Items'!$F$17)*IFERROR(N('Recurring Items'!$D$17),0)+(IF(AC433=1,'Debt Tracker'!$P$15&gt;0.01,INDEX('Debt Tracker'!$T$5:$AE$29,11,AC433-1)&gt;0.01))*('Recurring Items'!$H$18&lt;&gt;"Skip")*(DAY(AB433)='Recurring Items'!$F$18)*IFERROR(N('Recurring Items'!$D$18),0)+(IF(AC433=1,'Debt Tracker'!$P$16&gt;0.01,INDEX('Debt Tracker'!$T$5:$AE$29,12,AC433-1)&gt;0.01))*('Recurring Items'!$H$19&lt;&gt;"Skip")*(DAY(AB433)='Recurring Items'!$F$19)*IFERROR(N('Recurring Items'!$D$19),0)+(IF(AC433=1,'Debt Tracker'!$P$17&gt;0.01,INDEX('Debt Tracker'!$T$5:$AE$29,13,AC433-1)&gt;0.01))*('Recurring Items'!$H$20&lt;&gt;"Skip")*(DAY(AB433)='Recurring Items'!$F$20)*IFERROR(N('Recurring Items'!$D$20),0)+(IF(AC433=1,'Debt Tracker'!$P$18&gt;0.01,INDEX('Debt Tracker'!$T$5:$AE$29,14,AC433-1)&gt;0.01))*('Recurring Items'!$H$21&lt;&gt;"Skip")*(DAY(AB433)='Recurring Items'!$F$21)*IFERROR(N('Recurring Items'!$D$21),0)+(IF(AC433=1,'Debt Tracker'!$P$19&gt;0.01,INDEX('Debt Tracker'!$T$5:$AE$29,15,AC433-1)&gt;0.01))*('Recurring Items'!$H$22&lt;&gt;"Skip")*(DAY(AB433)='Recurring Items'!$F$22)*IFERROR(N('Recurring Items'!$D$22),0)+(IF(AC433=1,'Debt Tracker'!$P$20&gt;0.01,INDEX('Debt Tracker'!$T$5:$AE$29,16,AC433-1)&gt;0.01))*('Recurring Items'!$H$23&lt;&gt;"Skip")*(DAY(AB433)='Recurring Items'!$F$23)*IFERROR(N('Recurring Items'!$D$23),0)+(IF(AC433=1,'Debt Tracker'!$P$21&gt;0.01,INDEX('Debt Tracker'!$T$5:$AE$29,17,AC433-1)&gt;0.01))*('Recurring Items'!$H$24&lt;&gt;"Skip")*(DAY(AB433)='Recurring Items'!$F$24)*IFERROR(N('Recurring Items'!$D$24),0)+(IF(AC433=1,'Debt Tracker'!$P$22&gt;0.01,INDEX('Debt Tracker'!$T$5:$AE$29,18,AC433-1)&gt;0.01))*('Recurring Items'!$H$25&lt;&gt;"Skip")*(DAY(AB433)='Recurring Items'!$F$25)*IFERROR(N('Recurring Items'!$D$25),0)+(IF(AC433=1,'Debt Tracker'!$P$23&gt;0.01,INDEX('Debt Tracker'!$T$5:$AE$29,19,AC433-1)&gt;0.01))*('Recurring Items'!$H$26&lt;&gt;"Skip")*(DAY(AB433)='Recurring Items'!$F$26)*IFERROR(N('Recurring Items'!$D$26),0)+(IF(AC433=1,'Debt Tracker'!$P$24&gt;0.01,INDEX('Debt Tracker'!$T$5:$AE$29,20,AC433-1)&gt;0.01))*('Recurring Items'!$H$27&lt;&gt;"Skip")*(DAY(AB433)='Recurring Items'!$F$27)*IFERROR(N('Recurring Items'!$D$27),0)+(IF(AC433=1,'Debt Tracker'!$P$25&gt;0.01,INDEX('Debt Tracker'!$T$5:$AE$29,21,AC433-1)&gt;0.01))*('Recurring Items'!$H$28&lt;&gt;"Skip")*(DAY(AB433)='Recurring Items'!$F$28)*IFERROR(N('Recurring Items'!$D$28),0)+(IF(AC433=1,'Debt Tracker'!$P$26&gt;0.01,INDEX('Debt Tracker'!$T$5:$AE$29,22,AC433-1)&gt;0.01))*('Recurring Items'!$H$29&lt;&gt;"Skip")*(DAY(AB433)='Recurring Items'!$F$29)*IFERROR(N('Recurring Items'!$D$29),0)+(IF(AC433=1,'Debt Tracker'!$P$27&gt;0.01,INDEX('Debt Tracker'!$T$5:$AE$29,23,AC433-1)&gt;0.01))*('Recurring Items'!$H$30&lt;&gt;"Skip")*(DAY(AB433)='Recurring Items'!$F$30)*IFERROR(N('Recurring Items'!$D$30),0)+(IF(AC433=1,'Debt Tracker'!$P$28&gt;0.01,INDEX('Debt Tracker'!$T$5:$AE$29,24,AC433-1)&gt;0.01))*('Recurring Items'!$H$31&lt;&gt;"Skip")*(DAY(AB433)='Recurring Items'!$F$31)*IFERROR(N('Recurring Items'!$D$31),0)+(IF(AC433=1,'Debt Tracker'!$P$29&gt;0.01,INDEX('Debt Tracker'!$T$5:$AE$29,25,AC433-1)&gt;0.01))*('Recurring Items'!$H$32&lt;&gt;"Skip")*(DAY(AB433)='Recurring Items'!$F$32)*IFERROR(N('Recurring Items'!$D$32),0)</f>
        <v>18.22</v>
      </c>
      <c r="AG433" s="1" t="n">
        <f aca="false">AD433-AE433-AF433</f>
        <v>-18.22</v>
      </c>
      <c r="AH433" s="1" t="n">
        <f aca="false">AH432+AG433</f>
        <v>14658.92</v>
      </c>
    </row>
    <row r="434" customFormat="false" ht="15" hidden="false" customHeight="true" outlineLevel="0" collapsed="false">
      <c r="AA434" s="1" t="n">
        <v>234</v>
      </c>
      <c r="AB434" s="145" t="n">
        <f aca="false">$D$3+234</f>
        <v>46377</v>
      </c>
      <c r="AC434" s="1" t="n">
        <f aca="false">MIN(12,1+DATEDIF($D$3,AB434,"M"))</f>
        <v>8</v>
      </c>
      <c r="AD434" s="1" t="n">
        <f aca="false">SUMPRODUCT(('Recurring Items'!$C$6:$C$56="Income")*('Recurring Items'!$H$6:$H$56&lt;&gt;"Skip")*IFERROR(N('Recurring Items'!$D$6:$D$56),0)*(('Recurring Items'!$E$6:$E$56="Monthly")*(DAY(AB434)='Recurring Items'!$F$6:$F$56)+('Recurring Items'!$E$6:$E$56="Bi-weekly")*(WEEKDAY(AB434)=IFERROR(WEEKDAY('Recurring Items'!$G$6:$G$56),0))*(MOD(AB434-IFERROR('Recurring Items'!$G$6:$G$56,0),14)=0)*(AB434&gt;=IFERROR('Recurring Items'!$G$6:$G$56,9000000000))+('Recurring Items'!$E$6:$E$56="Weekly")*(WEEKDAY(AB434)=IFERROR(WEEKDAY('Recurring Items'!$G$6:$G$56),0))*(AB434&gt;=IFERROR('Recurring Items'!$G$6:$G$56,9000000000))+('Recurring Items'!$E$6:$E$56="One-time")*(AB434='Recurring Items'!$G$6:$G$56)))</f>
        <v>0</v>
      </c>
      <c r="AE434" s="1" t="n">
        <f aca="false">SUMPRODUCT(('Recurring Items'!$C$6:$C$56="Expense")*('Recurring Items'!$H$6:$H$56&lt;&gt;"Skip")*IFERROR(N('Recurring Items'!$D$6:$D$56),0)*(('Recurring Items'!$E$6:$E$56="Monthly")*(DAY(AB434)='Recurring Items'!$F$6:$F$56)+('Recurring Items'!$E$6:$E$56="Bi-weekly")*(WEEKDAY(AB434)=IFERROR(WEEKDAY('Recurring Items'!$G$6:$G$56),0))*(MOD(AB434-IFERROR('Recurring Items'!$G$6:$G$56,0),14)=0)*(AB434&gt;=IFERROR('Recurring Items'!$G$6:$G$56,9000000000))+('Recurring Items'!$E$6:$E$56="Weekly")*(WEEKDAY(AB434)=IFERROR(WEEKDAY('Recurring Items'!$G$6:$G$56),0))*(AB434&gt;=IFERROR('Recurring Items'!$G$6:$G$56,9000000000))+('Recurring Items'!$E$6:$E$56="One-time")*(AB434='Recurring Items'!$G$6:$G$56)))</f>
        <v>241</v>
      </c>
      <c r="AF434" s="1" t="n">
        <f aca="false">(IF(AC434=1,'Debt Tracker'!$P$5&gt;0.01,INDEX('Debt Tracker'!$T$5:$AE$29,1,AC434-1)&gt;0.01))*('Recurring Items'!$H$8&lt;&gt;"Skip")*(DAY(AB434)='Recurring Items'!$F$8)*IFERROR(N('Recurring Items'!$D$8),0)+(IF(AC434=1,'Debt Tracker'!$P$6&gt;0.01,INDEX('Debt Tracker'!$T$5:$AE$29,2,AC434-1)&gt;0.01))*('Recurring Items'!$H$9&lt;&gt;"Skip")*(DAY(AB434)='Recurring Items'!$F$9)*IFERROR(N('Recurring Items'!$D$9),0)+(IF(AC434=1,'Debt Tracker'!$P$7&gt;0.01,INDEX('Debt Tracker'!$T$5:$AE$29,3,AC434-1)&gt;0.01))*('Recurring Items'!$H$10&lt;&gt;"Skip")*(DAY(AB434)='Recurring Items'!$F$10)*IFERROR(N('Recurring Items'!$D$10),0)+(IF(AC434=1,'Debt Tracker'!$P$8&gt;0.01,INDEX('Debt Tracker'!$T$5:$AE$29,4,AC434-1)&gt;0.01))*('Recurring Items'!$H$11&lt;&gt;"Skip")*(DAY(AB434)='Recurring Items'!$F$11)*IFERROR(N('Recurring Items'!$D$11),0)+(IF(AC434=1,'Debt Tracker'!$P$9&gt;0.01,INDEX('Debt Tracker'!$T$5:$AE$29,5,AC434-1)&gt;0.01))*('Recurring Items'!$H$12&lt;&gt;"Skip")*(DAY(AB434)='Recurring Items'!$F$12)*IFERROR(N('Recurring Items'!$D$12),0)+(IF(AC434=1,'Debt Tracker'!$P$10&gt;0.01,INDEX('Debt Tracker'!$T$5:$AE$29,6,AC434-1)&gt;0.01))*('Recurring Items'!$H$13&lt;&gt;"Skip")*(DAY(AB434)='Recurring Items'!$F$13)*IFERROR(N('Recurring Items'!$D$13),0)+(IF(AC434=1,'Debt Tracker'!$P$11&gt;0.01,INDEX('Debt Tracker'!$T$5:$AE$29,7,AC434-1)&gt;0.01))*('Recurring Items'!$H$14&lt;&gt;"Skip")*(DAY(AB434)='Recurring Items'!$F$14)*IFERROR(N('Recurring Items'!$D$14),0)+(IF(AC434=1,'Debt Tracker'!$P$12&gt;0.01,INDEX('Debt Tracker'!$T$5:$AE$29,8,AC434-1)&gt;0.01))*('Recurring Items'!$H$15&lt;&gt;"Skip")*(DAY(AB434)='Recurring Items'!$F$15)*IFERROR(N('Recurring Items'!$D$15),0)+(IF(AC434=1,'Debt Tracker'!$P$13&gt;0.01,INDEX('Debt Tracker'!$T$5:$AE$29,9,AC434-1)&gt;0.01))*('Recurring Items'!$H$16&lt;&gt;"Skip")*(DAY(AB434)='Recurring Items'!$F$16)*IFERROR(N('Recurring Items'!$D$16),0)+(IF(AC434=1,'Debt Tracker'!$P$14&gt;0.01,INDEX('Debt Tracker'!$T$5:$AE$29,10,AC434-1)&gt;0.01))*('Recurring Items'!$H$17&lt;&gt;"Skip")*(DAY(AB434)='Recurring Items'!$F$17)*IFERROR(N('Recurring Items'!$D$17),0)+(IF(AC434=1,'Debt Tracker'!$P$15&gt;0.01,INDEX('Debt Tracker'!$T$5:$AE$29,11,AC434-1)&gt;0.01))*('Recurring Items'!$H$18&lt;&gt;"Skip")*(DAY(AB434)='Recurring Items'!$F$18)*IFERROR(N('Recurring Items'!$D$18),0)+(IF(AC434=1,'Debt Tracker'!$P$16&gt;0.01,INDEX('Debt Tracker'!$T$5:$AE$29,12,AC434-1)&gt;0.01))*('Recurring Items'!$H$19&lt;&gt;"Skip")*(DAY(AB434)='Recurring Items'!$F$19)*IFERROR(N('Recurring Items'!$D$19),0)+(IF(AC434=1,'Debt Tracker'!$P$17&gt;0.01,INDEX('Debt Tracker'!$T$5:$AE$29,13,AC434-1)&gt;0.01))*('Recurring Items'!$H$20&lt;&gt;"Skip")*(DAY(AB434)='Recurring Items'!$F$20)*IFERROR(N('Recurring Items'!$D$20),0)+(IF(AC434=1,'Debt Tracker'!$P$18&gt;0.01,INDEX('Debt Tracker'!$T$5:$AE$29,14,AC434-1)&gt;0.01))*('Recurring Items'!$H$21&lt;&gt;"Skip")*(DAY(AB434)='Recurring Items'!$F$21)*IFERROR(N('Recurring Items'!$D$21),0)+(IF(AC434=1,'Debt Tracker'!$P$19&gt;0.01,INDEX('Debt Tracker'!$T$5:$AE$29,15,AC434-1)&gt;0.01))*('Recurring Items'!$H$22&lt;&gt;"Skip")*(DAY(AB434)='Recurring Items'!$F$22)*IFERROR(N('Recurring Items'!$D$22),0)+(IF(AC434=1,'Debt Tracker'!$P$20&gt;0.01,INDEX('Debt Tracker'!$T$5:$AE$29,16,AC434-1)&gt;0.01))*('Recurring Items'!$H$23&lt;&gt;"Skip")*(DAY(AB434)='Recurring Items'!$F$23)*IFERROR(N('Recurring Items'!$D$23),0)+(IF(AC434=1,'Debt Tracker'!$P$21&gt;0.01,INDEX('Debt Tracker'!$T$5:$AE$29,17,AC434-1)&gt;0.01))*('Recurring Items'!$H$24&lt;&gt;"Skip")*(DAY(AB434)='Recurring Items'!$F$24)*IFERROR(N('Recurring Items'!$D$24),0)+(IF(AC434=1,'Debt Tracker'!$P$22&gt;0.01,INDEX('Debt Tracker'!$T$5:$AE$29,18,AC434-1)&gt;0.01))*('Recurring Items'!$H$25&lt;&gt;"Skip")*(DAY(AB434)='Recurring Items'!$F$25)*IFERROR(N('Recurring Items'!$D$25),0)+(IF(AC434=1,'Debt Tracker'!$P$23&gt;0.01,INDEX('Debt Tracker'!$T$5:$AE$29,19,AC434-1)&gt;0.01))*('Recurring Items'!$H$26&lt;&gt;"Skip")*(DAY(AB434)='Recurring Items'!$F$26)*IFERROR(N('Recurring Items'!$D$26),0)+(IF(AC434=1,'Debt Tracker'!$P$24&gt;0.01,INDEX('Debt Tracker'!$T$5:$AE$29,20,AC434-1)&gt;0.01))*('Recurring Items'!$H$27&lt;&gt;"Skip")*(DAY(AB434)='Recurring Items'!$F$27)*IFERROR(N('Recurring Items'!$D$27),0)+(IF(AC434=1,'Debt Tracker'!$P$25&gt;0.01,INDEX('Debt Tracker'!$T$5:$AE$29,21,AC434-1)&gt;0.01))*('Recurring Items'!$H$28&lt;&gt;"Skip")*(DAY(AB434)='Recurring Items'!$F$28)*IFERROR(N('Recurring Items'!$D$28),0)+(IF(AC434=1,'Debt Tracker'!$P$26&gt;0.01,INDEX('Debt Tracker'!$T$5:$AE$29,22,AC434-1)&gt;0.01))*('Recurring Items'!$H$29&lt;&gt;"Skip")*(DAY(AB434)='Recurring Items'!$F$29)*IFERROR(N('Recurring Items'!$D$29),0)+(IF(AC434=1,'Debt Tracker'!$P$27&gt;0.01,INDEX('Debt Tracker'!$T$5:$AE$29,23,AC434-1)&gt;0.01))*('Recurring Items'!$H$30&lt;&gt;"Skip")*(DAY(AB434)='Recurring Items'!$F$30)*IFERROR(N('Recurring Items'!$D$30),0)+(IF(AC434=1,'Debt Tracker'!$P$28&gt;0.01,INDEX('Debt Tracker'!$T$5:$AE$29,24,AC434-1)&gt;0.01))*('Recurring Items'!$H$31&lt;&gt;"Skip")*(DAY(AB434)='Recurring Items'!$F$31)*IFERROR(N('Recurring Items'!$D$31),0)+(IF(AC434=1,'Debt Tracker'!$P$29&gt;0.01,INDEX('Debt Tracker'!$T$5:$AE$29,25,AC434-1)&gt;0.01))*('Recurring Items'!$H$32&lt;&gt;"Skip")*(DAY(AB434)='Recurring Items'!$F$32)*IFERROR(N('Recurring Items'!$D$32),0)</f>
        <v>0</v>
      </c>
      <c r="AG434" s="1" t="n">
        <f aca="false">AD434-AE434-AF434</f>
        <v>-241</v>
      </c>
      <c r="AH434" s="1" t="n">
        <f aca="false">AH433+AG434</f>
        <v>14417.92</v>
      </c>
    </row>
    <row r="435" customFormat="false" ht="15" hidden="false" customHeight="true" outlineLevel="0" collapsed="false">
      <c r="AA435" s="1" t="n">
        <v>235</v>
      </c>
      <c r="AB435" s="145" t="n">
        <f aca="false">$D$3+235</f>
        <v>46378</v>
      </c>
      <c r="AC435" s="1" t="n">
        <f aca="false">MIN(12,1+DATEDIF($D$3,AB435,"M"))</f>
        <v>8</v>
      </c>
      <c r="AD435" s="1" t="n">
        <f aca="false">SUMPRODUCT(('Recurring Items'!$C$6:$C$56="Income")*('Recurring Items'!$H$6:$H$56&lt;&gt;"Skip")*IFERROR(N('Recurring Items'!$D$6:$D$56),0)*(('Recurring Items'!$E$6:$E$56="Monthly")*(DAY(AB435)='Recurring Items'!$F$6:$F$56)+('Recurring Items'!$E$6:$E$56="Bi-weekly")*(WEEKDAY(AB435)=IFERROR(WEEKDAY('Recurring Items'!$G$6:$G$56),0))*(MOD(AB435-IFERROR('Recurring Items'!$G$6:$G$56,0),14)=0)*(AB435&gt;=IFERROR('Recurring Items'!$G$6:$G$56,9000000000))+('Recurring Items'!$E$6:$E$56="Weekly")*(WEEKDAY(AB435)=IFERROR(WEEKDAY('Recurring Items'!$G$6:$G$56),0))*(AB435&gt;=IFERROR('Recurring Items'!$G$6:$G$56,9000000000))+('Recurring Items'!$E$6:$E$56="One-time")*(AB435='Recurring Items'!$G$6:$G$56)))</f>
        <v>0</v>
      </c>
      <c r="AE435" s="1" t="n">
        <f aca="false">SUMPRODUCT(('Recurring Items'!$C$6:$C$56="Expense")*('Recurring Items'!$H$6:$H$56&lt;&gt;"Skip")*IFERROR(N('Recurring Items'!$D$6:$D$56),0)*(('Recurring Items'!$E$6:$E$56="Monthly")*(DAY(AB435)='Recurring Items'!$F$6:$F$56)+('Recurring Items'!$E$6:$E$56="Bi-weekly")*(WEEKDAY(AB435)=IFERROR(WEEKDAY('Recurring Items'!$G$6:$G$56),0))*(MOD(AB435-IFERROR('Recurring Items'!$G$6:$G$56,0),14)=0)*(AB435&gt;=IFERROR('Recurring Items'!$G$6:$G$56,9000000000))+('Recurring Items'!$E$6:$E$56="Weekly")*(WEEKDAY(AB435)=IFERROR(WEEKDAY('Recurring Items'!$G$6:$G$56),0))*(AB435&gt;=IFERROR('Recurring Items'!$G$6:$G$56,9000000000))+('Recurring Items'!$E$6:$E$56="One-time")*(AB435='Recurring Items'!$G$6:$G$56)))</f>
        <v>0</v>
      </c>
      <c r="AF435" s="1" t="n">
        <f aca="false">(IF(AC435=1,'Debt Tracker'!$P$5&gt;0.01,INDEX('Debt Tracker'!$T$5:$AE$29,1,AC435-1)&gt;0.01))*('Recurring Items'!$H$8&lt;&gt;"Skip")*(DAY(AB435)='Recurring Items'!$F$8)*IFERROR(N('Recurring Items'!$D$8),0)+(IF(AC435=1,'Debt Tracker'!$P$6&gt;0.01,INDEX('Debt Tracker'!$T$5:$AE$29,2,AC435-1)&gt;0.01))*('Recurring Items'!$H$9&lt;&gt;"Skip")*(DAY(AB435)='Recurring Items'!$F$9)*IFERROR(N('Recurring Items'!$D$9),0)+(IF(AC435=1,'Debt Tracker'!$P$7&gt;0.01,INDEX('Debt Tracker'!$T$5:$AE$29,3,AC435-1)&gt;0.01))*('Recurring Items'!$H$10&lt;&gt;"Skip")*(DAY(AB435)='Recurring Items'!$F$10)*IFERROR(N('Recurring Items'!$D$10),0)+(IF(AC435=1,'Debt Tracker'!$P$8&gt;0.01,INDEX('Debt Tracker'!$T$5:$AE$29,4,AC435-1)&gt;0.01))*('Recurring Items'!$H$11&lt;&gt;"Skip")*(DAY(AB435)='Recurring Items'!$F$11)*IFERROR(N('Recurring Items'!$D$11),0)+(IF(AC435=1,'Debt Tracker'!$P$9&gt;0.01,INDEX('Debt Tracker'!$T$5:$AE$29,5,AC435-1)&gt;0.01))*('Recurring Items'!$H$12&lt;&gt;"Skip")*(DAY(AB435)='Recurring Items'!$F$12)*IFERROR(N('Recurring Items'!$D$12),0)+(IF(AC435=1,'Debt Tracker'!$P$10&gt;0.01,INDEX('Debt Tracker'!$T$5:$AE$29,6,AC435-1)&gt;0.01))*('Recurring Items'!$H$13&lt;&gt;"Skip")*(DAY(AB435)='Recurring Items'!$F$13)*IFERROR(N('Recurring Items'!$D$13),0)+(IF(AC435=1,'Debt Tracker'!$P$11&gt;0.01,INDEX('Debt Tracker'!$T$5:$AE$29,7,AC435-1)&gt;0.01))*('Recurring Items'!$H$14&lt;&gt;"Skip")*(DAY(AB435)='Recurring Items'!$F$14)*IFERROR(N('Recurring Items'!$D$14),0)+(IF(AC435=1,'Debt Tracker'!$P$12&gt;0.01,INDEX('Debt Tracker'!$T$5:$AE$29,8,AC435-1)&gt;0.01))*('Recurring Items'!$H$15&lt;&gt;"Skip")*(DAY(AB435)='Recurring Items'!$F$15)*IFERROR(N('Recurring Items'!$D$15),0)+(IF(AC435=1,'Debt Tracker'!$P$13&gt;0.01,INDEX('Debt Tracker'!$T$5:$AE$29,9,AC435-1)&gt;0.01))*('Recurring Items'!$H$16&lt;&gt;"Skip")*(DAY(AB435)='Recurring Items'!$F$16)*IFERROR(N('Recurring Items'!$D$16),0)+(IF(AC435=1,'Debt Tracker'!$P$14&gt;0.01,INDEX('Debt Tracker'!$T$5:$AE$29,10,AC435-1)&gt;0.01))*('Recurring Items'!$H$17&lt;&gt;"Skip")*(DAY(AB435)='Recurring Items'!$F$17)*IFERROR(N('Recurring Items'!$D$17),0)+(IF(AC435=1,'Debt Tracker'!$P$15&gt;0.01,INDEX('Debt Tracker'!$T$5:$AE$29,11,AC435-1)&gt;0.01))*('Recurring Items'!$H$18&lt;&gt;"Skip")*(DAY(AB435)='Recurring Items'!$F$18)*IFERROR(N('Recurring Items'!$D$18),0)+(IF(AC435=1,'Debt Tracker'!$P$16&gt;0.01,INDEX('Debt Tracker'!$T$5:$AE$29,12,AC435-1)&gt;0.01))*('Recurring Items'!$H$19&lt;&gt;"Skip")*(DAY(AB435)='Recurring Items'!$F$19)*IFERROR(N('Recurring Items'!$D$19),0)+(IF(AC435=1,'Debt Tracker'!$P$17&gt;0.01,INDEX('Debt Tracker'!$T$5:$AE$29,13,AC435-1)&gt;0.01))*('Recurring Items'!$H$20&lt;&gt;"Skip")*(DAY(AB435)='Recurring Items'!$F$20)*IFERROR(N('Recurring Items'!$D$20),0)+(IF(AC435=1,'Debt Tracker'!$P$18&gt;0.01,INDEX('Debt Tracker'!$T$5:$AE$29,14,AC435-1)&gt;0.01))*('Recurring Items'!$H$21&lt;&gt;"Skip")*(DAY(AB435)='Recurring Items'!$F$21)*IFERROR(N('Recurring Items'!$D$21),0)+(IF(AC435=1,'Debt Tracker'!$P$19&gt;0.01,INDEX('Debt Tracker'!$T$5:$AE$29,15,AC435-1)&gt;0.01))*('Recurring Items'!$H$22&lt;&gt;"Skip")*(DAY(AB435)='Recurring Items'!$F$22)*IFERROR(N('Recurring Items'!$D$22),0)+(IF(AC435=1,'Debt Tracker'!$P$20&gt;0.01,INDEX('Debt Tracker'!$T$5:$AE$29,16,AC435-1)&gt;0.01))*('Recurring Items'!$H$23&lt;&gt;"Skip")*(DAY(AB435)='Recurring Items'!$F$23)*IFERROR(N('Recurring Items'!$D$23),0)+(IF(AC435=1,'Debt Tracker'!$P$21&gt;0.01,INDEX('Debt Tracker'!$T$5:$AE$29,17,AC435-1)&gt;0.01))*('Recurring Items'!$H$24&lt;&gt;"Skip")*(DAY(AB435)='Recurring Items'!$F$24)*IFERROR(N('Recurring Items'!$D$24),0)+(IF(AC435=1,'Debt Tracker'!$P$22&gt;0.01,INDEX('Debt Tracker'!$T$5:$AE$29,18,AC435-1)&gt;0.01))*('Recurring Items'!$H$25&lt;&gt;"Skip")*(DAY(AB435)='Recurring Items'!$F$25)*IFERROR(N('Recurring Items'!$D$25),0)+(IF(AC435=1,'Debt Tracker'!$P$23&gt;0.01,INDEX('Debt Tracker'!$T$5:$AE$29,19,AC435-1)&gt;0.01))*('Recurring Items'!$H$26&lt;&gt;"Skip")*(DAY(AB435)='Recurring Items'!$F$26)*IFERROR(N('Recurring Items'!$D$26),0)+(IF(AC435=1,'Debt Tracker'!$P$24&gt;0.01,INDEX('Debt Tracker'!$T$5:$AE$29,20,AC435-1)&gt;0.01))*('Recurring Items'!$H$27&lt;&gt;"Skip")*(DAY(AB435)='Recurring Items'!$F$27)*IFERROR(N('Recurring Items'!$D$27),0)+(IF(AC435=1,'Debt Tracker'!$P$25&gt;0.01,INDEX('Debt Tracker'!$T$5:$AE$29,21,AC435-1)&gt;0.01))*('Recurring Items'!$H$28&lt;&gt;"Skip")*(DAY(AB435)='Recurring Items'!$F$28)*IFERROR(N('Recurring Items'!$D$28),0)+(IF(AC435=1,'Debt Tracker'!$P$26&gt;0.01,INDEX('Debt Tracker'!$T$5:$AE$29,22,AC435-1)&gt;0.01))*('Recurring Items'!$H$29&lt;&gt;"Skip")*(DAY(AB435)='Recurring Items'!$F$29)*IFERROR(N('Recurring Items'!$D$29),0)+(IF(AC435=1,'Debt Tracker'!$P$27&gt;0.01,INDEX('Debt Tracker'!$T$5:$AE$29,23,AC435-1)&gt;0.01))*('Recurring Items'!$H$30&lt;&gt;"Skip")*(DAY(AB435)='Recurring Items'!$F$30)*IFERROR(N('Recurring Items'!$D$30),0)+(IF(AC435=1,'Debt Tracker'!$P$28&gt;0.01,INDEX('Debt Tracker'!$T$5:$AE$29,24,AC435-1)&gt;0.01))*('Recurring Items'!$H$31&lt;&gt;"Skip")*(DAY(AB435)='Recurring Items'!$F$31)*IFERROR(N('Recurring Items'!$D$31),0)+(IF(AC435=1,'Debt Tracker'!$P$29&gt;0.01,INDEX('Debt Tracker'!$T$5:$AE$29,25,AC435-1)&gt;0.01))*('Recurring Items'!$H$32&lt;&gt;"Skip")*(DAY(AB435)='Recurring Items'!$F$32)*IFERROR(N('Recurring Items'!$D$32),0)</f>
        <v>0</v>
      </c>
      <c r="AG435" s="1" t="n">
        <f aca="false">AD435-AE435-AF435</f>
        <v>0</v>
      </c>
      <c r="AH435" s="1" t="n">
        <f aca="false">AH434+AG435</f>
        <v>14417.92</v>
      </c>
    </row>
    <row r="436" customFormat="false" ht="15" hidden="false" customHeight="true" outlineLevel="0" collapsed="false">
      <c r="AA436" s="1" t="n">
        <v>236</v>
      </c>
      <c r="AB436" s="145" t="n">
        <f aca="false">$D$3+236</f>
        <v>46379</v>
      </c>
      <c r="AC436" s="1" t="n">
        <f aca="false">MIN(12,1+DATEDIF($D$3,AB436,"M"))</f>
        <v>8</v>
      </c>
      <c r="AD436" s="1" t="n">
        <f aca="false">SUMPRODUCT(('Recurring Items'!$C$6:$C$56="Income")*('Recurring Items'!$H$6:$H$56&lt;&gt;"Skip")*IFERROR(N('Recurring Items'!$D$6:$D$56),0)*(('Recurring Items'!$E$6:$E$56="Monthly")*(DAY(AB436)='Recurring Items'!$F$6:$F$56)+('Recurring Items'!$E$6:$E$56="Bi-weekly")*(WEEKDAY(AB436)=IFERROR(WEEKDAY('Recurring Items'!$G$6:$G$56),0))*(MOD(AB436-IFERROR('Recurring Items'!$G$6:$G$56,0),14)=0)*(AB436&gt;=IFERROR('Recurring Items'!$G$6:$G$56,9000000000))+('Recurring Items'!$E$6:$E$56="Weekly")*(WEEKDAY(AB436)=IFERROR(WEEKDAY('Recurring Items'!$G$6:$G$56),0))*(AB436&gt;=IFERROR('Recurring Items'!$G$6:$G$56,9000000000))+('Recurring Items'!$E$6:$E$56="One-time")*(AB436='Recurring Items'!$G$6:$G$56)))</f>
        <v>0</v>
      </c>
      <c r="AE436" s="1" t="n">
        <f aca="false">SUMPRODUCT(('Recurring Items'!$C$6:$C$56="Expense")*('Recurring Items'!$H$6:$H$56&lt;&gt;"Skip")*IFERROR(N('Recurring Items'!$D$6:$D$56),0)*(('Recurring Items'!$E$6:$E$56="Monthly")*(DAY(AB436)='Recurring Items'!$F$6:$F$56)+('Recurring Items'!$E$6:$E$56="Bi-weekly")*(WEEKDAY(AB436)=IFERROR(WEEKDAY('Recurring Items'!$G$6:$G$56),0))*(MOD(AB436-IFERROR('Recurring Items'!$G$6:$G$56,0),14)=0)*(AB436&gt;=IFERROR('Recurring Items'!$G$6:$G$56,9000000000))+('Recurring Items'!$E$6:$E$56="Weekly")*(WEEKDAY(AB436)=IFERROR(WEEKDAY('Recurring Items'!$G$6:$G$56),0))*(AB436&gt;=IFERROR('Recurring Items'!$G$6:$G$56,9000000000))+('Recurring Items'!$E$6:$E$56="One-time")*(AB436='Recurring Items'!$G$6:$G$56)))</f>
        <v>0</v>
      </c>
      <c r="AF436" s="1" t="n">
        <f aca="false">(IF(AC436=1,'Debt Tracker'!$P$5&gt;0.01,INDEX('Debt Tracker'!$T$5:$AE$29,1,AC436-1)&gt;0.01))*('Recurring Items'!$H$8&lt;&gt;"Skip")*(DAY(AB436)='Recurring Items'!$F$8)*IFERROR(N('Recurring Items'!$D$8),0)+(IF(AC436=1,'Debt Tracker'!$P$6&gt;0.01,INDEX('Debt Tracker'!$T$5:$AE$29,2,AC436-1)&gt;0.01))*('Recurring Items'!$H$9&lt;&gt;"Skip")*(DAY(AB436)='Recurring Items'!$F$9)*IFERROR(N('Recurring Items'!$D$9),0)+(IF(AC436=1,'Debt Tracker'!$P$7&gt;0.01,INDEX('Debt Tracker'!$T$5:$AE$29,3,AC436-1)&gt;0.01))*('Recurring Items'!$H$10&lt;&gt;"Skip")*(DAY(AB436)='Recurring Items'!$F$10)*IFERROR(N('Recurring Items'!$D$10),0)+(IF(AC436=1,'Debt Tracker'!$P$8&gt;0.01,INDEX('Debt Tracker'!$T$5:$AE$29,4,AC436-1)&gt;0.01))*('Recurring Items'!$H$11&lt;&gt;"Skip")*(DAY(AB436)='Recurring Items'!$F$11)*IFERROR(N('Recurring Items'!$D$11),0)+(IF(AC436=1,'Debt Tracker'!$P$9&gt;0.01,INDEX('Debt Tracker'!$T$5:$AE$29,5,AC436-1)&gt;0.01))*('Recurring Items'!$H$12&lt;&gt;"Skip")*(DAY(AB436)='Recurring Items'!$F$12)*IFERROR(N('Recurring Items'!$D$12),0)+(IF(AC436=1,'Debt Tracker'!$P$10&gt;0.01,INDEX('Debt Tracker'!$T$5:$AE$29,6,AC436-1)&gt;0.01))*('Recurring Items'!$H$13&lt;&gt;"Skip")*(DAY(AB436)='Recurring Items'!$F$13)*IFERROR(N('Recurring Items'!$D$13),0)+(IF(AC436=1,'Debt Tracker'!$P$11&gt;0.01,INDEX('Debt Tracker'!$T$5:$AE$29,7,AC436-1)&gt;0.01))*('Recurring Items'!$H$14&lt;&gt;"Skip")*(DAY(AB436)='Recurring Items'!$F$14)*IFERROR(N('Recurring Items'!$D$14),0)+(IF(AC436=1,'Debt Tracker'!$P$12&gt;0.01,INDEX('Debt Tracker'!$T$5:$AE$29,8,AC436-1)&gt;0.01))*('Recurring Items'!$H$15&lt;&gt;"Skip")*(DAY(AB436)='Recurring Items'!$F$15)*IFERROR(N('Recurring Items'!$D$15),0)+(IF(AC436=1,'Debt Tracker'!$P$13&gt;0.01,INDEX('Debt Tracker'!$T$5:$AE$29,9,AC436-1)&gt;0.01))*('Recurring Items'!$H$16&lt;&gt;"Skip")*(DAY(AB436)='Recurring Items'!$F$16)*IFERROR(N('Recurring Items'!$D$16),0)+(IF(AC436=1,'Debt Tracker'!$P$14&gt;0.01,INDEX('Debt Tracker'!$T$5:$AE$29,10,AC436-1)&gt;0.01))*('Recurring Items'!$H$17&lt;&gt;"Skip")*(DAY(AB436)='Recurring Items'!$F$17)*IFERROR(N('Recurring Items'!$D$17),0)+(IF(AC436=1,'Debt Tracker'!$P$15&gt;0.01,INDEX('Debt Tracker'!$T$5:$AE$29,11,AC436-1)&gt;0.01))*('Recurring Items'!$H$18&lt;&gt;"Skip")*(DAY(AB436)='Recurring Items'!$F$18)*IFERROR(N('Recurring Items'!$D$18),0)+(IF(AC436=1,'Debt Tracker'!$P$16&gt;0.01,INDEX('Debt Tracker'!$T$5:$AE$29,12,AC436-1)&gt;0.01))*('Recurring Items'!$H$19&lt;&gt;"Skip")*(DAY(AB436)='Recurring Items'!$F$19)*IFERROR(N('Recurring Items'!$D$19),0)+(IF(AC436=1,'Debt Tracker'!$P$17&gt;0.01,INDEX('Debt Tracker'!$T$5:$AE$29,13,AC436-1)&gt;0.01))*('Recurring Items'!$H$20&lt;&gt;"Skip")*(DAY(AB436)='Recurring Items'!$F$20)*IFERROR(N('Recurring Items'!$D$20),0)+(IF(AC436=1,'Debt Tracker'!$P$18&gt;0.01,INDEX('Debt Tracker'!$T$5:$AE$29,14,AC436-1)&gt;0.01))*('Recurring Items'!$H$21&lt;&gt;"Skip")*(DAY(AB436)='Recurring Items'!$F$21)*IFERROR(N('Recurring Items'!$D$21),0)+(IF(AC436=1,'Debt Tracker'!$P$19&gt;0.01,INDEX('Debt Tracker'!$T$5:$AE$29,15,AC436-1)&gt;0.01))*('Recurring Items'!$H$22&lt;&gt;"Skip")*(DAY(AB436)='Recurring Items'!$F$22)*IFERROR(N('Recurring Items'!$D$22),0)+(IF(AC436=1,'Debt Tracker'!$P$20&gt;0.01,INDEX('Debt Tracker'!$T$5:$AE$29,16,AC436-1)&gt;0.01))*('Recurring Items'!$H$23&lt;&gt;"Skip")*(DAY(AB436)='Recurring Items'!$F$23)*IFERROR(N('Recurring Items'!$D$23),0)+(IF(AC436=1,'Debt Tracker'!$P$21&gt;0.01,INDEX('Debt Tracker'!$T$5:$AE$29,17,AC436-1)&gt;0.01))*('Recurring Items'!$H$24&lt;&gt;"Skip")*(DAY(AB436)='Recurring Items'!$F$24)*IFERROR(N('Recurring Items'!$D$24),0)+(IF(AC436=1,'Debt Tracker'!$P$22&gt;0.01,INDEX('Debt Tracker'!$T$5:$AE$29,18,AC436-1)&gt;0.01))*('Recurring Items'!$H$25&lt;&gt;"Skip")*(DAY(AB436)='Recurring Items'!$F$25)*IFERROR(N('Recurring Items'!$D$25),0)+(IF(AC436=1,'Debt Tracker'!$P$23&gt;0.01,INDEX('Debt Tracker'!$T$5:$AE$29,19,AC436-1)&gt;0.01))*('Recurring Items'!$H$26&lt;&gt;"Skip")*(DAY(AB436)='Recurring Items'!$F$26)*IFERROR(N('Recurring Items'!$D$26),0)+(IF(AC436=1,'Debt Tracker'!$P$24&gt;0.01,INDEX('Debt Tracker'!$T$5:$AE$29,20,AC436-1)&gt;0.01))*('Recurring Items'!$H$27&lt;&gt;"Skip")*(DAY(AB436)='Recurring Items'!$F$27)*IFERROR(N('Recurring Items'!$D$27),0)+(IF(AC436=1,'Debt Tracker'!$P$25&gt;0.01,INDEX('Debt Tracker'!$T$5:$AE$29,21,AC436-1)&gt;0.01))*('Recurring Items'!$H$28&lt;&gt;"Skip")*(DAY(AB436)='Recurring Items'!$F$28)*IFERROR(N('Recurring Items'!$D$28),0)+(IF(AC436=1,'Debt Tracker'!$P$26&gt;0.01,INDEX('Debt Tracker'!$T$5:$AE$29,22,AC436-1)&gt;0.01))*('Recurring Items'!$H$29&lt;&gt;"Skip")*(DAY(AB436)='Recurring Items'!$F$29)*IFERROR(N('Recurring Items'!$D$29),0)+(IF(AC436=1,'Debt Tracker'!$P$27&gt;0.01,INDEX('Debt Tracker'!$T$5:$AE$29,23,AC436-1)&gt;0.01))*('Recurring Items'!$H$30&lt;&gt;"Skip")*(DAY(AB436)='Recurring Items'!$F$30)*IFERROR(N('Recurring Items'!$D$30),0)+(IF(AC436=1,'Debt Tracker'!$P$28&gt;0.01,INDEX('Debt Tracker'!$T$5:$AE$29,24,AC436-1)&gt;0.01))*('Recurring Items'!$H$31&lt;&gt;"Skip")*(DAY(AB436)='Recurring Items'!$F$31)*IFERROR(N('Recurring Items'!$D$31),0)+(IF(AC436=1,'Debt Tracker'!$P$29&gt;0.01,INDEX('Debt Tracker'!$T$5:$AE$29,25,AC436-1)&gt;0.01))*('Recurring Items'!$H$32&lt;&gt;"Skip")*(DAY(AB436)='Recurring Items'!$F$32)*IFERROR(N('Recurring Items'!$D$32),0)</f>
        <v>0</v>
      </c>
      <c r="AG436" s="1" t="n">
        <f aca="false">AD436-AE436-AF436</f>
        <v>0</v>
      </c>
      <c r="AH436" s="1" t="n">
        <f aca="false">AH435+AG436</f>
        <v>14417.92</v>
      </c>
    </row>
    <row r="437" customFormat="false" ht="15" hidden="false" customHeight="true" outlineLevel="0" collapsed="false">
      <c r="AA437" s="1" t="n">
        <v>237</v>
      </c>
      <c r="AB437" s="145" t="n">
        <f aca="false">$D$3+237</f>
        <v>46380</v>
      </c>
      <c r="AC437" s="1" t="n">
        <f aca="false">MIN(12,1+DATEDIF($D$3,AB437,"M"))</f>
        <v>8</v>
      </c>
      <c r="AD437" s="1" t="n">
        <f aca="false">SUMPRODUCT(('Recurring Items'!$C$6:$C$56="Income")*('Recurring Items'!$H$6:$H$56&lt;&gt;"Skip")*IFERROR(N('Recurring Items'!$D$6:$D$56),0)*(('Recurring Items'!$E$6:$E$56="Monthly")*(DAY(AB437)='Recurring Items'!$F$6:$F$56)+('Recurring Items'!$E$6:$E$56="Bi-weekly")*(WEEKDAY(AB437)=IFERROR(WEEKDAY('Recurring Items'!$G$6:$G$56),0))*(MOD(AB437-IFERROR('Recurring Items'!$G$6:$G$56,0),14)=0)*(AB437&gt;=IFERROR('Recurring Items'!$G$6:$G$56,9000000000))+('Recurring Items'!$E$6:$E$56="Weekly")*(WEEKDAY(AB437)=IFERROR(WEEKDAY('Recurring Items'!$G$6:$G$56),0))*(AB437&gt;=IFERROR('Recurring Items'!$G$6:$G$56,9000000000))+('Recurring Items'!$E$6:$E$56="One-time")*(AB437='Recurring Items'!$G$6:$G$56)))</f>
        <v>0</v>
      </c>
      <c r="AE437" s="1" t="n">
        <f aca="false">SUMPRODUCT(('Recurring Items'!$C$6:$C$56="Expense")*('Recurring Items'!$H$6:$H$56&lt;&gt;"Skip")*IFERROR(N('Recurring Items'!$D$6:$D$56),0)*(('Recurring Items'!$E$6:$E$56="Monthly")*(DAY(AB437)='Recurring Items'!$F$6:$F$56)+('Recurring Items'!$E$6:$E$56="Bi-weekly")*(WEEKDAY(AB437)=IFERROR(WEEKDAY('Recurring Items'!$G$6:$G$56),0))*(MOD(AB437-IFERROR('Recurring Items'!$G$6:$G$56,0),14)=0)*(AB437&gt;=IFERROR('Recurring Items'!$G$6:$G$56,9000000000))+('Recurring Items'!$E$6:$E$56="Weekly")*(WEEKDAY(AB437)=IFERROR(WEEKDAY('Recurring Items'!$G$6:$G$56),0))*(AB437&gt;=IFERROR('Recurring Items'!$G$6:$G$56,9000000000))+('Recurring Items'!$E$6:$E$56="One-time")*(AB437='Recurring Items'!$G$6:$G$56)))</f>
        <v>101.02</v>
      </c>
      <c r="AF437" s="1" t="n">
        <f aca="false">(IF(AC437=1,'Debt Tracker'!$P$5&gt;0.01,INDEX('Debt Tracker'!$T$5:$AE$29,1,AC437-1)&gt;0.01))*('Recurring Items'!$H$8&lt;&gt;"Skip")*(DAY(AB437)='Recurring Items'!$F$8)*IFERROR(N('Recurring Items'!$D$8),0)+(IF(AC437=1,'Debt Tracker'!$P$6&gt;0.01,INDEX('Debt Tracker'!$T$5:$AE$29,2,AC437-1)&gt;0.01))*('Recurring Items'!$H$9&lt;&gt;"Skip")*(DAY(AB437)='Recurring Items'!$F$9)*IFERROR(N('Recurring Items'!$D$9),0)+(IF(AC437=1,'Debt Tracker'!$P$7&gt;0.01,INDEX('Debt Tracker'!$T$5:$AE$29,3,AC437-1)&gt;0.01))*('Recurring Items'!$H$10&lt;&gt;"Skip")*(DAY(AB437)='Recurring Items'!$F$10)*IFERROR(N('Recurring Items'!$D$10),0)+(IF(AC437=1,'Debt Tracker'!$P$8&gt;0.01,INDEX('Debt Tracker'!$T$5:$AE$29,4,AC437-1)&gt;0.01))*('Recurring Items'!$H$11&lt;&gt;"Skip")*(DAY(AB437)='Recurring Items'!$F$11)*IFERROR(N('Recurring Items'!$D$11),0)+(IF(AC437=1,'Debt Tracker'!$P$9&gt;0.01,INDEX('Debt Tracker'!$T$5:$AE$29,5,AC437-1)&gt;0.01))*('Recurring Items'!$H$12&lt;&gt;"Skip")*(DAY(AB437)='Recurring Items'!$F$12)*IFERROR(N('Recurring Items'!$D$12),0)+(IF(AC437=1,'Debt Tracker'!$P$10&gt;0.01,INDEX('Debt Tracker'!$T$5:$AE$29,6,AC437-1)&gt;0.01))*('Recurring Items'!$H$13&lt;&gt;"Skip")*(DAY(AB437)='Recurring Items'!$F$13)*IFERROR(N('Recurring Items'!$D$13),0)+(IF(AC437=1,'Debt Tracker'!$P$11&gt;0.01,INDEX('Debt Tracker'!$T$5:$AE$29,7,AC437-1)&gt;0.01))*('Recurring Items'!$H$14&lt;&gt;"Skip")*(DAY(AB437)='Recurring Items'!$F$14)*IFERROR(N('Recurring Items'!$D$14),0)+(IF(AC437=1,'Debt Tracker'!$P$12&gt;0.01,INDEX('Debt Tracker'!$T$5:$AE$29,8,AC437-1)&gt;0.01))*('Recurring Items'!$H$15&lt;&gt;"Skip")*(DAY(AB437)='Recurring Items'!$F$15)*IFERROR(N('Recurring Items'!$D$15),0)+(IF(AC437=1,'Debt Tracker'!$P$13&gt;0.01,INDEX('Debt Tracker'!$T$5:$AE$29,9,AC437-1)&gt;0.01))*('Recurring Items'!$H$16&lt;&gt;"Skip")*(DAY(AB437)='Recurring Items'!$F$16)*IFERROR(N('Recurring Items'!$D$16),0)+(IF(AC437=1,'Debt Tracker'!$P$14&gt;0.01,INDEX('Debt Tracker'!$T$5:$AE$29,10,AC437-1)&gt;0.01))*('Recurring Items'!$H$17&lt;&gt;"Skip")*(DAY(AB437)='Recurring Items'!$F$17)*IFERROR(N('Recurring Items'!$D$17),0)+(IF(AC437=1,'Debt Tracker'!$P$15&gt;0.01,INDEX('Debt Tracker'!$T$5:$AE$29,11,AC437-1)&gt;0.01))*('Recurring Items'!$H$18&lt;&gt;"Skip")*(DAY(AB437)='Recurring Items'!$F$18)*IFERROR(N('Recurring Items'!$D$18),0)+(IF(AC437=1,'Debt Tracker'!$P$16&gt;0.01,INDEX('Debt Tracker'!$T$5:$AE$29,12,AC437-1)&gt;0.01))*('Recurring Items'!$H$19&lt;&gt;"Skip")*(DAY(AB437)='Recurring Items'!$F$19)*IFERROR(N('Recurring Items'!$D$19),0)+(IF(AC437=1,'Debt Tracker'!$P$17&gt;0.01,INDEX('Debt Tracker'!$T$5:$AE$29,13,AC437-1)&gt;0.01))*('Recurring Items'!$H$20&lt;&gt;"Skip")*(DAY(AB437)='Recurring Items'!$F$20)*IFERROR(N('Recurring Items'!$D$20),0)+(IF(AC437=1,'Debt Tracker'!$P$18&gt;0.01,INDEX('Debt Tracker'!$T$5:$AE$29,14,AC437-1)&gt;0.01))*('Recurring Items'!$H$21&lt;&gt;"Skip")*(DAY(AB437)='Recurring Items'!$F$21)*IFERROR(N('Recurring Items'!$D$21),0)+(IF(AC437=1,'Debt Tracker'!$P$19&gt;0.01,INDEX('Debt Tracker'!$T$5:$AE$29,15,AC437-1)&gt;0.01))*('Recurring Items'!$H$22&lt;&gt;"Skip")*(DAY(AB437)='Recurring Items'!$F$22)*IFERROR(N('Recurring Items'!$D$22),0)+(IF(AC437=1,'Debt Tracker'!$P$20&gt;0.01,INDEX('Debt Tracker'!$T$5:$AE$29,16,AC437-1)&gt;0.01))*('Recurring Items'!$H$23&lt;&gt;"Skip")*(DAY(AB437)='Recurring Items'!$F$23)*IFERROR(N('Recurring Items'!$D$23),0)+(IF(AC437=1,'Debt Tracker'!$P$21&gt;0.01,INDEX('Debt Tracker'!$T$5:$AE$29,17,AC437-1)&gt;0.01))*('Recurring Items'!$H$24&lt;&gt;"Skip")*(DAY(AB437)='Recurring Items'!$F$24)*IFERROR(N('Recurring Items'!$D$24),0)+(IF(AC437=1,'Debt Tracker'!$P$22&gt;0.01,INDEX('Debt Tracker'!$T$5:$AE$29,18,AC437-1)&gt;0.01))*('Recurring Items'!$H$25&lt;&gt;"Skip")*(DAY(AB437)='Recurring Items'!$F$25)*IFERROR(N('Recurring Items'!$D$25),0)+(IF(AC437=1,'Debt Tracker'!$P$23&gt;0.01,INDEX('Debt Tracker'!$T$5:$AE$29,19,AC437-1)&gt;0.01))*('Recurring Items'!$H$26&lt;&gt;"Skip")*(DAY(AB437)='Recurring Items'!$F$26)*IFERROR(N('Recurring Items'!$D$26),0)+(IF(AC437=1,'Debt Tracker'!$P$24&gt;0.01,INDEX('Debt Tracker'!$T$5:$AE$29,20,AC437-1)&gt;0.01))*('Recurring Items'!$H$27&lt;&gt;"Skip")*(DAY(AB437)='Recurring Items'!$F$27)*IFERROR(N('Recurring Items'!$D$27),0)+(IF(AC437=1,'Debt Tracker'!$P$25&gt;0.01,INDEX('Debt Tracker'!$T$5:$AE$29,21,AC437-1)&gt;0.01))*('Recurring Items'!$H$28&lt;&gt;"Skip")*(DAY(AB437)='Recurring Items'!$F$28)*IFERROR(N('Recurring Items'!$D$28),0)+(IF(AC437=1,'Debt Tracker'!$P$26&gt;0.01,INDEX('Debt Tracker'!$T$5:$AE$29,22,AC437-1)&gt;0.01))*('Recurring Items'!$H$29&lt;&gt;"Skip")*(DAY(AB437)='Recurring Items'!$F$29)*IFERROR(N('Recurring Items'!$D$29),0)+(IF(AC437=1,'Debt Tracker'!$P$27&gt;0.01,INDEX('Debt Tracker'!$T$5:$AE$29,23,AC437-1)&gt;0.01))*('Recurring Items'!$H$30&lt;&gt;"Skip")*(DAY(AB437)='Recurring Items'!$F$30)*IFERROR(N('Recurring Items'!$D$30),0)+(IF(AC437=1,'Debt Tracker'!$P$28&gt;0.01,INDEX('Debt Tracker'!$T$5:$AE$29,24,AC437-1)&gt;0.01))*('Recurring Items'!$H$31&lt;&gt;"Skip")*(DAY(AB437)='Recurring Items'!$F$31)*IFERROR(N('Recurring Items'!$D$31),0)+(IF(AC437=1,'Debt Tracker'!$P$29&gt;0.01,INDEX('Debt Tracker'!$T$5:$AE$29,25,AC437-1)&gt;0.01))*('Recurring Items'!$H$32&lt;&gt;"Skip")*(DAY(AB437)='Recurring Items'!$F$32)*IFERROR(N('Recurring Items'!$D$32),0)</f>
        <v>0</v>
      </c>
      <c r="AG437" s="1" t="n">
        <f aca="false">AD437-AE437-AF437</f>
        <v>-101.02</v>
      </c>
      <c r="AH437" s="1" t="n">
        <f aca="false">AH436+AG437</f>
        <v>14316.9</v>
      </c>
    </row>
    <row r="438" customFormat="false" ht="15" hidden="false" customHeight="true" outlineLevel="0" collapsed="false">
      <c r="AA438" s="1" t="n">
        <v>238</v>
      </c>
      <c r="AB438" s="145" t="n">
        <f aca="false">$D$3+238</f>
        <v>46381</v>
      </c>
      <c r="AC438" s="1" t="n">
        <f aca="false">MIN(12,1+DATEDIF($D$3,AB438,"M"))</f>
        <v>8</v>
      </c>
      <c r="AD438" s="1" t="n">
        <f aca="false">SUMPRODUCT(('Recurring Items'!$C$6:$C$56="Income")*('Recurring Items'!$H$6:$H$56&lt;&gt;"Skip")*IFERROR(N('Recurring Items'!$D$6:$D$56),0)*(('Recurring Items'!$E$6:$E$56="Monthly")*(DAY(AB438)='Recurring Items'!$F$6:$F$56)+('Recurring Items'!$E$6:$E$56="Bi-weekly")*(WEEKDAY(AB438)=IFERROR(WEEKDAY('Recurring Items'!$G$6:$G$56),0))*(MOD(AB438-IFERROR('Recurring Items'!$G$6:$G$56,0),14)=0)*(AB438&gt;=IFERROR('Recurring Items'!$G$6:$G$56,9000000000))+('Recurring Items'!$E$6:$E$56="Weekly")*(WEEKDAY(AB438)=IFERROR(WEEKDAY('Recurring Items'!$G$6:$G$56),0))*(AB438&gt;=IFERROR('Recurring Items'!$G$6:$G$56,9000000000))+('Recurring Items'!$E$6:$E$56="One-time")*(AB438='Recurring Items'!$G$6:$G$56)))</f>
        <v>3819.79</v>
      </c>
      <c r="AE438" s="1" t="n">
        <f aca="false">SUMPRODUCT(('Recurring Items'!$C$6:$C$56="Expense")*('Recurring Items'!$H$6:$H$56&lt;&gt;"Skip")*IFERROR(N('Recurring Items'!$D$6:$D$56),0)*(('Recurring Items'!$E$6:$E$56="Monthly")*(DAY(AB438)='Recurring Items'!$F$6:$F$56)+('Recurring Items'!$E$6:$E$56="Bi-weekly")*(WEEKDAY(AB438)=IFERROR(WEEKDAY('Recurring Items'!$G$6:$G$56),0))*(MOD(AB438-IFERROR('Recurring Items'!$G$6:$G$56,0),14)=0)*(AB438&gt;=IFERROR('Recurring Items'!$G$6:$G$56,9000000000))+('Recurring Items'!$E$6:$E$56="Weekly")*(WEEKDAY(AB438)=IFERROR(WEEKDAY('Recurring Items'!$G$6:$G$56),0))*(AB438&gt;=IFERROR('Recurring Items'!$G$6:$G$56,9000000000))+('Recurring Items'!$E$6:$E$56="One-time")*(AB438='Recurring Items'!$G$6:$G$56)))</f>
        <v>460</v>
      </c>
      <c r="AF438" s="1" t="n">
        <f aca="false">(IF(AC438=1,'Debt Tracker'!$P$5&gt;0.01,INDEX('Debt Tracker'!$T$5:$AE$29,1,AC438-1)&gt;0.01))*('Recurring Items'!$H$8&lt;&gt;"Skip")*(DAY(AB438)='Recurring Items'!$F$8)*IFERROR(N('Recurring Items'!$D$8),0)+(IF(AC438=1,'Debt Tracker'!$P$6&gt;0.01,INDEX('Debt Tracker'!$T$5:$AE$29,2,AC438-1)&gt;0.01))*('Recurring Items'!$H$9&lt;&gt;"Skip")*(DAY(AB438)='Recurring Items'!$F$9)*IFERROR(N('Recurring Items'!$D$9),0)+(IF(AC438=1,'Debt Tracker'!$P$7&gt;0.01,INDEX('Debt Tracker'!$T$5:$AE$29,3,AC438-1)&gt;0.01))*('Recurring Items'!$H$10&lt;&gt;"Skip")*(DAY(AB438)='Recurring Items'!$F$10)*IFERROR(N('Recurring Items'!$D$10),0)+(IF(AC438=1,'Debt Tracker'!$P$8&gt;0.01,INDEX('Debt Tracker'!$T$5:$AE$29,4,AC438-1)&gt;0.01))*('Recurring Items'!$H$11&lt;&gt;"Skip")*(DAY(AB438)='Recurring Items'!$F$11)*IFERROR(N('Recurring Items'!$D$11),0)+(IF(AC438=1,'Debt Tracker'!$P$9&gt;0.01,INDEX('Debt Tracker'!$T$5:$AE$29,5,AC438-1)&gt;0.01))*('Recurring Items'!$H$12&lt;&gt;"Skip")*(DAY(AB438)='Recurring Items'!$F$12)*IFERROR(N('Recurring Items'!$D$12),0)+(IF(AC438=1,'Debt Tracker'!$P$10&gt;0.01,INDEX('Debt Tracker'!$T$5:$AE$29,6,AC438-1)&gt;0.01))*('Recurring Items'!$H$13&lt;&gt;"Skip")*(DAY(AB438)='Recurring Items'!$F$13)*IFERROR(N('Recurring Items'!$D$13),0)+(IF(AC438=1,'Debt Tracker'!$P$11&gt;0.01,INDEX('Debt Tracker'!$T$5:$AE$29,7,AC438-1)&gt;0.01))*('Recurring Items'!$H$14&lt;&gt;"Skip")*(DAY(AB438)='Recurring Items'!$F$14)*IFERROR(N('Recurring Items'!$D$14),0)+(IF(AC438=1,'Debt Tracker'!$P$12&gt;0.01,INDEX('Debt Tracker'!$T$5:$AE$29,8,AC438-1)&gt;0.01))*('Recurring Items'!$H$15&lt;&gt;"Skip")*(DAY(AB438)='Recurring Items'!$F$15)*IFERROR(N('Recurring Items'!$D$15),0)+(IF(AC438=1,'Debt Tracker'!$P$13&gt;0.01,INDEX('Debt Tracker'!$T$5:$AE$29,9,AC438-1)&gt;0.01))*('Recurring Items'!$H$16&lt;&gt;"Skip")*(DAY(AB438)='Recurring Items'!$F$16)*IFERROR(N('Recurring Items'!$D$16),0)+(IF(AC438=1,'Debt Tracker'!$P$14&gt;0.01,INDEX('Debt Tracker'!$T$5:$AE$29,10,AC438-1)&gt;0.01))*('Recurring Items'!$H$17&lt;&gt;"Skip")*(DAY(AB438)='Recurring Items'!$F$17)*IFERROR(N('Recurring Items'!$D$17),0)+(IF(AC438=1,'Debt Tracker'!$P$15&gt;0.01,INDEX('Debt Tracker'!$T$5:$AE$29,11,AC438-1)&gt;0.01))*('Recurring Items'!$H$18&lt;&gt;"Skip")*(DAY(AB438)='Recurring Items'!$F$18)*IFERROR(N('Recurring Items'!$D$18),0)+(IF(AC438=1,'Debt Tracker'!$P$16&gt;0.01,INDEX('Debt Tracker'!$T$5:$AE$29,12,AC438-1)&gt;0.01))*('Recurring Items'!$H$19&lt;&gt;"Skip")*(DAY(AB438)='Recurring Items'!$F$19)*IFERROR(N('Recurring Items'!$D$19),0)+(IF(AC438=1,'Debt Tracker'!$P$17&gt;0.01,INDEX('Debt Tracker'!$T$5:$AE$29,13,AC438-1)&gt;0.01))*('Recurring Items'!$H$20&lt;&gt;"Skip")*(DAY(AB438)='Recurring Items'!$F$20)*IFERROR(N('Recurring Items'!$D$20),0)+(IF(AC438=1,'Debt Tracker'!$P$18&gt;0.01,INDEX('Debt Tracker'!$T$5:$AE$29,14,AC438-1)&gt;0.01))*('Recurring Items'!$H$21&lt;&gt;"Skip")*(DAY(AB438)='Recurring Items'!$F$21)*IFERROR(N('Recurring Items'!$D$21),0)+(IF(AC438=1,'Debt Tracker'!$P$19&gt;0.01,INDEX('Debt Tracker'!$T$5:$AE$29,15,AC438-1)&gt;0.01))*('Recurring Items'!$H$22&lt;&gt;"Skip")*(DAY(AB438)='Recurring Items'!$F$22)*IFERROR(N('Recurring Items'!$D$22),0)+(IF(AC438=1,'Debt Tracker'!$P$20&gt;0.01,INDEX('Debt Tracker'!$T$5:$AE$29,16,AC438-1)&gt;0.01))*('Recurring Items'!$H$23&lt;&gt;"Skip")*(DAY(AB438)='Recurring Items'!$F$23)*IFERROR(N('Recurring Items'!$D$23),0)+(IF(AC438=1,'Debt Tracker'!$P$21&gt;0.01,INDEX('Debt Tracker'!$T$5:$AE$29,17,AC438-1)&gt;0.01))*('Recurring Items'!$H$24&lt;&gt;"Skip")*(DAY(AB438)='Recurring Items'!$F$24)*IFERROR(N('Recurring Items'!$D$24),0)+(IF(AC438=1,'Debt Tracker'!$P$22&gt;0.01,INDEX('Debt Tracker'!$T$5:$AE$29,18,AC438-1)&gt;0.01))*('Recurring Items'!$H$25&lt;&gt;"Skip")*(DAY(AB438)='Recurring Items'!$F$25)*IFERROR(N('Recurring Items'!$D$25),0)+(IF(AC438=1,'Debt Tracker'!$P$23&gt;0.01,INDEX('Debt Tracker'!$T$5:$AE$29,19,AC438-1)&gt;0.01))*('Recurring Items'!$H$26&lt;&gt;"Skip")*(DAY(AB438)='Recurring Items'!$F$26)*IFERROR(N('Recurring Items'!$D$26),0)+(IF(AC438=1,'Debt Tracker'!$P$24&gt;0.01,INDEX('Debt Tracker'!$T$5:$AE$29,20,AC438-1)&gt;0.01))*('Recurring Items'!$H$27&lt;&gt;"Skip")*(DAY(AB438)='Recurring Items'!$F$27)*IFERROR(N('Recurring Items'!$D$27),0)+(IF(AC438=1,'Debt Tracker'!$P$25&gt;0.01,INDEX('Debt Tracker'!$T$5:$AE$29,21,AC438-1)&gt;0.01))*('Recurring Items'!$H$28&lt;&gt;"Skip")*(DAY(AB438)='Recurring Items'!$F$28)*IFERROR(N('Recurring Items'!$D$28),0)+(IF(AC438=1,'Debt Tracker'!$P$26&gt;0.01,INDEX('Debt Tracker'!$T$5:$AE$29,22,AC438-1)&gt;0.01))*('Recurring Items'!$H$29&lt;&gt;"Skip")*(DAY(AB438)='Recurring Items'!$F$29)*IFERROR(N('Recurring Items'!$D$29),0)+(IF(AC438=1,'Debt Tracker'!$P$27&gt;0.01,INDEX('Debt Tracker'!$T$5:$AE$29,23,AC438-1)&gt;0.01))*('Recurring Items'!$H$30&lt;&gt;"Skip")*(DAY(AB438)='Recurring Items'!$F$30)*IFERROR(N('Recurring Items'!$D$30),0)+(IF(AC438=1,'Debt Tracker'!$P$28&gt;0.01,INDEX('Debt Tracker'!$T$5:$AE$29,24,AC438-1)&gt;0.01))*('Recurring Items'!$H$31&lt;&gt;"Skip")*(DAY(AB438)='Recurring Items'!$F$31)*IFERROR(N('Recurring Items'!$D$31),0)+(IF(AC438=1,'Debt Tracker'!$P$29&gt;0.01,INDEX('Debt Tracker'!$T$5:$AE$29,25,AC438-1)&gt;0.01))*('Recurring Items'!$H$32&lt;&gt;"Skip")*(DAY(AB438)='Recurring Items'!$F$32)*IFERROR(N('Recurring Items'!$D$32),0)</f>
        <v>0</v>
      </c>
      <c r="AG438" s="1" t="n">
        <f aca="false">AD438-AE438-AF438</f>
        <v>3359.79</v>
      </c>
      <c r="AH438" s="1" t="n">
        <f aca="false">AH437+AG438</f>
        <v>17676.69</v>
      </c>
    </row>
    <row r="439" customFormat="false" ht="15" hidden="false" customHeight="true" outlineLevel="0" collapsed="false">
      <c r="AA439" s="1" t="n">
        <v>239</v>
      </c>
      <c r="AB439" s="145" t="n">
        <f aca="false">$D$3+239</f>
        <v>46382</v>
      </c>
      <c r="AC439" s="1" t="n">
        <f aca="false">MIN(12,1+DATEDIF($D$3,AB439,"M"))</f>
        <v>8</v>
      </c>
      <c r="AD439" s="1" t="n">
        <f aca="false">SUMPRODUCT(('Recurring Items'!$C$6:$C$56="Income")*('Recurring Items'!$H$6:$H$56&lt;&gt;"Skip")*IFERROR(N('Recurring Items'!$D$6:$D$56),0)*(('Recurring Items'!$E$6:$E$56="Monthly")*(DAY(AB439)='Recurring Items'!$F$6:$F$56)+('Recurring Items'!$E$6:$E$56="Bi-weekly")*(WEEKDAY(AB439)=IFERROR(WEEKDAY('Recurring Items'!$G$6:$G$56),0))*(MOD(AB439-IFERROR('Recurring Items'!$G$6:$G$56,0),14)=0)*(AB439&gt;=IFERROR('Recurring Items'!$G$6:$G$56,9000000000))+('Recurring Items'!$E$6:$E$56="Weekly")*(WEEKDAY(AB439)=IFERROR(WEEKDAY('Recurring Items'!$G$6:$G$56),0))*(AB439&gt;=IFERROR('Recurring Items'!$G$6:$G$56,9000000000))+('Recurring Items'!$E$6:$E$56="One-time")*(AB439='Recurring Items'!$G$6:$G$56)))</f>
        <v>0</v>
      </c>
      <c r="AE439" s="1" t="n">
        <f aca="false">SUMPRODUCT(('Recurring Items'!$C$6:$C$56="Expense")*('Recurring Items'!$H$6:$H$56&lt;&gt;"Skip")*IFERROR(N('Recurring Items'!$D$6:$D$56),0)*(('Recurring Items'!$E$6:$E$56="Monthly")*(DAY(AB439)='Recurring Items'!$F$6:$F$56)+('Recurring Items'!$E$6:$E$56="Bi-weekly")*(WEEKDAY(AB439)=IFERROR(WEEKDAY('Recurring Items'!$G$6:$G$56),0))*(MOD(AB439-IFERROR('Recurring Items'!$G$6:$G$56,0),14)=0)*(AB439&gt;=IFERROR('Recurring Items'!$G$6:$G$56,9000000000))+('Recurring Items'!$E$6:$E$56="Weekly")*(WEEKDAY(AB439)=IFERROR(WEEKDAY('Recurring Items'!$G$6:$G$56),0))*(AB439&gt;=IFERROR('Recurring Items'!$G$6:$G$56,9000000000))+('Recurring Items'!$E$6:$E$56="One-time")*(AB439='Recurring Items'!$G$6:$G$56)))</f>
        <v>0</v>
      </c>
      <c r="AF439" s="1" t="n">
        <f aca="false">(IF(AC439=1,'Debt Tracker'!$P$5&gt;0.01,INDEX('Debt Tracker'!$T$5:$AE$29,1,AC439-1)&gt;0.01))*('Recurring Items'!$H$8&lt;&gt;"Skip")*(DAY(AB439)='Recurring Items'!$F$8)*IFERROR(N('Recurring Items'!$D$8),0)+(IF(AC439=1,'Debt Tracker'!$P$6&gt;0.01,INDEX('Debt Tracker'!$T$5:$AE$29,2,AC439-1)&gt;0.01))*('Recurring Items'!$H$9&lt;&gt;"Skip")*(DAY(AB439)='Recurring Items'!$F$9)*IFERROR(N('Recurring Items'!$D$9),0)+(IF(AC439=1,'Debt Tracker'!$P$7&gt;0.01,INDEX('Debt Tracker'!$T$5:$AE$29,3,AC439-1)&gt;0.01))*('Recurring Items'!$H$10&lt;&gt;"Skip")*(DAY(AB439)='Recurring Items'!$F$10)*IFERROR(N('Recurring Items'!$D$10),0)+(IF(AC439=1,'Debt Tracker'!$P$8&gt;0.01,INDEX('Debt Tracker'!$T$5:$AE$29,4,AC439-1)&gt;0.01))*('Recurring Items'!$H$11&lt;&gt;"Skip")*(DAY(AB439)='Recurring Items'!$F$11)*IFERROR(N('Recurring Items'!$D$11),0)+(IF(AC439=1,'Debt Tracker'!$P$9&gt;0.01,INDEX('Debt Tracker'!$T$5:$AE$29,5,AC439-1)&gt;0.01))*('Recurring Items'!$H$12&lt;&gt;"Skip")*(DAY(AB439)='Recurring Items'!$F$12)*IFERROR(N('Recurring Items'!$D$12),0)+(IF(AC439=1,'Debt Tracker'!$P$10&gt;0.01,INDEX('Debt Tracker'!$T$5:$AE$29,6,AC439-1)&gt;0.01))*('Recurring Items'!$H$13&lt;&gt;"Skip")*(DAY(AB439)='Recurring Items'!$F$13)*IFERROR(N('Recurring Items'!$D$13),0)+(IF(AC439=1,'Debt Tracker'!$P$11&gt;0.01,INDEX('Debt Tracker'!$T$5:$AE$29,7,AC439-1)&gt;0.01))*('Recurring Items'!$H$14&lt;&gt;"Skip")*(DAY(AB439)='Recurring Items'!$F$14)*IFERROR(N('Recurring Items'!$D$14),0)+(IF(AC439=1,'Debt Tracker'!$P$12&gt;0.01,INDEX('Debt Tracker'!$T$5:$AE$29,8,AC439-1)&gt;0.01))*('Recurring Items'!$H$15&lt;&gt;"Skip")*(DAY(AB439)='Recurring Items'!$F$15)*IFERROR(N('Recurring Items'!$D$15),0)+(IF(AC439=1,'Debt Tracker'!$P$13&gt;0.01,INDEX('Debt Tracker'!$T$5:$AE$29,9,AC439-1)&gt;0.01))*('Recurring Items'!$H$16&lt;&gt;"Skip")*(DAY(AB439)='Recurring Items'!$F$16)*IFERROR(N('Recurring Items'!$D$16),0)+(IF(AC439=1,'Debt Tracker'!$P$14&gt;0.01,INDEX('Debt Tracker'!$T$5:$AE$29,10,AC439-1)&gt;0.01))*('Recurring Items'!$H$17&lt;&gt;"Skip")*(DAY(AB439)='Recurring Items'!$F$17)*IFERROR(N('Recurring Items'!$D$17),0)+(IF(AC439=1,'Debt Tracker'!$P$15&gt;0.01,INDEX('Debt Tracker'!$T$5:$AE$29,11,AC439-1)&gt;0.01))*('Recurring Items'!$H$18&lt;&gt;"Skip")*(DAY(AB439)='Recurring Items'!$F$18)*IFERROR(N('Recurring Items'!$D$18),0)+(IF(AC439=1,'Debt Tracker'!$P$16&gt;0.01,INDEX('Debt Tracker'!$T$5:$AE$29,12,AC439-1)&gt;0.01))*('Recurring Items'!$H$19&lt;&gt;"Skip")*(DAY(AB439)='Recurring Items'!$F$19)*IFERROR(N('Recurring Items'!$D$19),0)+(IF(AC439=1,'Debt Tracker'!$P$17&gt;0.01,INDEX('Debt Tracker'!$T$5:$AE$29,13,AC439-1)&gt;0.01))*('Recurring Items'!$H$20&lt;&gt;"Skip")*(DAY(AB439)='Recurring Items'!$F$20)*IFERROR(N('Recurring Items'!$D$20),0)+(IF(AC439=1,'Debt Tracker'!$P$18&gt;0.01,INDEX('Debt Tracker'!$T$5:$AE$29,14,AC439-1)&gt;0.01))*('Recurring Items'!$H$21&lt;&gt;"Skip")*(DAY(AB439)='Recurring Items'!$F$21)*IFERROR(N('Recurring Items'!$D$21),0)+(IF(AC439=1,'Debt Tracker'!$P$19&gt;0.01,INDEX('Debt Tracker'!$T$5:$AE$29,15,AC439-1)&gt;0.01))*('Recurring Items'!$H$22&lt;&gt;"Skip")*(DAY(AB439)='Recurring Items'!$F$22)*IFERROR(N('Recurring Items'!$D$22),0)+(IF(AC439=1,'Debt Tracker'!$P$20&gt;0.01,INDEX('Debt Tracker'!$T$5:$AE$29,16,AC439-1)&gt;0.01))*('Recurring Items'!$H$23&lt;&gt;"Skip")*(DAY(AB439)='Recurring Items'!$F$23)*IFERROR(N('Recurring Items'!$D$23),0)+(IF(AC439=1,'Debt Tracker'!$P$21&gt;0.01,INDEX('Debt Tracker'!$T$5:$AE$29,17,AC439-1)&gt;0.01))*('Recurring Items'!$H$24&lt;&gt;"Skip")*(DAY(AB439)='Recurring Items'!$F$24)*IFERROR(N('Recurring Items'!$D$24),0)+(IF(AC439=1,'Debt Tracker'!$P$22&gt;0.01,INDEX('Debt Tracker'!$T$5:$AE$29,18,AC439-1)&gt;0.01))*('Recurring Items'!$H$25&lt;&gt;"Skip")*(DAY(AB439)='Recurring Items'!$F$25)*IFERROR(N('Recurring Items'!$D$25),0)+(IF(AC439=1,'Debt Tracker'!$P$23&gt;0.01,INDEX('Debt Tracker'!$T$5:$AE$29,19,AC439-1)&gt;0.01))*('Recurring Items'!$H$26&lt;&gt;"Skip")*(DAY(AB439)='Recurring Items'!$F$26)*IFERROR(N('Recurring Items'!$D$26),0)+(IF(AC439=1,'Debt Tracker'!$P$24&gt;0.01,INDEX('Debt Tracker'!$T$5:$AE$29,20,AC439-1)&gt;0.01))*('Recurring Items'!$H$27&lt;&gt;"Skip")*(DAY(AB439)='Recurring Items'!$F$27)*IFERROR(N('Recurring Items'!$D$27),0)+(IF(AC439=1,'Debt Tracker'!$P$25&gt;0.01,INDEX('Debt Tracker'!$T$5:$AE$29,21,AC439-1)&gt;0.01))*('Recurring Items'!$H$28&lt;&gt;"Skip")*(DAY(AB439)='Recurring Items'!$F$28)*IFERROR(N('Recurring Items'!$D$28),0)+(IF(AC439=1,'Debt Tracker'!$P$26&gt;0.01,INDEX('Debt Tracker'!$T$5:$AE$29,22,AC439-1)&gt;0.01))*('Recurring Items'!$H$29&lt;&gt;"Skip")*(DAY(AB439)='Recurring Items'!$F$29)*IFERROR(N('Recurring Items'!$D$29),0)+(IF(AC439=1,'Debt Tracker'!$P$27&gt;0.01,INDEX('Debt Tracker'!$T$5:$AE$29,23,AC439-1)&gt;0.01))*('Recurring Items'!$H$30&lt;&gt;"Skip")*(DAY(AB439)='Recurring Items'!$F$30)*IFERROR(N('Recurring Items'!$D$30),0)+(IF(AC439=1,'Debt Tracker'!$P$28&gt;0.01,INDEX('Debt Tracker'!$T$5:$AE$29,24,AC439-1)&gt;0.01))*('Recurring Items'!$H$31&lt;&gt;"Skip")*(DAY(AB439)='Recurring Items'!$F$31)*IFERROR(N('Recurring Items'!$D$31),0)+(IF(AC439=1,'Debt Tracker'!$P$29&gt;0.01,INDEX('Debt Tracker'!$T$5:$AE$29,25,AC439-1)&gt;0.01))*('Recurring Items'!$H$32&lt;&gt;"Skip")*(DAY(AB439)='Recurring Items'!$F$32)*IFERROR(N('Recurring Items'!$D$32),0)</f>
        <v>0</v>
      </c>
      <c r="AG439" s="1" t="n">
        <f aca="false">AD439-AE439-AF439</f>
        <v>0</v>
      </c>
      <c r="AH439" s="1" t="n">
        <f aca="false">AH438+AG439</f>
        <v>17676.69</v>
      </c>
    </row>
    <row r="440" customFormat="false" ht="15" hidden="false" customHeight="true" outlineLevel="0" collapsed="false">
      <c r="AA440" s="1" t="n">
        <v>240</v>
      </c>
      <c r="AB440" s="145" t="n">
        <f aca="false">$D$3+240</f>
        <v>46383</v>
      </c>
      <c r="AC440" s="1" t="n">
        <f aca="false">MIN(12,1+DATEDIF($D$3,AB440,"M"))</f>
        <v>8</v>
      </c>
      <c r="AD440" s="1" t="n">
        <f aca="false">SUMPRODUCT(('Recurring Items'!$C$6:$C$56="Income")*('Recurring Items'!$H$6:$H$56&lt;&gt;"Skip")*IFERROR(N('Recurring Items'!$D$6:$D$56),0)*(('Recurring Items'!$E$6:$E$56="Monthly")*(DAY(AB440)='Recurring Items'!$F$6:$F$56)+('Recurring Items'!$E$6:$E$56="Bi-weekly")*(WEEKDAY(AB440)=IFERROR(WEEKDAY('Recurring Items'!$G$6:$G$56),0))*(MOD(AB440-IFERROR('Recurring Items'!$G$6:$G$56,0),14)=0)*(AB440&gt;=IFERROR('Recurring Items'!$G$6:$G$56,9000000000))+('Recurring Items'!$E$6:$E$56="Weekly")*(WEEKDAY(AB440)=IFERROR(WEEKDAY('Recurring Items'!$G$6:$G$56),0))*(AB440&gt;=IFERROR('Recurring Items'!$G$6:$G$56,9000000000))+('Recurring Items'!$E$6:$E$56="One-time")*(AB440='Recurring Items'!$G$6:$G$56)))</f>
        <v>0</v>
      </c>
      <c r="AE440" s="1" t="n">
        <f aca="false">SUMPRODUCT(('Recurring Items'!$C$6:$C$56="Expense")*('Recurring Items'!$H$6:$H$56&lt;&gt;"Skip")*IFERROR(N('Recurring Items'!$D$6:$D$56),0)*(('Recurring Items'!$E$6:$E$56="Monthly")*(DAY(AB440)='Recurring Items'!$F$6:$F$56)+('Recurring Items'!$E$6:$E$56="Bi-weekly")*(WEEKDAY(AB440)=IFERROR(WEEKDAY('Recurring Items'!$G$6:$G$56),0))*(MOD(AB440-IFERROR('Recurring Items'!$G$6:$G$56,0),14)=0)*(AB440&gt;=IFERROR('Recurring Items'!$G$6:$G$56,9000000000))+('Recurring Items'!$E$6:$E$56="Weekly")*(WEEKDAY(AB440)=IFERROR(WEEKDAY('Recurring Items'!$G$6:$G$56),0))*(AB440&gt;=IFERROR('Recurring Items'!$G$6:$G$56,9000000000))+('Recurring Items'!$E$6:$E$56="One-time")*(AB440='Recurring Items'!$G$6:$G$56)))</f>
        <v>0</v>
      </c>
      <c r="AF440" s="1" t="n">
        <f aca="false">(IF(AC440=1,'Debt Tracker'!$P$5&gt;0.01,INDEX('Debt Tracker'!$T$5:$AE$29,1,AC440-1)&gt;0.01))*('Recurring Items'!$H$8&lt;&gt;"Skip")*(DAY(AB440)='Recurring Items'!$F$8)*IFERROR(N('Recurring Items'!$D$8),0)+(IF(AC440=1,'Debt Tracker'!$P$6&gt;0.01,INDEX('Debt Tracker'!$T$5:$AE$29,2,AC440-1)&gt;0.01))*('Recurring Items'!$H$9&lt;&gt;"Skip")*(DAY(AB440)='Recurring Items'!$F$9)*IFERROR(N('Recurring Items'!$D$9),0)+(IF(AC440=1,'Debt Tracker'!$P$7&gt;0.01,INDEX('Debt Tracker'!$T$5:$AE$29,3,AC440-1)&gt;0.01))*('Recurring Items'!$H$10&lt;&gt;"Skip")*(DAY(AB440)='Recurring Items'!$F$10)*IFERROR(N('Recurring Items'!$D$10),0)+(IF(AC440=1,'Debt Tracker'!$P$8&gt;0.01,INDEX('Debt Tracker'!$T$5:$AE$29,4,AC440-1)&gt;0.01))*('Recurring Items'!$H$11&lt;&gt;"Skip")*(DAY(AB440)='Recurring Items'!$F$11)*IFERROR(N('Recurring Items'!$D$11),0)+(IF(AC440=1,'Debt Tracker'!$P$9&gt;0.01,INDEX('Debt Tracker'!$T$5:$AE$29,5,AC440-1)&gt;0.01))*('Recurring Items'!$H$12&lt;&gt;"Skip")*(DAY(AB440)='Recurring Items'!$F$12)*IFERROR(N('Recurring Items'!$D$12),0)+(IF(AC440=1,'Debt Tracker'!$P$10&gt;0.01,INDEX('Debt Tracker'!$T$5:$AE$29,6,AC440-1)&gt;0.01))*('Recurring Items'!$H$13&lt;&gt;"Skip")*(DAY(AB440)='Recurring Items'!$F$13)*IFERROR(N('Recurring Items'!$D$13),0)+(IF(AC440=1,'Debt Tracker'!$P$11&gt;0.01,INDEX('Debt Tracker'!$T$5:$AE$29,7,AC440-1)&gt;0.01))*('Recurring Items'!$H$14&lt;&gt;"Skip")*(DAY(AB440)='Recurring Items'!$F$14)*IFERROR(N('Recurring Items'!$D$14),0)+(IF(AC440=1,'Debt Tracker'!$P$12&gt;0.01,INDEX('Debt Tracker'!$T$5:$AE$29,8,AC440-1)&gt;0.01))*('Recurring Items'!$H$15&lt;&gt;"Skip")*(DAY(AB440)='Recurring Items'!$F$15)*IFERROR(N('Recurring Items'!$D$15),0)+(IF(AC440=1,'Debt Tracker'!$P$13&gt;0.01,INDEX('Debt Tracker'!$T$5:$AE$29,9,AC440-1)&gt;0.01))*('Recurring Items'!$H$16&lt;&gt;"Skip")*(DAY(AB440)='Recurring Items'!$F$16)*IFERROR(N('Recurring Items'!$D$16),0)+(IF(AC440=1,'Debt Tracker'!$P$14&gt;0.01,INDEX('Debt Tracker'!$T$5:$AE$29,10,AC440-1)&gt;0.01))*('Recurring Items'!$H$17&lt;&gt;"Skip")*(DAY(AB440)='Recurring Items'!$F$17)*IFERROR(N('Recurring Items'!$D$17),0)+(IF(AC440=1,'Debt Tracker'!$P$15&gt;0.01,INDEX('Debt Tracker'!$T$5:$AE$29,11,AC440-1)&gt;0.01))*('Recurring Items'!$H$18&lt;&gt;"Skip")*(DAY(AB440)='Recurring Items'!$F$18)*IFERROR(N('Recurring Items'!$D$18),0)+(IF(AC440=1,'Debt Tracker'!$P$16&gt;0.01,INDEX('Debt Tracker'!$T$5:$AE$29,12,AC440-1)&gt;0.01))*('Recurring Items'!$H$19&lt;&gt;"Skip")*(DAY(AB440)='Recurring Items'!$F$19)*IFERROR(N('Recurring Items'!$D$19),0)+(IF(AC440=1,'Debt Tracker'!$P$17&gt;0.01,INDEX('Debt Tracker'!$T$5:$AE$29,13,AC440-1)&gt;0.01))*('Recurring Items'!$H$20&lt;&gt;"Skip")*(DAY(AB440)='Recurring Items'!$F$20)*IFERROR(N('Recurring Items'!$D$20),0)+(IF(AC440=1,'Debt Tracker'!$P$18&gt;0.01,INDEX('Debt Tracker'!$T$5:$AE$29,14,AC440-1)&gt;0.01))*('Recurring Items'!$H$21&lt;&gt;"Skip")*(DAY(AB440)='Recurring Items'!$F$21)*IFERROR(N('Recurring Items'!$D$21),0)+(IF(AC440=1,'Debt Tracker'!$P$19&gt;0.01,INDEX('Debt Tracker'!$T$5:$AE$29,15,AC440-1)&gt;0.01))*('Recurring Items'!$H$22&lt;&gt;"Skip")*(DAY(AB440)='Recurring Items'!$F$22)*IFERROR(N('Recurring Items'!$D$22),0)+(IF(AC440=1,'Debt Tracker'!$P$20&gt;0.01,INDEX('Debt Tracker'!$T$5:$AE$29,16,AC440-1)&gt;0.01))*('Recurring Items'!$H$23&lt;&gt;"Skip")*(DAY(AB440)='Recurring Items'!$F$23)*IFERROR(N('Recurring Items'!$D$23),0)+(IF(AC440=1,'Debt Tracker'!$P$21&gt;0.01,INDEX('Debt Tracker'!$T$5:$AE$29,17,AC440-1)&gt;0.01))*('Recurring Items'!$H$24&lt;&gt;"Skip")*(DAY(AB440)='Recurring Items'!$F$24)*IFERROR(N('Recurring Items'!$D$24),0)+(IF(AC440=1,'Debt Tracker'!$P$22&gt;0.01,INDEX('Debt Tracker'!$T$5:$AE$29,18,AC440-1)&gt;0.01))*('Recurring Items'!$H$25&lt;&gt;"Skip")*(DAY(AB440)='Recurring Items'!$F$25)*IFERROR(N('Recurring Items'!$D$25),0)+(IF(AC440=1,'Debt Tracker'!$P$23&gt;0.01,INDEX('Debt Tracker'!$T$5:$AE$29,19,AC440-1)&gt;0.01))*('Recurring Items'!$H$26&lt;&gt;"Skip")*(DAY(AB440)='Recurring Items'!$F$26)*IFERROR(N('Recurring Items'!$D$26),0)+(IF(AC440=1,'Debt Tracker'!$P$24&gt;0.01,INDEX('Debt Tracker'!$T$5:$AE$29,20,AC440-1)&gt;0.01))*('Recurring Items'!$H$27&lt;&gt;"Skip")*(DAY(AB440)='Recurring Items'!$F$27)*IFERROR(N('Recurring Items'!$D$27),0)+(IF(AC440=1,'Debt Tracker'!$P$25&gt;0.01,INDEX('Debt Tracker'!$T$5:$AE$29,21,AC440-1)&gt;0.01))*('Recurring Items'!$H$28&lt;&gt;"Skip")*(DAY(AB440)='Recurring Items'!$F$28)*IFERROR(N('Recurring Items'!$D$28),0)+(IF(AC440=1,'Debt Tracker'!$P$26&gt;0.01,INDEX('Debt Tracker'!$T$5:$AE$29,22,AC440-1)&gt;0.01))*('Recurring Items'!$H$29&lt;&gt;"Skip")*(DAY(AB440)='Recurring Items'!$F$29)*IFERROR(N('Recurring Items'!$D$29),0)+(IF(AC440=1,'Debt Tracker'!$P$27&gt;0.01,INDEX('Debt Tracker'!$T$5:$AE$29,23,AC440-1)&gt;0.01))*('Recurring Items'!$H$30&lt;&gt;"Skip")*(DAY(AB440)='Recurring Items'!$F$30)*IFERROR(N('Recurring Items'!$D$30),0)+(IF(AC440=1,'Debt Tracker'!$P$28&gt;0.01,INDEX('Debt Tracker'!$T$5:$AE$29,24,AC440-1)&gt;0.01))*('Recurring Items'!$H$31&lt;&gt;"Skip")*(DAY(AB440)='Recurring Items'!$F$31)*IFERROR(N('Recurring Items'!$D$31),0)+(IF(AC440=1,'Debt Tracker'!$P$29&gt;0.01,INDEX('Debt Tracker'!$T$5:$AE$29,25,AC440-1)&gt;0.01))*('Recurring Items'!$H$32&lt;&gt;"Skip")*(DAY(AB440)='Recurring Items'!$F$32)*IFERROR(N('Recurring Items'!$D$32),0)</f>
        <v>0</v>
      </c>
      <c r="AG440" s="1" t="n">
        <f aca="false">AD440-AE440-AF440</f>
        <v>0</v>
      </c>
      <c r="AH440" s="1" t="n">
        <f aca="false">AH439+AG440</f>
        <v>17676.69</v>
      </c>
    </row>
    <row r="441" customFormat="false" ht="15" hidden="false" customHeight="true" outlineLevel="0" collapsed="false">
      <c r="AA441" s="1" t="n">
        <v>241</v>
      </c>
      <c r="AB441" s="145" t="n">
        <f aca="false">$D$3+241</f>
        <v>46384</v>
      </c>
      <c r="AC441" s="1" t="n">
        <f aca="false">MIN(12,1+DATEDIF($D$3,AB441,"M"))</f>
        <v>8</v>
      </c>
      <c r="AD441" s="1" t="n">
        <f aca="false">SUMPRODUCT(('Recurring Items'!$C$6:$C$56="Income")*('Recurring Items'!$H$6:$H$56&lt;&gt;"Skip")*IFERROR(N('Recurring Items'!$D$6:$D$56),0)*(('Recurring Items'!$E$6:$E$56="Monthly")*(DAY(AB441)='Recurring Items'!$F$6:$F$56)+('Recurring Items'!$E$6:$E$56="Bi-weekly")*(WEEKDAY(AB441)=IFERROR(WEEKDAY('Recurring Items'!$G$6:$G$56),0))*(MOD(AB441-IFERROR('Recurring Items'!$G$6:$G$56,0),14)=0)*(AB441&gt;=IFERROR('Recurring Items'!$G$6:$G$56,9000000000))+('Recurring Items'!$E$6:$E$56="Weekly")*(WEEKDAY(AB441)=IFERROR(WEEKDAY('Recurring Items'!$G$6:$G$56),0))*(AB441&gt;=IFERROR('Recurring Items'!$G$6:$G$56,9000000000))+('Recurring Items'!$E$6:$E$56="One-time")*(AB441='Recurring Items'!$G$6:$G$56)))</f>
        <v>0</v>
      </c>
      <c r="AE441" s="1" t="n">
        <f aca="false">SUMPRODUCT(('Recurring Items'!$C$6:$C$56="Expense")*('Recurring Items'!$H$6:$H$56&lt;&gt;"Skip")*IFERROR(N('Recurring Items'!$D$6:$D$56),0)*(('Recurring Items'!$E$6:$E$56="Monthly")*(DAY(AB441)='Recurring Items'!$F$6:$F$56)+('Recurring Items'!$E$6:$E$56="Bi-weekly")*(WEEKDAY(AB441)=IFERROR(WEEKDAY('Recurring Items'!$G$6:$G$56),0))*(MOD(AB441-IFERROR('Recurring Items'!$G$6:$G$56,0),14)=0)*(AB441&gt;=IFERROR('Recurring Items'!$G$6:$G$56,9000000000))+('Recurring Items'!$E$6:$E$56="Weekly")*(WEEKDAY(AB441)=IFERROR(WEEKDAY('Recurring Items'!$G$6:$G$56),0))*(AB441&gt;=IFERROR('Recurring Items'!$G$6:$G$56,9000000000))+('Recurring Items'!$E$6:$E$56="One-time")*(AB441='Recurring Items'!$G$6:$G$56)))</f>
        <v>0</v>
      </c>
      <c r="AF441" s="1" t="n">
        <f aca="false">(IF(AC441=1,'Debt Tracker'!$P$5&gt;0.01,INDEX('Debt Tracker'!$T$5:$AE$29,1,AC441-1)&gt;0.01))*('Recurring Items'!$H$8&lt;&gt;"Skip")*(DAY(AB441)='Recurring Items'!$F$8)*IFERROR(N('Recurring Items'!$D$8),0)+(IF(AC441=1,'Debt Tracker'!$P$6&gt;0.01,INDEX('Debt Tracker'!$T$5:$AE$29,2,AC441-1)&gt;0.01))*('Recurring Items'!$H$9&lt;&gt;"Skip")*(DAY(AB441)='Recurring Items'!$F$9)*IFERROR(N('Recurring Items'!$D$9),0)+(IF(AC441=1,'Debt Tracker'!$P$7&gt;0.01,INDEX('Debt Tracker'!$T$5:$AE$29,3,AC441-1)&gt;0.01))*('Recurring Items'!$H$10&lt;&gt;"Skip")*(DAY(AB441)='Recurring Items'!$F$10)*IFERROR(N('Recurring Items'!$D$10),0)+(IF(AC441=1,'Debt Tracker'!$P$8&gt;0.01,INDEX('Debt Tracker'!$T$5:$AE$29,4,AC441-1)&gt;0.01))*('Recurring Items'!$H$11&lt;&gt;"Skip")*(DAY(AB441)='Recurring Items'!$F$11)*IFERROR(N('Recurring Items'!$D$11),0)+(IF(AC441=1,'Debt Tracker'!$P$9&gt;0.01,INDEX('Debt Tracker'!$T$5:$AE$29,5,AC441-1)&gt;0.01))*('Recurring Items'!$H$12&lt;&gt;"Skip")*(DAY(AB441)='Recurring Items'!$F$12)*IFERROR(N('Recurring Items'!$D$12),0)+(IF(AC441=1,'Debt Tracker'!$P$10&gt;0.01,INDEX('Debt Tracker'!$T$5:$AE$29,6,AC441-1)&gt;0.01))*('Recurring Items'!$H$13&lt;&gt;"Skip")*(DAY(AB441)='Recurring Items'!$F$13)*IFERROR(N('Recurring Items'!$D$13),0)+(IF(AC441=1,'Debt Tracker'!$P$11&gt;0.01,INDEX('Debt Tracker'!$T$5:$AE$29,7,AC441-1)&gt;0.01))*('Recurring Items'!$H$14&lt;&gt;"Skip")*(DAY(AB441)='Recurring Items'!$F$14)*IFERROR(N('Recurring Items'!$D$14),0)+(IF(AC441=1,'Debt Tracker'!$P$12&gt;0.01,INDEX('Debt Tracker'!$T$5:$AE$29,8,AC441-1)&gt;0.01))*('Recurring Items'!$H$15&lt;&gt;"Skip")*(DAY(AB441)='Recurring Items'!$F$15)*IFERROR(N('Recurring Items'!$D$15),0)+(IF(AC441=1,'Debt Tracker'!$P$13&gt;0.01,INDEX('Debt Tracker'!$T$5:$AE$29,9,AC441-1)&gt;0.01))*('Recurring Items'!$H$16&lt;&gt;"Skip")*(DAY(AB441)='Recurring Items'!$F$16)*IFERROR(N('Recurring Items'!$D$16),0)+(IF(AC441=1,'Debt Tracker'!$P$14&gt;0.01,INDEX('Debt Tracker'!$T$5:$AE$29,10,AC441-1)&gt;0.01))*('Recurring Items'!$H$17&lt;&gt;"Skip")*(DAY(AB441)='Recurring Items'!$F$17)*IFERROR(N('Recurring Items'!$D$17),0)+(IF(AC441=1,'Debt Tracker'!$P$15&gt;0.01,INDEX('Debt Tracker'!$T$5:$AE$29,11,AC441-1)&gt;0.01))*('Recurring Items'!$H$18&lt;&gt;"Skip")*(DAY(AB441)='Recurring Items'!$F$18)*IFERROR(N('Recurring Items'!$D$18),0)+(IF(AC441=1,'Debt Tracker'!$P$16&gt;0.01,INDEX('Debt Tracker'!$T$5:$AE$29,12,AC441-1)&gt;0.01))*('Recurring Items'!$H$19&lt;&gt;"Skip")*(DAY(AB441)='Recurring Items'!$F$19)*IFERROR(N('Recurring Items'!$D$19),0)+(IF(AC441=1,'Debt Tracker'!$P$17&gt;0.01,INDEX('Debt Tracker'!$T$5:$AE$29,13,AC441-1)&gt;0.01))*('Recurring Items'!$H$20&lt;&gt;"Skip")*(DAY(AB441)='Recurring Items'!$F$20)*IFERROR(N('Recurring Items'!$D$20),0)+(IF(AC441=1,'Debt Tracker'!$P$18&gt;0.01,INDEX('Debt Tracker'!$T$5:$AE$29,14,AC441-1)&gt;0.01))*('Recurring Items'!$H$21&lt;&gt;"Skip")*(DAY(AB441)='Recurring Items'!$F$21)*IFERROR(N('Recurring Items'!$D$21),0)+(IF(AC441=1,'Debt Tracker'!$P$19&gt;0.01,INDEX('Debt Tracker'!$T$5:$AE$29,15,AC441-1)&gt;0.01))*('Recurring Items'!$H$22&lt;&gt;"Skip")*(DAY(AB441)='Recurring Items'!$F$22)*IFERROR(N('Recurring Items'!$D$22),0)+(IF(AC441=1,'Debt Tracker'!$P$20&gt;0.01,INDEX('Debt Tracker'!$T$5:$AE$29,16,AC441-1)&gt;0.01))*('Recurring Items'!$H$23&lt;&gt;"Skip")*(DAY(AB441)='Recurring Items'!$F$23)*IFERROR(N('Recurring Items'!$D$23),0)+(IF(AC441=1,'Debt Tracker'!$P$21&gt;0.01,INDEX('Debt Tracker'!$T$5:$AE$29,17,AC441-1)&gt;0.01))*('Recurring Items'!$H$24&lt;&gt;"Skip")*(DAY(AB441)='Recurring Items'!$F$24)*IFERROR(N('Recurring Items'!$D$24),0)+(IF(AC441=1,'Debt Tracker'!$P$22&gt;0.01,INDEX('Debt Tracker'!$T$5:$AE$29,18,AC441-1)&gt;0.01))*('Recurring Items'!$H$25&lt;&gt;"Skip")*(DAY(AB441)='Recurring Items'!$F$25)*IFERROR(N('Recurring Items'!$D$25),0)+(IF(AC441=1,'Debt Tracker'!$P$23&gt;0.01,INDEX('Debt Tracker'!$T$5:$AE$29,19,AC441-1)&gt;0.01))*('Recurring Items'!$H$26&lt;&gt;"Skip")*(DAY(AB441)='Recurring Items'!$F$26)*IFERROR(N('Recurring Items'!$D$26),0)+(IF(AC441=1,'Debt Tracker'!$P$24&gt;0.01,INDEX('Debt Tracker'!$T$5:$AE$29,20,AC441-1)&gt;0.01))*('Recurring Items'!$H$27&lt;&gt;"Skip")*(DAY(AB441)='Recurring Items'!$F$27)*IFERROR(N('Recurring Items'!$D$27),0)+(IF(AC441=1,'Debt Tracker'!$P$25&gt;0.01,INDEX('Debt Tracker'!$T$5:$AE$29,21,AC441-1)&gt;0.01))*('Recurring Items'!$H$28&lt;&gt;"Skip")*(DAY(AB441)='Recurring Items'!$F$28)*IFERROR(N('Recurring Items'!$D$28),0)+(IF(AC441=1,'Debt Tracker'!$P$26&gt;0.01,INDEX('Debt Tracker'!$T$5:$AE$29,22,AC441-1)&gt;0.01))*('Recurring Items'!$H$29&lt;&gt;"Skip")*(DAY(AB441)='Recurring Items'!$F$29)*IFERROR(N('Recurring Items'!$D$29),0)+(IF(AC441=1,'Debt Tracker'!$P$27&gt;0.01,INDEX('Debt Tracker'!$T$5:$AE$29,23,AC441-1)&gt;0.01))*('Recurring Items'!$H$30&lt;&gt;"Skip")*(DAY(AB441)='Recurring Items'!$F$30)*IFERROR(N('Recurring Items'!$D$30),0)+(IF(AC441=1,'Debt Tracker'!$P$28&gt;0.01,INDEX('Debt Tracker'!$T$5:$AE$29,24,AC441-1)&gt;0.01))*('Recurring Items'!$H$31&lt;&gt;"Skip")*(DAY(AB441)='Recurring Items'!$F$31)*IFERROR(N('Recurring Items'!$D$31),0)+(IF(AC441=1,'Debt Tracker'!$P$29&gt;0.01,INDEX('Debt Tracker'!$T$5:$AE$29,25,AC441-1)&gt;0.01))*('Recurring Items'!$H$32&lt;&gt;"Skip")*(DAY(AB441)='Recurring Items'!$F$32)*IFERROR(N('Recurring Items'!$D$32),0)</f>
        <v>0</v>
      </c>
      <c r="AG441" s="1" t="n">
        <f aca="false">AD441-AE441-AF441</f>
        <v>0</v>
      </c>
      <c r="AH441" s="1" t="n">
        <f aca="false">AH440+AG441</f>
        <v>17676.69</v>
      </c>
    </row>
    <row r="442" customFormat="false" ht="15" hidden="false" customHeight="true" outlineLevel="0" collapsed="false">
      <c r="AA442" s="1" t="n">
        <v>242</v>
      </c>
      <c r="AB442" s="145" t="n">
        <f aca="false">$D$3+242</f>
        <v>46385</v>
      </c>
      <c r="AC442" s="1" t="n">
        <f aca="false">MIN(12,1+DATEDIF($D$3,AB442,"M"))</f>
        <v>8</v>
      </c>
      <c r="AD442" s="1" t="n">
        <f aca="false">SUMPRODUCT(('Recurring Items'!$C$6:$C$56="Income")*('Recurring Items'!$H$6:$H$56&lt;&gt;"Skip")*IFERROR(N('Recurring Items'!$D$6:$D$56),0)*(('Recurring Items'!$E$6:$E$56="Monthly")*(DAY(AB442)='Recurring Items'!$F$6:$F$56)+('Recurring Items'!$E$6:$E$56="Bi-weekly")*(WEEKDAY(AB442)=IFERROR(WEEKDAY('Recurring Items'!$G$6:$G$56),0))*(MOD(AB442-IFERROR('Recurring Items'!$G$6:$G$56,0),14)=0)*(AB442&gt;=IFERROR('Recurring Items'!$G$6:$G$56,9000000000))+('Recurring Items'!$E$6:$E$56="Weekly")*(WEEKDAY(AB442)=IFERROR(WEEKDAY('Recurring Items'!$G$6:$G$56),0))*(AB442&gt;=IFERROR('Recurring Items'!$G$6:$G$56,9000000000))+('Recurring Items'!$E$6:$E$56="One-time")*(AB442='Recurring Items'!$G$6:$G$56)))</f>
        <v>0</v>
      </c>
      <c r="AE442" s="1" t="n">
        <f aca="false">SUMPRODUCT(('Recurring Items'!$C$6:$C$56="Expense")*('Recurring Items'!$H$6:$H$56&lt;&gt;"Skip")*IFERROR(N('Recurring Items'!$D$6:$D$56),0)*(('Recurring Items'!$E$6:$E$56="Monthly")*(DAY(AB442)='Recurring Items'!$F$6:$F$56)+('Recurring Items'!$E$6:$E$56="Bi-weekly")*(WEEKDAY(AB442)=IFERROR(WEEKDAY('Recurring Items'!$G$6:$G$56),0))*(MOD(AB442-IFERROR('Recurring Items'!$G$6:$G$56,0),14)=0)*(AB442&gt;=IFERROR('Recurring Items'!$G$6:$G$56,9000000000))+('Recurring Items'!$E$6:$E$56="Weekly")*(WEEKDAY(AB442)=IFERROR(WEEKDAY('Recurring Items'!$G$6:$G$56),0))*(AB442&gt;=IFERROR('Recurring Items'!$G$6:$G$56,9000000000))+('Recurring Items'!$E$6:$E$56="One-time")*(AB442='Recurring Items'!$G$6:$G$56)))</f>
        <v>237.58</v>
      </c>
      <c r="AF442" s="1" t="n">
        <f aca="false">(IF(AC442=1,'Debt Tracker'!$P$5&gt;0.01,INDEX('Debt Tracker'!$T$5:$AE$29,1,AC442-1)&gt;0.01))*('Recurring Items'!$H$8&lt;&gt;"Skip")*(DAY(AB442)='Recurring Items'!$F$8)*IFERROR(N('Recurring Items'!$D$8),0)+(IF(AC442=1,'Debt Tracker'!$P$6&gt;0.01,INDEX('Debt Tracker'!$T$5:$AE$29,2,AC442-1)&gt;0.01))*('Recurring Items'!$H$9&lt;&gt;"Skip")*(DAY(AB442)='Recurring Items'!$F$9)*IFERROR(N('Recurring Items'!$D$9),0)+(IF(AC442=1,'Debt Tracker'!$P$7&gt;0.01,INDEX('Debt Tracker'!$T$5:$AE$29,3,AC442-1)&gt;0.01))*('Recurring Items'!$H$10&lt;&gt;"Skip")*(DAY(AB442)='Recurring Items'!$F$10)*IFERROR(N('Recurring Items'!$D$10),0)+(IF(AC442=1,'Debt Tracker'!$P$8&gt;0.01,INDEX('Debt Tracker'!$T$5:$AE$29,4,AC442-1)&gt;0.01))*('Recurring Items'!$H$11&lt;&gt;"Skip")*(DAY(AB442)='Recurring Items'!$F$11)*IFERROR(N('Recurring Items'!$D$11),0)+(IF(AC442=1,'Debt Tracker'!$P$9&gt;0.01,INDEX('Debt Tracker'!$T$5:$AE$29,5,AC442-1)&gt;0.01))*('Recurring Items'!$H$12&lt;&gt;"Skip")*(DAY(AB442)='Recurring Items'!$F$12)*IFERROR(N('Recurring Items'!$D$12),0)+(IF(AC442=1,'Debt Tracker'!$P$10&gt;0.01,INDEX('Debt Tracker'!$T$5:$AE$29,6,AC442-1)&gt;0.01))*('Recurring Items'!$H$13&lt;&gt;"Skip")*(DAY(AB442)='Recurring Items'!$F$13)*IFERROR(N('Recurring Items'!$D$13),0)+(IF(AC442=1,'Debt Tracker'!$P$11&gt;0.01,INDEX('Debt Tracker'!$T$5:$AE$29,7,AC442-1)&gt;0.01))*('Recurring Items'!$H$14&lt;&gt;"Skip")*(DAY(AB442)='Recurring Items'!$F$14)*IFERROR(N('Recurring Items'!$D$14),0)+(IF(AC442=1,'Debt Tracker'!$P$12&gt;0.01,INDEX('Debt Tracker'!$T$5:$AE$29,8,AC442-1)&gt;0.01))*('Recurring Items'!$H$15&lt;&gt;"Skip")*(DAY(AB442)='Recurring Items'!$F$15)*IFERROR(N('Recurring Items'!$D$15),0)+(IF(AC442=1,'Debt Tracker'!$P$13&gt;0.01,INDEX('Debt Tracker'!$T$5:$AE$29,9,AC442-1)&gt;0.01))*('Recurring Items'!$H$16&lt;&gt;"Skip")*(DAY(AB442)='Recurring Items'!$F$16)*IFERROR(N('Recurring Items'!$D$16),0)+(IF(AC442=1,'Debt Tracker'!$P$14&gt;0.01,INDEX('Debt Tracker'!$T$5:$AE$29,10,AC442-1)&gt;0.01))*('Recurring Items'!$H$17&lt;&gt;"Skip")*(DAY(AB442)='Recurring Items'!$F$17)*IFERROR(N('Recurring Items'!$D$17),0)+(IF(AC442=1,'Debt Tracker'!$P$15&gt;0.01,INDEX('Debt Tracker'!$T$5:$AE$29,11,AC442-1)&gt;0.01))*('Recurring Items'!$H$18&lt;&gt;"Skip")*(DAY(AB442)='Recurring Items'!$F$18)*IFERROR(N('Recurring Items'!$D$18),0)+(IF(AC442=1,'Debt Tracker'!$P$16&gt;0.01,INDEX('Debt Tracker'!$T$5:$AE$29,12,AC442-1)&gt;0.01))*('Recurring Items'!$H$19&lt;&gt;"Skip")*(DAY(AB442)='Recurring Items'!$F$19)*IFERROR(N('Recurring Items'!$D$19),0)+(IF(AC442=1,'Debt Tracker'!$P$17&gt;0.01,INDEX('Debt Tracker'!$T$5:$AE$29,13,AC442-1)&gt;0.01))*('Recurring Items'!$H$20&lt;&gt;"Skip")*(DAY(AB442)='Recurring Items'!$F$20)*IFERROR(N('Recurring Items'!$D$20),0)+(IF(AC442=1,'Debt Tracker'!$P$18&gt;0.01,INDEX('Debt Tracker'!$T$5:$AE$29,14,AC442-1)&gt;0.01))*('Recurring Items'!$H$21&lt;&gt;"Skip")*(DAY(AB442)='Recurring Items'!$F$21)*IFERROR(N('Recurring Items'!$D$21),0)+(IF(AC442=1,'Debt Tracker'!$P$19&gt;0.01,INDEX('Debt Tracker'!$T$5:$AE$29,15,AC442-1)&gt;0.01))*('Recurring Items'!$H$22&lt;&gt;"Skip")*(DAY(AB442)='Recurring Items'!$F$22)*IFERROR(N('Recurring Items'!$D$22),0)+(IF(AC442=1,'Debt Tracker'!$P$20&gt;0.01,INDEX('Debt Tracker'!$T$5:$AE$29,16,AC442-1)&gt;0.01))*('Recurring Items'!$H$23&lt;&gt;"Skip")*(DAY(AB442)='Recurring Items'!$F$23)*IFERROR(N('Recurring Items'!$D$23),0)+(IF(AC442=1,'Debt Tracker'!$P$21&gt;0.01,INDEX('Debt Tracker'!$T$5:$AE$29,17,AC442-1)&gt;0.01))*('Recurring Items'!$H$24&lt;&gt;"Skip")*(DAY(AB442)='Recurring Items'!$F$24)*IFERROR(N('Recurring Items'!$D$24),0)+(IF(AC442=1,'Debt Tracker'!$P$22&gt;0.01,INDEX('Debt Tracker'!$T$5:$AE$29,18,AC442-1)&gt;0.01))*('Recurring Items'!$H$25&lt;&gt;"Skip")*(DAY(AB442)='Recurring Items'!$F$25)*IFERROR(N('Recurring Items'!$D$25),0)+(IF(AC442=1,'Debt Tracker'!$P$23&gt;0.01,INDEX('Debt Tracker'!$T$5:$AE$29,19,AC442-1)&gt;0.01))*('Recurring Items'!$H$26&lt;&gt;"Skip")*(DAY(AB442)='Recurring Items'!$F$26)*IFERROR(N('Recurring Items'!$D$26),0)+(IF(AC442=1,'Debt Tracker'!$P$24&gt;0.01,INDEX('Debt Tracker'!$T$5:$AE$29,20,AC442-1)&gt;0.01))*('Recurring Items'!$H$27&lt;&gt;"Skip")*(DAY(AB442)='Recurring Items'!$F$27)*IFERROR(N('Recurring Items'!$D$27),0)+(IF(AC442=1,'Debt Tracker'!$P$25&gt;0.01,INDEX('Debt Tracker'!$T$5:$AE$29,21,AC442-1)&gt;0.01))*('Recurring Items'!$H$28&lt;&gt;"Skip")*(DAY(AB442)='Recurring Items'!$F$28)*IFERROR(N('Recurring Items'!$D$28),0)+(IF(AC442=1,'Debt Tracker'!$P$26&gt;0.01,INDEX('Debt Tracker'!$T$5:$AE$29,22,AC442-1)&gt;0.01))*('Recurring Items'!$H$29&lt;&gt;"Skip")*(DAY(AB442)='Recurring Items'!$F$29)*IFERROR(N('Recurring Items'!$D$29),0)+(IF(AC442=1,'Debt Tracker'!$P$27&gt;0.01,INDEX('Debt Tracker'!$T$5:$AE$29,23,AC442-1)&gt;0.01))*('Recurring Items'!$H$30&lt;&gt;"Skip")*(DAY(AB442)='Recurring Items'!$F$30)*IFERROR(N('Recurring Items'!$D$30),0)+(IF(AC442=1,'Debt Tracker'!$P$28&gt;0.01,INDEX('Debt Tracker'!$T$5:$AE$29,24,AC442-1)&gt;0.01))*('Recurring Items'!$H$31&lt;&gt;"Skip")*(DAY(AB442)='Recurring Items'!$F$31)*IFERROR(N('Recurring Items'!$D$31),0)+(IF(AC442=1,'Debt Tracker'!$P$29&gt;0.01,INDEX('Debt Tracker'!$T$5:$AE$29,25,AC442-1)&gt;0.01))*('Recurring Items'!$H$32&lt;&gt;"Skip")*(DAY(AB442)='Recurring Items'!$F$32)*IFERROR(N('Recurring Items'!$D$32),0)</f>
        <v>206.43</v>
      </c>
      <c r="AG442" s="1" t="n">
        <f aca="false">AD442-AE442-AF442</f>
        <v>-444.01</v>
      </c>
      <c r="AH442" s="1" t="n">
        <f aca="false">AH441+AG442</f>
        <v>17232.68</v>
      </c>
    </row>
    <row r="443" customFormat="false" ht="15" hidden="false" customHeight="true" outlineLevel="0" collapsed="false">
      <c r="AA443" s="1" t="n">
        <v>243</v>
      </c>
      <c r="AB443" s="145" t="n">
        <f aca="false">$D$3+243</f>
        <v>46386</v>
      </c>
      <c r="AC443" s="1" t="n">
        <f aca="false">MIN(12,1+DATEDIF($D$3,AB443,"M"))</f>
        <v>8</v>
      </c>
      <c r="AD443" s="1" t="n">
        <f aca="false">SUMPRODUCT(('Recurring Items'!$C$6:$C$56="Income")*('Recurring Items'!$H$6:$H$56&lt;&gt;"Skip")*IFERROR(N('Recurring Items'!$D$6:$D$56),0)*(('Recurring Items'!$E$6:$E$56="Monthly")*(DAY(AB443)='Recurring Items'!$F$6:$F$56)+('Recurring Items'!$E$6:$E$56="Bi-weekly")*(WEEKDAY(AB443)=IFERROR(WEEKDAY('Recurring Items'!$G$6:$G$56),0))*(MOD(AB443-IFERROR('Recurring Items'!$G$6:$G$56,0),14)=0)*(AB443&gt;=IFERROR('Recurring Items'!$G$6:$G$56,9000000000))+('Recurring Items'!$E$6:$E$56="Weekly")*(WEEKDAY(AB443)=IFERROR(WEEKDAY('Recurring Items'!$G$6:$G$56),0))*(AB443&gt;=IFERROR('Recurring Items'!$G$6:$G$56,9000000000))+('Recurring Items'!$E$6:$E$56="One-time")*(AB443='Recurring Items'!$G$6:$G$56)))</f>
        <v>0</v>
      </c>
      <c r="AE443" s="1" t="n">
        <f aca="false">SUMPRODUCT(('Recurring Items'!$C$6:$C$56="Expense")*('Recurring Items'!$H$6:$H$56&lt;&gt;"Skip")*IFERROR(N('Recurring Items'!$D$6:$D$56),0)*(('Recurring Items'!$E$6:$E$56="Monthly")*(DAY(AB443)='Recurring Items'!$F$6:$F$56)+('Recurring Items'!$E$6:$E$56="Bi-weekly")*(WEEKDAY(AB443)=IFERROR(WEEKDAY('Recurring Items'!$G$6:$G$56),0))*(MOD(AB443-IFERROR('Recurring Items'!$G$6:$G$56,0),14)=0)*(AB443&gt;=IFERROR('Recurring Items'!$G$6:$G$56,9000000000))+('Recurring Items'!$E$6:$E$56="Weekly")*(WEEKDAY(AB443)=IFERROR(WEEKDAY('Recurring Items'!$G$6:$G$56),0))*(AB443&gt;=IFERROR('Recurring Items'!$G$6:$G$56,9000000000))+('Recurring Items'!$E$6:$E$56="One-time")*(AB443='Recurring Items'!$G$6:$G$56)))</f>
        <v>0</v>
      </c>
      <c r="AF443" s="1" t="n">
        <f aca="false">(IF(AC443=1,'Debt Tracker'!$P$5&gt;0.01,INDEX('Debt Tracker'!$T$5:$AE$29,1,AC443-1)&gt;0.01))*('Recurring Items'!$H$8&lt;&gt;"Skip")*(DAY(AB443)='Recurring Items'!$F$8)*IFERROR(N('Recurring Items'!$D$8),0)+(IF(AC443=1,'Debt Tracker'!$P$6&gt;0.01,INDEX('Debt Tracker'!$T$5:$AE$29,2,AC443-1)&gt;0.01))*('Recurring Items'!$H$9&lt;&gt;"Skip")*(DAY(AB443)='Recurring Items'!$F$9)*IFERROR(N('Recurring Items'!$D$9),0)+(IF(AC443=1,'Debt Tracker'!$P$7&gt;0.01,INDEX('Debt Tracker'!$T$5:$AE$29,3,AC443-1)&gt;0.01))*('Recurring Items'!$H$10&lt;&gt;"Skip")*(DAY(AB443)='Recurring Items'!$F$10)*IFERROR(N('Recurring Items'!$D$10),0)+(IF(AC443=1,'Debt Tracker'!$P$8&gt;0.01,INDEX('Debt Tracker'!$T$5:$AE$29,4,AC443-1)&gt;0.01))*('Recurring Items'!$H$11&lt;&gt;"Skip")*(DAY(AB443)='Recurring Items'!$F$11)*IFERROR(N('Recurring Items'!$D$11),0)+(IF(AC443=1,'Debt Tracker'!$P$9&gt;0.01,INDEX('Debt Tracker'!$T$5:$AE$29,5,AC443-1)&gt;0.01))*('Recurring Items'!$H$12&lt;&gt;"Skip")*(DAY(AB443)='Recurring Items'!$F$12)*IFERROR(N('Recurring Items'!$D$12),0)+(IF(AC443=1,'Debt Tracker'!$P$10&gt;0.01,INDEX('Debt Tracker'!$T$5:$AE$29,6,AC443-1)&gt;0.01))*('Recurring Items'!$H$13&lt;&gt;"Skip")*(DAY(AB443)='Recurring Items'!$F$13)*IFERROR(N('Recurring Items'!$D$13),0)+(IF(AC443=1,'Debt Tracker'!$P$11&gt;0.01,INDEX('Debt Tracker'!$T$5:$AE$29,7,AC443-1)&gt;0.01))*('Recurring Items'!$H$14&lt;&gt;"Skip")*(DAY(AB443)='Recurring Items'!$F$14)*IFERROR(N('Recurring Items'!$D$14),0)+(IF(AC443=1,'Debt Tracker'!$P$12&gt;0.01,INDEX('Debt Tracker'!$T$5:$AE$29,8,AC443-1)&gt;0.01))*('Recurring Items'!$H$15&lt;&gt;"Skip")*(DAY(AB443)='Recurring Items'!$F$15)*IFERROR(N('Recurring Items'!$D$15),0)+(IF(AC443=1,'Debt Tracker'!$P$13&gt;0.01,INDEX('Debt Tracker'!$T$5:$AE$29,9,AC443-1)&gt;0.01))*('Recurring Items'!$H$16&lt;&gt;"Skip")*(DAY(AB443)='Recurring Items'!$F$16)*IFERROR(N('Recurring Items'!$D$16),0)+(IF(AC443=1,'Debt Tracker'!$P$14&gt;0.01,INDEX('Debt Tracker'!$T$5:$AE$29,10,AC443-1)&gt;0.01))*('Recurring Items'!$H$17&lt;&gt;"Skip")*(DAY(AB443)='Recurring Items'!$F$17)*IFERROR(N('Recurring Items'!$D$17),0)+(IF(AC443=1,'Debt Tracker'!$P$15&gt;0.01,INDEX('Debt Tracker'!$T$5:$AE$29,11,AC443-1)&gt;0.01))*('Recurring Items'!$H$18&lt;&gt;"Skip")*(DAY(AB443)='Recurring Items'!$F$18)*IFERROR(N('Recurring Items'!$D$18),0)+(IF(AC443=1,'Debt Tracker'!$P$16&gt;0.01,INDEX('Debt Tracker'!$T$5:$AE$29,12,AC443-1)&gt;0.01))*('Recurring Items'!$H$19&lt;&gt;"Skip")*(DAY(AB443)='Recurring Items'!$F$19)*IFERROR(N('Recurring Items'!$D$19),0)+(IF(AC443=1,'Debt Tracker'!$P$17&gt;0.01,INDEX('Debt Tracker'!$T$5:$AE$29,13,AC443-1)&gt;0.01))*('Recurring Items'!$H$20&lt;&gt;"Skip")*(DAY(AB443)='Recurring Items'!$F$20)*IFERROR(N('Recurring Items'!$D$20),0)+(IF(AC443=1,'Debt Tracker'!$P$18&gt;0.01,INDEX('Debt Tracker'!$T$5:$AE$29,14,AC443-1)&gt;0.01))*('Recurring Items'!$H$21&lt;&gt;"Skip")*(DAY(AB443)='Recurring Items'!$F$21)*IFERROR(N('Recurring Items'!$D$21),0)+(IF(AC443=1,'Debt Tracker'!$P$19&gt;0.01,INDEX('Debt Tracker'!$T$5:$AE$29,15,AC443-1)&gt;0.01))*('Recurring Items'!$H$22&lt;&gt;"Skip")*(DAY(AB443)='Recurring Items'!$F$22)*IFERROR(N('Recurring Items'!$D$22),0)+(IF(AC443=1,'Debt Tracker'!$P$20&gt;0.01,INDEX('Debt Tracker'!$T$5:$AE$29,16,AC443-1)&gt;0.01))*('Recurring Items'!$H$23&lt;&gt;"Skip")*(DAY(AB443)='Recurring Items'!$F$23)*IFERROR(N('Recurring Items'!$D$23),0)+(IF(AC443=1,'Debt Tracker'!$P$21&gt;0.01,INDEX('Debt Tracker'!$T$5:$AE$29,17,AC443-1)&gt;0.01))*('Recurring Items'!$H$24&lt;&gt;"Skip")*(DAY(AB443)='Recurring Items'!$F$24)*IFERROR(N('Recurring Items'!$D$24),0)+(IF(AC443=1,'Debt Tracker'!$P$22&gt;0.01,INDEX('Debt Tracker'!$T$5:$AE$29,18,AC443-1)&gt;0.01))*('Recurring Items'!$H$25&lt;&gt;"Skip")*(DAY(AB443)='Recurring Items'!$F$25)*IFERROR(N('Recurring Items'!$D$25),0)+(IF(AC443=1,'Debt Tracker'!$P$23&gt;0.01,INDEX('Debt Tracker'!$T$5:$AE$29,19,AC443-1)&gt;0.01))*('Recurring Items'!$H$26&lt;&gt;"Skip")*(DAY(AB443)='Recurring Items'!$F$26)*IFERROR(N('Recurring Items'!$D$26),0)+(IF(AC443=1,'Debt Tracker'!$P$24&gt;0.01,INDEX('Debt Tracker'!$T$5:$AE$29,20,AC443-1)&gt;0.01))*('Recurring Items'!$H$27&lt;&gt;"Skip")*(DAY(AB443)='Recurring Items'!$F$27)*IFERROR(N('Recurring Items'!$D$27),0)+(IF(AC443=1,'Debt Tracker'!$P$25&gt;0.01,INDEX('Debt Tracker'!$T$5:$AE$29,21,AC443-1)&gt;0.01))*('Recurring Items'!$H$28&lt;&gt;"Skip")*(DAY(AB443)='Recurring Items'!$F$28)*IFERROR(N('Recurring Items'!$D$28),0)+(IF(AC443=1,'Debt Tracker'!$P$26&gt;0.01,INDEX('Debt Tracker'!$T$5:$AE$29,22,AC443-1)&gt;0.01))*('Recurring Items'!$H$29&lt;&gt;"Skip")*(DAY(AB443)='Recurring Items'!$F$29)*IFERROR(N('Recurring Items'!$D$29),0)+(IF(AC443=1,'Debt Tracker'!$P$27&gt;0.01,INDEX('Debt Tracker'!$T$5:$AE$29,23,AC443-1)&gt;0.01))*('Recurring Items'!$H$30&lt;&gt;"Skip")*(DAY(AB443)='Recurring Items'!$F$30)*IFERROR(N('Recurring Items'!$D$30),0)+(IF(AC443=1,'Debt Tracker'!$P$28&gt;0.01,INDEX('Debt Tracker'!$T$5:$AE$29,24,AC443-1)&gt;0.01))*('Recurring Items'!$H$31&lt;&gt;"Skip")*(DAY(AB443)='Recurring Items'!$F$31)*IFERROR(N('Recurring Items'!$D$31),0)+(IF(AC443=1,'Debt Tracker'!$P$29&gt;0.01,INDEX('Debt Tracker'!$T$5:$AE$29,25,AC443-1)&gt;0.01))*('Recurring Items'!$H$32&lt;&gt;"Skip")*(DAY(AB443)='Recurring Items'!$F$32)*IFERROR(N('Recurring Items'!$D$32),0)</f>
        <v>0</v>
      </c>
      <c r="AG443" s="1" t="n">
        <f aca="false">AD443-AE443-AF443</f>
        <v>0</v>
      </c>
      <c r="AH443" s="1" t="n">
        <f aca="false">AH442+AG443</f>
        <v>17232.68</v>
      </c>
    </row>
    <row r="444" customFormat="false" ht="15" hidden="false" customHeight="true" outlineLevel="0" collapsed="false">
      <c r="AA444" s="1" t="n">
        <v>244</v>
      </c>
      <c r="AB444" s="145" t="n">
        <f aca="false">$D$3+244</f>
        <v>46387</v>
      </c>
      <c r="AC444" s="1" t="n">
        <f aca="false">MIN(12,1+DATEDIF($D$3,AB444,"M"))</f>
        <v>8</v>
      </c>
      <c r="AD444" s="1" t="n">
        <f aca="false">SUMPRODUCT(('Recurring Items'!$C$6:$C$56="Income")*('Recurring Items'!$H$6:$H$56&lt;&gt;"Skip")*IFERROR(N('Recurring Items'!$D$6:$D$56),0)*(('Recurring Items'!$E$6:$E$56="Monthly")*(DAY(AB444)='Recurring Items'!$F$6:$F$56)+('Recurring Items'!$E$6:$E$56="Bi-weekly")*(WEEKDAY(AB444)=IFERROR(WEEKDAY('Recurring Items'!$G$6:$G$56),0))*(MOD(AB444-IFERROR('Recurring Items'!$G$6:$G$56,0),14)=0)*(AB444&gt;=IFERROR('Recurring Items'!$G$6:$G$56,9000000000))+('Recurring Items'!$E$6:$E$56="Weekly")*(WEEKDAY(AB444)=IFERROR(WEEKDAY('Recurring Items'!$G$6:$G$56),0))*(AB444&gt;=IFERROR('Recurring Items'!$G$6:$G$56,9000000000))+('Recurring Items'!$E$6:$E$56="One-time")*(AB444='Recurring Items'!$G$6:$G$56)))</f>
        <v>2274.42</v>
      </c>
      <c r="AE444" s="1" t="n">
        <f aca="false">SUMPRODUCT(('Recurring Items'!$C$6:$C$56="Expense")*('Recurring Items'!$H$6:$H$56&lt;&gt;"Skip")*IFERROR(N('Recurring Items'!$D$6:$D$56),0)*(('Recurring Items'!$E$6:$E$56="Monthly")*(DAY(AB444)='Recurring Items'!$F$6:$F$56)+('Recurring Items'!$E$6:$E$56="Bi-weekly")*(WEEKDAY(AB444)=IFERROR(WEEKDAY('Recurring Items'!$G$6:$G$56),0))*(MOD(AB444-IFERROR('Recurring Items'!$G$6:$G$56,0),14)=0)*(AB444&gt;=IFERROR('Recurring Items'!$G$6:$G$56,9000000000))+('Recurring Items'!$E$6:$E$56="Weekly")*(WEEKDAY(AB444)=IFERROR(WEEKDAY('Recurring Items'!$G$6:$G$56),0))*(AB444&gt;=IFERROR('Recurring Items'!$G$6:$G$56,9000000000))+('Recurring Items'!$E$6:$E$56="One-time")*(AB444='Recurring Items'!$G$6:$G$56)))</f>
        <v>0</v>
      </c>
      <c r="AF444" s="1" t="n">
        <f aca="false">(IF(AC444=1,'Debt Tracker'!$P$5&gt;0.01,INDEX('Debt Tracker'!$T$5:$AE$29,1,AC444-1)&gt;0.01))*('Recurring Items'!$H$8&lt;&gt;"Skip")*(DAY(AB444)='Recurring Items'!$F$8)*IFERROR(N('Recurring Items'!$D$8),0)+(IF(AC444=1,'Debt Tracker'!$P$6&gt;0.01,INDEX('Debt Tracker'!$T$5:$AE$29,2,AC444-1)&gt;0.01))*('Recurring Items'!$H$9&lt;&gt;"Skip")*(DAY(AB444)='Recurring Items'!$F$9)*IFERROR(N('Recurring Items'!$D$9),0)+(IF(AC444=1,'Debt Tracker'!$P$7&gt;0.01,INDEX('Debt Tracker'!$T$5:$AE$29,3,AC444-1)&gt;0.01))*('Recurring Items'!$H$10&lt;&gt;"Skip")*(DAY(AB444)='Recurring Items'!$F$10)*IFERROR(N('Recurring Items'!$D$10),0)+(IF(AC444=1,'Debt Tracker'!$P$8&gt;0.01,INDEX('Debt Tracker'!$T$5:$AE$29,4,AC444-1)&gt;0.01))*('Recurring Items'!$H$11&lt;&gt;"Skip")*(DAY(AB444)='Recurring Items'!$F$11)*IFERROR(N('Recurring Items'!$D$11),0)+(IF(AC444=1,'Debt Tracker'!$P$9&gt;0.01,INDEX('Debt Tracker'!$T$5:$AE$29,5,AC444-1)&gt;0.01))*('Recurring Items'!$H$12&lt;&gt;"Skip")*(DAY(AB444)='Recurring Items'!$F$12)*IFERROR(N('Recurring Items'!$D$12),0)+(IF(AC444=1,'Debt Tracker'!$P$10&gt;0.01,INDEX('Debt Tracker'!$T$5:$AE$29,6,AC444-1)&gt;0.01))*('Recurring Items'!$H$13&lt;&gt;"Skip")*(DAY(AB444)='Recurring Items'!$F$13)*IFERROR(N('Recurring Items'!$D$13),0)+(IF(AC444=1,'Debt Tracker'!$P$11&gt;0.01,INDEX('Debt Tracker'!$T$5:$AE$29,7,AC444-1)&gt;0.01))*('Recurring Items'!$H$14&lt;&gt;"Skip")*(DAY(AB444)='Recurring Items'!$F$14)*IFERROR(N('Recurring Items'!$D$14),0)+(IF(AC444=1,'Debt Tracker'!$P$12&gt;0.01,INDEX('Debt Tracker'!$T$5:$AE$29,8,AC444-1)&gt;0.01))*('Recurring Items'!$H$15&lt;&gt;"Skip")*(DAY(AB444)='Recurring Items'!$F$15)*IFERROR(N('Recurring Items'!$D$15),0)+(IF(AC444=1,'Debt Tracker'!$P$13&gt;0.01,INDEX('Debt Tracker'!$T$5:$AE$29,9,AC444-1)&gt;0.01))*('Recurring Items'!$H$16&lt;&gt;"Skip")*(DAY(AB444)='Recurring Items'!$F$16)*IFERROR(N('Recurring Items'!$D$16),0)+(IF(AC444=1,'Debt Tracker'!$P$14&gt;0.01,INDEX('Debt Tracker'!$T$5:$AE$29,10,AC444-1)&gt;0.01))*('Recurring Items'!$H$17&lt;&gt;"Skip")*(DAY(AB444)='Recurring Items'!$F$17)*IFERROR(N('Recurring Items'!$D$17),0)+(IF(AC444=1,'Debt Tracker'!$P$15&gt;0.01,INDEX('Debt Tracker'!$T$5:$AE$29,11,AC444-1)&gt;0.01))*('Recurring Items'!$H$18&lt;&gt;"Skip")*(DAY(AB444)='Recurring Items'!$F$18)*IFERROR(N('Recurring Items'!$D$18),0)+(IF(AC444=1,'Debt Tracker'!$P$16&gt;0.01,INDEX('Debt Tracker'!$T$5:$AE$29,12,AC444-1)&gt;0.01))*('Recurring Items'!$H$19&lt;&gt;"Skip")*(DAY(AB444)='Recurring Items'!$F$19)*IFERROR(N('Recurring Items'!$D$19),0)+(IF(AC444=1,'Debt Tracker'!$P$17&gt;0.01,INDEX('Debt Tracker'!$T$5:$AE$29,13,AC444-1)&gt;0.01))*('Recurring Items'!$H$20&lt;&gt;"Skip")*(DAY(AB444)='Recurring Items'!$F$20)*IFERROR(N('Recurring Items'!$D$20),0)+(IF(AC444=1,'Debt Tracker'!$P$18&gt;0.01,INDEX('Debt Tracker'!$T$5:$AE$29,14,AC444-1)&gt;0.01))*('Recurring Items'!$H$21&lt;&gt;"Skip")*(DAY(AB444)='Recurring Items'!$F$21)*IFERROR(N('Recurring Items'!$D$21),0)+(IF(AC444=1,'Debt Tracker'!$P$19&gt;0.01,INDEX('Debt Tracker'!$T$5:$AE$29,15,AC444-1)&gt;0.01))*('Recurring Items'!$H$22&lt;&gt;"Skip")*(DAY(AB444)='Recurring Items'!$F$22)*IFERROR(N('Recurring Items'!$D$22),0)+(IF(AC444=1,'Debt Tracker'!$P$20&gt;0.01,INDEX('Debt Tracker'!$T$5:$AE$29,16,AC444-1)&gt;0.01))*('Recurring Items'!$H$23&lt;&gt;"Skip")*(DAY(AB444)='Recurring Items'!$F$23)*IFERROR(N('Recurring Items'!$D$23),0)+(IF(AC444=1,'Debt Tracker'!$P$21&gt;0.01,INDEX('Debt Tracker'!$T$5:$AE$29,17,AC444-1)&gt;0.01))*('Recurring Items'!$H$24&lt;&gt;"Skip")*(DAY(AB444)='Recurring Items'!$F$24)*IFERROR(N('Recurring Items'!$D$24),0)+(IF(AC444=1,'Debt Tracker'!$P$22&gt;0.01,INDEX('Debt Tracker'!$T$5:$AE$29,18,AC444-1)&gt;0.01))*('Recurring Items'!$H$25&lt;&gt;"Skip")*(DAY(AB444)='Recurring Items'!$F$25)*IFERROR(N('Recurring Items'!$D$25),0)+(IF(AC444=1,'Debt Tracker'!$P$23&gt;0.01,INDEX('Debt Tracker'!$T$5:$AE$29,19,AC444-1)&gt;0.01))*('Recurring Items'!$H$26&lt;&gt;"Skip")*(DAY(AB444)='Recurring Items'!$F$26)*IFERROR(N('Recurring Items'!$D$26),0)+(IF(AC444=1,'Debt Tracker'!$P$24&gt;0.01,INDEX('Debt Tracker'!$T$5:$AE$29,20,AC444-1)&gt;0.01))*('Recurring Items'!$H$27&lt;&gt;"Skip")*(DAY(AB444)='Recurring Items'!$F$27)*IFERROR(N('Recurring Items'!$D$27),0)+(IF(AC444=1,'Debt Tracker'!$P$25&gt;0.01,INDEX('Debt Tracker'!$T$5:$AE$29,21,AC444-1)&gt;0.01))*('Recurring Items'!$H$28&lt;&gt;"Skip")*(DAY(AB444)='Recurring Items'!$F$28)*IFERROR(N('Recurring Items'!$D$28),0)+(IF(AC444=1,'Debt Tracker'!$P$26&gt;0.01,INDEX('Debt Tracker'!$T$5:$AE$29,22,AC444-1)&gt;0.01))*('Recurring Items'!$H$29&lt;&gt;"Skip")*(DAY(AB444)='Recurring Items'!$F$29)*IFERROR(N('Recurring Items'!$D$29),0)+(IF(AC444=1,'Debt Tracker'!$P$27&gt;0.01,INDEX('Debt Tracker'!$T$5:$AE$29,23,AC444-1)&gt;0.01))*('Recurring Items'!$H$30&lt;&gt;"Skip")*(DAY(AB444)='Recurring Items'!$F$30)*IFERROR(N('Recurring Items'!$D$30),0)+(IF(AC444=1,'Debt Tracker'!$P$28&gt;0.01,INDEX('Debt Tracker'!$T$5:$AE$29,24,AC444-1)&gt;0.01))*('Recurring Items'!$H$31&lt;&gt;"Skip")*(DAY(AB444)='Recurring Items'!$F$31)*IFERROR(N('Recurring Items'!$D$31),0)+(IF(AC444=1,'Debt Tracker'!$P$29&gt;0.01,INDEX('Debt Tracker'!$T$5:$AE$29,25,AC444-1)&gt;0.01))*('Recurring Items'!$H$32&lt;&gt;"Skip")*(DAY(AB444)='Recurring Items'!$F$32)*IFERROR(N('Recurring Items'!$D$32),0)</f>
        <v>0</v>
      </c>
      <c r="AG444" s="1" t="n">
        <f aca="false">AD444-AE444-AF444</f>
        <v>2274.42</v>
      </c>
      <c r="AH444" s="1" t="n">
        <f aca="false">AH443+AG444</f>
        <v>19507.1</v>
      </c>
    </row>
    <row r="445" customFormat="false" ht="15" hidden="false" customHeight="true" outlineLevel="0" collapsed="false">
      <c r="AA445" s="1" t="n">
        <v>245</v>
      </c>
      <c r="AB445" s="145" t="n">
        <f aca="false">$D$3+245</f>
        <v>46388</v>
      </c>
      <c r="AC445" s="1" t="n">
        <f aca="false">MIN(12,1+DATEDIF($D$3,AB445,"M"))</f>
        <v>9</v>
      </c>
      <c r="AD445" s="1" t="n">
        <f aca="false">SUMPRODUCT(('Recurring Items'!$C$6:$C$56="Income")*('Recurring Items'!$H$6:$H$56&lt;&gt;"Skip")*IFERROR(N('Recurring Items'!$D$6:$D$56),0)*(('Recurring Items'!$E$6:$E$56="Monthly")*(DAY(AB445)='Recurring Items'!$F$6:$F$56)+('Recurring Items'!$E$6:$E$56="Bi-weekly")*(WEEKDAY(AB445)=IFERROR(WEEKDAY('Recurring Items'!$G$6:$G$56),0))*(MOD(AB445-IFERROR('Recurring Items'!$G$6:$G$56,0),14)=0)*(AB445&gt;=IFERROR('Recurring Items'!$G$6:$G$56,9000000000))+('Recurring Items'!$E$6:$E$56="Weekly")*(WEEKDAY(AB445)=IFERROR(WEEKDAY('Recurring Items'!$G$6:$G$56),0))*(AB445&gt;=IFERROR('Recurring Items'!$G$6:$G$56,9000000000))+('Recurring Items'!$E$6:$E$56="One-time")*(AB445='Recurring Items'!$G$6:$G$56)))</f>
        <v>0</v>
      </c>
      <c r="AE445" s="1" t="n">
        <f aca="false">SUMPRODUCT(('Recurring Items'!$C$6:$C$56="Expense")*('Recurring Items'!$H$6:$H$56&lt;&gt;"Skip")*IFERROR(N('Recurring Items'!$D$6:$D$56),0)*(('Recurring Items'!$E$6:$E$56="Monthly")*(DAY(AB445)='Recurring Items'!$F$6:$F$56)+('Recurring Items'!$E$6:$E$56="Bi-weekly")*(WEEKDAY(AB445)=IFERROR(WEEKDAY('Recurring Items'!$G$6:$G$56),0))*(MOD(AB445-IFERROR('Recurring Items'!$G$6:$G$56,0),14)=0)*(AB445&gt;=IFERROR('Recurring Items'!$G$6:$G$56,9000000000))+('Recurring Items'!$E$6:$E$56="Weekly")*(WEEKDAY(AB445)=IFERROR(WEEKDAY('Recurring Items'!$G$6:$G$56),0))*(AB445&gt;=IFERROR('Recurring Items'!$G$6:$G$56,9000000000))+('Recurring Items'!$E$6:$E$56="One-time")*(AB445='Recurring Items'!$G$6:$G$56)))</f>
        <v>601.16</v>
      </c>
      <c r="AF445" s="1" t="n">
        <f aca="false">(IF(AC445=1,'Debt Tracker'!$P$5&gt;0.01,INDEX('Debt Tracker'!$T$5:$AE$29,1,AC445-1)&gt;0.01))*('Recurring Items'!$H$8&lt;&gt;"Skip")*(DAY(AB445)='Recurring Items'!$F$8)*IFERROR(N('Recurring Items'!$D$8),0)+(IF(AC445=1,'Debt Tracker'!$P$6&gt;0.01,INDEX('Debt Tracker'!$T$5:$AE$29,2,AC445-1)&gt;0.01))*('Recurring Items'!$H$9&lt;&gt;"Skip")*(DAY(AB445)='Recurring Items'!$F$9)*IFERROR(N('Recurring Items'!$D$9),0)+(IF(AC445=1,'Debt Tracker'!$P$7&gt;0.01,INDEX('Debt Tracker'!$T$5:$AE$29,3,AC445-1)&gt;0.01))*('Recurring Items'!$H$10&lt;&gt;"Skip")*(DAY(AB445)='Recurring Items'!$F$10)*IFERROR(N('Recurring Items'!$D$10),0)+(IF(AC445=1,'Debt Tracker'!$P$8&gt;0.01,INDEX('Debt Tracker'!$T$5:$AE$29,4,AC445-1)&gt;0.01))*('Recurring Items'!$H$11&lt;&gt;"Skip")*(DAY(AB445)='Recurring Items'!$F$11)*IFERROR(N('Recurring Items'!$D$11),0)+(IF(AC445=1,'Debt Tracker'!$P$9&gt;0.01,INDEX('Debt Tracker'!$T$5:$AE$29,5,AC445-1)&gt;0.01))*('Recurring Items'!$H$12&lt;&gt;"Skip")*(DAY(AB445)='Recurring Items'!$F$12)*IFERROR(N('Recurring Items'!$D$12),0)+(IF(AC445=1,'Debt Tracker'!$P$10&gt;0.01,INDEX('Debt Tracker'!$T$5:$AE$29,6,AC445-1)&gt;0.01))*('Recurring Items'!$H$13&lt;&gt;"Skip")*(DAY(AB445)='Recurring Items'!$F$13)*IFERROR(N('Recurring Items'!$D$13),0)+(IF(AC445=1,'Debt Tracker'!$P$11&gt;0.01,INDEX('Debt Tracker'!$T$5:$AE$29,7,AC445-1)&gt;0.01))*('Recurring Items'!$H$14&lt;&gt;"Skip")*(DAY(AB445)='Recurring Items'!$F$14)*IFERROR(N('Recurring Items'!$D$14),0)+(IF(AC445=1,'Debt Tracker'!$P$12&gt;0.01,INDEX('Debt Tracker'!$T$5:$AE$29,8,AC445-1)&gt;0.01))*('Recurring Items'!$H$15&lt;&gt;"Skip")*(DAY(AB445)='Recurring Items'!$F$15)*IFERROR(N('Recurring Items'!$D$15),0)+(IF(AC445=1,'Debt Tracker'!$P$13&gt;0.01,INDEX('Debt Tracker'!$T$5:$AE$29,9,AC445-1)&gt;0.01))*('Recurring Items'!$H$16&lt;&gt;"Skip")*(DAY(AB445)='Recurring Items'!$F$16)*IFERROR(N('Recurring Items'!$D$16),0)+(IF(AC445=1,'Debt Tracker'!$P$14&gt;0.01,INDEX('Debt Tracker'!$T$5:$AE$29,10,AC445-1)&gt;0.01))*('Recurring Items'!$H$17&lt;&gt;"Skip")*(DAY(AB445)='Recurring Items'!$F$17)*IFERROR(N('Recurring Items'!$D$17),0)+(IF(AC445=1,'Debt Tracker'!$P$15&gt;0.01,INDEX('Debt Tracker'!$T$5:$AE$29,11,AC445-1)&gt;0.01))*('Recurring Items'!$H$18&lt;&gt;"Skip")*(DAY(AB445)='Recurring Items'!$F$18)*IFERROR(N('Recurring Items'!$D$18),0)+(IF(AC445=1,'Debt Tracker'!$P$16&gt;0.01,INDEX('Debt Tracker'!$T$5:$AE$29,12,AC445-1)&gt;0.01))*('Recurring Items'!$H$19&lt;&gt;"Skip")*(DAY(AB445)='Recurring Items'!$F$19)*IFERROR(N('Recurring Items'!$D$19),0)+(IF(AC445=1,'Debt Tracker'!$P$17&gt;0.01,INDEX('Debt Tracker'!$T$5:$AE$29,13,AC445-1)&gt;0.01))*('Recurring Items'!$H$20&lt;&gt;"Skip")*(DAY(AB445)='Recurring Items'!$F$20)*IFERROR(N('Recurring Items'!$D$20),0)+(IF(AC445=1,'Debt Tracker'!$P$18&gt;0.01,INDEX('Debt Tracker'!$T$5:$AE$29,14,AC445-1)&gt;0.01))*('Recurring Items'!$H$21&lt;&gt;"Skip")*(DAY(AB445)='Recurring Items'!$F$21)*IFERROR(N('Recurring Items'!$D$21),0)+(IF(AC445=1,'Debt Tracker'!$P$19&gt;0.01,INDEX('Debt Tracker'!$T$5:$AE$29,15,AC445-1)&gt;0.01))*('Recurring Items'!$H$22&lt;&gt;"Skip")*(DAY(AB445)='Recurring Items'!$F$22)*IFERROR(N('Recurring Items'!$D$22),0)+(IF(AC445=1,'Debt Tracker'!$P$20&gt;0.01,INDEX('Debt Tracker'!$T$5:$AE$29,16,AC445-1)&gt;0.01))*('Recurring Items'!$H$23&lt;&gt;"Skip")*(DAY(AB445)='Recurring Items'!$F$23)*IFERROR(N('Recurring Items'!$D$23),0)+(IF(AC445=1,'Debt Tracker'!$P$21&gt;0.01,INDEX('Debt Tracker'!$T$5:$AE$29,17,AC445-1)&gt;0.01))*('Recurring Items'!$H$24&lt;&gt;"Skip")*(DAY(AB445)='Recurring Items'!$F$24)*IFERROR(N('Recurring Items'!$D$24),0)+(IF(AC445=1,'Debt Tracker'!$P$22&gt;0.01,INDEX('Debt Tracker'!$T$5:$AE$29,18,AC445-1)&gt;0.01))*('Recurring Items'!$H$25&lt;&gt;"Skip")*(DAY(AB445)='Recurring Items'!$F$25)*IFERROR(N('Recurring Items'!$D$25),0)+(IF(AC445=1,'Debt Tracker'!$P$23&gt;0.01,INDEX('Debt Tracker'!$T$5:$AE$29,19,AC445-1)&gt;0.01))*('Recurring Items'!$H$26&lt;&gt;"Skip")*(DAY(AB445)='Recurring Items'!$F$26)*IFERROR(N('Recurring Items'!$D$26),0)+(IF(AC445=1,'Debt Tracker'!$P$24&gt;0.01,INDEX('Debt Tracker'!$T$5:$AE$29,20,AC445-1)&gt;0.01))*('Recurring Items'!$H$27&lt;&gt;"Skip")*(DAY(AB445)='Recurring Items'!$F$27)*IFERROR(N('Recurring Items'!$D$27),0)+(IF(AC445=1,'Debt Tracker'!$P$25&gt;0.01,INDEX('Debt Tracker'!$T$5:$AE$29,21,AC445-1)&gt;0.01))*('Recurring Items'!$H$28&lt;&gt;"Skip")*(DAY(AB445)='Recurring Items'!$F$28)*IFERROR(N('Recurring Items'!$D$28),0)+(IF(AC445=1,'Debt Tracker'!$P$26&gt;0.01,INDEX('Debt Tracker'!$T$5:$AE$29,22,AC445-1)&gt;0.01))*('Recurring Items'!$H$29&lt;&gt;"Skip")*(DAY(AB445)='Recurring Items'!$F$29)*IFERROR(N('Recurring Items'!$D$29),0)+(IF(AC445=1,'Debt Tracker'!$P$27&gt;0.01,INDEX('Debt Tracker'!$T$5:$AE$29,23,AC445-1)&gt;0.01))*('Recurring Items'!$H$30&lt;&gt;"Skip")*(DAY(AB445)='Recurring Items'!$F$30)*IFERROR(N('Recurring Items'!$D$30),0)+(IF(AC445=1,'Debt Tracker'!$P$28&gt;0.01,INDEX('Debt Tracker'!$T$5:$AE$29,24,AC445-1)&gt;0.01))*('Recurring Items'!$H$31&lt;&gt;"Skip")*(DAY(AB445)='Recurring Items'!$F$31)*IFERROR(N('Recurring Items'!$D$31),0)+(IF(AC445=1,'Debt Tracker'!$P$29&gt;0.01,INDEX('Debt Tracker'!$T$5:$AE$29,25,AC445-1)&gt;0.01))*('Recurring Items'!$H$32&lt;&gt;"Skip")*(DAY(AB445)='Recurring Items'!$F$32)*IFERROR(N('Recurring Items'!$D$32),0)</f>
        <v>265.5</v>
      </c>
      <c r="AG445" s="1" t="n">
        <f aca="false">AD445-AE445-AF445</f>
        <v>-866.66</v>
      </c>
      <c r="AH445" s="1" t="n">
        <f aca="false">AH444+AG445</f>
        <v>18640.44</v>
      </c>
    </row>
    <row r="446" customFormat="false" ht="15" hidden="false" customHeight="true" outlineLevel="0" collapsed="false">
      <c r="AA446" s="1" t="n">
        <v>246</v>
      </c>
      <c r="AB446" s="145" t="n">
        <f aca="false">$D$3+246</f>
        <v>46389</v>
      </c>
      <c r="AC446" s="1" t="n">
        <f aca="false">MIN(12,1+DATEDIF($D$3,AB446,"M"))</f>
        <v>9</v>
      </c>
      <c r="AD446" s="1" t="n">
        <f aca="false">SUMPRODUCT(('Recurring Items'!$C$6:$C$56="Income")*('Recurring Items'!$H$6:$H$56&lt;&gt;"Skip")*IFERROR(N('Recurring Items'!$D$6:$D$56),0)*(('Recurring Items'!$E$6:$E$56="Monthly")*(DAY(AB446)='Recurring Items'!$F$6:$F$56)+('Recurring Items'!$E$6:$E$56="Bi-weekly")*(WEEKDAY(AB446)=IFERROR(WEEKDAY('Recurring Items'!$G$6:$G$56),0))*(MOD(AB446-IFERROR('Recurring Items'!$G$6:$G$56,0),14)=0)*(AB446&gt;=IFERROR('Recurring Items'!$G$6:$G$56,9000000000))+('Recurring Items'!$E$6:$E$56="Weekly")*(WEEKDAY(AB446)=IFERROR(WEEKDAY('Recurring Items'!$G$6:$G$56),0))*(AB446&gt;=IFERROR('Recurring Items'!$G$6:$G$56,9000000000))+('Recurring Items'!$E$6:$E$56="One-time")*(AB446='Recurring Items'!$G$6:$G$56)))</f>
        <v>0</v>
      </c>
      <c r="AE446" s="1" t="n">
        <f aca="false">SUMPRODUCT(('Recurring Items'!$C$6:$C$56="Expense")*('Recurring Items'!$H$6:$H$56&lt;&gt;"Skip")*IFERROR(N('Recurring Items'!$D$6:$D$56),0)*(('Recurring Items'!$E$6:$E$56="Monthly")*(DAY(AB446)='Recurring Items'!$F$6:$F$56)+('Recurring Items'!$E$6:$E$56="Bi-weekly")*(WEEKDAY(AB446)=IFERROR(WEEKDAY('Recurring Items'!$G$6:$G$56),0))*(MOD(AB446-IFERROR('Recurring Items'!$G$6:$G$56,0),14)=0)*(AB446&gt;=IFERROR('Recurring Items'!$G$6:$G$56,9000000000))+('Recurring Items'!$E$6:$E$56="Weekly")*(WEEKDAY(AB446)=IFERROR(WEEKDAY('Recurring Items'!$G$6:$G$56),0))*(AB446&gt;=IFERROR('Recurring Items'!$G$6:$G$56,9000000000))+('Recurring Items'!$E$6:$E$56="One-time")*(AB446='Recurring Items'!$G$6:$G$56)))</f>
        <v>0</v>
      </c>
      <c r="AF446" s="1" t="n">
        <f aca="false">(IF(AC446=1,'Debt Tracker'!$P$5&gt;0.01,INDEX('Debt Tracker'!$T$5:$AE$29,1,AC446-1)&gt;0.01))*('Recurring Items'!$H$8&lt;&gt;"Skip")*(DAY(AB446)='Recurring Items'!$F$8)*IFERROR(N('Recurring Items'!$D$8),0)+(IF(AC446=1,'Debt Tracker'!$P$6&gt;0.01,INDEX('Debt Tracker'!$T$5:$AE$29,2,AC446-1)&gt;0.01))*('Recurring Items'!$H$9&lt;&gt;"Skip")*(DAY(AB446)='Recurring Items'!$F$9)*IFERROR(N('Recurring Items'!$D$9),0)+(IF(AC446=1,'Debt Tracker'!$P$7&gt;0.01,INDEX('Debt Tracker'!$T$5:$AE$29,3,AC446-1)&gt;0.01))*('Recurring Items'!$H$10&lt;&gt;"Skip")*(DAY(AB446)='Recurring Items'!$F$10)*IFERROR(N('Recurring Items'!$D$10),0)+(IF(AC446=1,'Debt Tracker'!$P$8&gt;0.01,INDEX('Debt Tracker'!$T$5:$AE$29,4,AC446-1)&gt;0.01))*('Recurring Items'!$H$11&lt;&gt;"Skip")*(DAY(AB446)='Recurring Items'!$F$11)*IFERROR(N('Recurring Items'!$D$11),0)+(IF(AC446=1,'Debt Tracker'!$P$9&gt;0.01,INDEX('Debt Tracker'!$T$5:$AE$29,5,AC446-1)&gt;0.01))*('Recurring Items'!$H$12&lt;&gt;"Skip")*(DAY(AB446)='Recurring Items'!$F$12)*IFERROR(N('Recurring Items'!$D$12),0)+(IF(AC446=1,'Debt Tracker'!$P$10&gt;0.01,INDEX('Debt Tracker'!$T$5:$AE$29,6,AC446-1)&gt;0.01))*('Recurring Items'!$H$13&lt;&gt;"Skip")*(DAY(AB446)='Recurring Items'!$F$13)*IFERROR(N('Recurring Items'!$D$13),0)+(IF(AC446=1,'Debt Tracker'!$P$11&gt;0.01,INDEX('Debt Tracker'!$T$5:$AE$29,7,AC446-1)&gt;0.01))*('Recurring Items'!$H$14&lt;&gt;"Skip")*(DAY(AB446)='Recurring Items'!$F$14)*IFERROR(N('Recurring Items'!$D$14),0)+(IF(AC446=1,'Debt Tracker'!$P$12&gt;0.01,INDEX('Debt Tracker'!$T$5:$AE$29,8,AC446-1)&gt;0.01))*('Recurring Items'!$H$15&lt;&gt;"Skip")*(DAY(AB446)='Recurring Items'!$F$15)*IFERROR(N('Recurring Items'!$D$15),0)+(IF(AC446=1,'Debt Tracker'!$P$13&gt;0.01,INDEX('Debt Tracker'!$T$5:$AE$29,9,AC446-1)&gt;0.01))*('Recurring Items'!$H$16&lt;&gt;"Skip")*(DAY(AB446)='Recurring Items'!$F$16)*IFERROR(N('Recurring Items'!$D$16),0)+(IF(AC446=1,'Debt Tracker'!$P$14&gt;0.01,INDEX('Debt Tracker'!$T$5:$AE$29,10,AC446-1)&gt;0.01))*('Recurring Items'!$H$17&lt;&gt;"Skip")*(DAY(AB446)='Recurring Items'!$F$17)*IFERROR(N('Recurring Items'!$D$17),0)+(IF(AC446=1,'Debt Tracker'!$P$15&gt;0.01,INDEX('Debt Tracker'!$T$5:$AE$29,11,AC446-1)&gt;0.01))*('Recurring Items'!$H$18&lt;&gt;"Skip")*(DAY(AB446)='Recurring Items'!$F$18)*IFERROR(N('Recurring Items'!$D$18),0)+(IF(AC446=1,'Debt Tracker'!$P$16&gt;0.01,INDEX('Debt Tracker'!$T$5:$AE$29,12,AC446-1)&gt;0.01))*('Recurring Items'!$H$19&lt;&gt;"Skip")*(DAY(AB446)='Recurring Items'!$F$19)*IFERROR(N('Recurring Items'!$D$19),0)+(IF(AC446=1,'Debt Tracker'!$P$17&gt;0.01,INDEX('Debt Tracker'!$T$5:$AE$29,13,AC446-1)&gt;0.01))*('Recurring Items'!$H$20&lt;&gt;"Skip")*(DAY(AB446)='Recurring Items'!$F$20)*IFERROR(N('Recurring Items'!$D$20),0)+(IF(AC446=1,'Debt Tracker'!$P$18&gt;0.01,INDEX('Debt Tracker'!$T$5:$AE$29,14,AC446-1)&gt;0.01))*('Recurring Items'!$H$21&lt;&gt;"Skip")*(DAY(AB446)='Recurring Items'!$F$21)*IFERROR(N('Recurring Items'!$D$21),0)+(IF(AC446=1,'Debt Tracker'!$P$19&gt;0.01,INDEX('Debt Tracker'!$T$5:$AE$29,15,AC446-1)&gt;0.01))*('Recurring Items'!$H$22&lt;&gt;"Skip")*(DAY(AB446)='Recurring Items'!$F$22)*IFERROR(N('Recurring Items'!$D$22),0)+(IF(AC446=1,'Debt Tracker'!$P$20&gt;0.01,INDEX('Debt Tracker'!$T$5:$AE$29,16,AC446-1)&gt;0.01))*('Recurring Items'!$H$23&lt;&gt;"Skip")*(DAY(AB446)='Recurring Items'!$F$23)*IFERROR(N('Recurring Items'!$D$23),0)+(IF(AC446=1,'Debt Tracker'!$P$21&gt;0.01,INDEX('Debt Tracker'!$T$5:$AE$29,17,AC446-1)&gt;0.01))*('Recurring Items'!$H$24&lt;&gt;"Skip")*(DAY(AB446)='Recurring Items'!$F$24)*IFERROR(N('Recurring Items'!$D$24),0)+(IF(AC446=1,'Debt Tracker'!$P$22&gt;0.01,INDEX('Debt Tracker'!$T$5:$AE$29,18,AC446-1)&gt;0.01))*('Recurring Items'!$H$25&lt;&gt;"Skip")*(DAY(AB446)='Recurring Items'!$F$25)*IFERROR(N('Recurring Items'!$D$25),0)+(IF(AC446=1,'Debt Tracker'!$P$23&gt;0.01,INDEX('Debt Tracker'!$T$5:$AE$29,19,AC446-1)&gt;0.01))*('Recurring Items'!$H$26&lt;&gt;"Skip")*(DAY(AB446)='Recurring Items'!$F$26)*IFERROR(N('Recurring Items'!$D$26),0)+(IF(AC446=1,'Debt Tracker'!$P$24&gt;0.01,INDEX('Debt Tracker'!$T$5:$AE$29,20,AC446-1)&gt;0.01))*('Recurring Items'!$H$27&lt;&gt;"Skip")*(DAY(AB446)='Recurring Items'!$F$27)*IFERROR(N('Recurring Items'!$D$27),0)+(IF(AC446=1,'Debt Tracker'!$P$25&gt;0.01,INDEX('Debt Tracker'!$T$5:$AE$29,21,AC446-1)&gt;0.01))*('Recurring Items'!$H$28&lt;&gt;"Skip")*(DAY(AB446)='Recurring Items'!$F$28)*IFERROR(N('Recurring Items'!$D$28),0)+(IF(AC446=1,'Debt Tracker'!$P$26&gt;0.01,INDEX('Debt Tracker'!$T$5:$AE$29,22,AC446-1)&gt;0.01))*('Recurring Items'!$H$29&lt;&gt;"Skip")*(DAY(AB446)='Recurring Items'!$F$29)*IFERROR(N('Recurring Items'!$D$29),0)+(IF(AC446=1,'Debt Tracker'!$P$27&gt;0.01,INDEX('Debt Tracker'!$T$5:$AE$29,23,AC446-1)&gt;0.01))*('Recurring Items'!$H$30&lt;&gt;"Skip")*(DAY(AB446)='Recurring Items'!$F$30)*IFERROR(N('Recurring Items'!$D$30),0)+(IF(AC446=1,'Debt Tracker'!$P$28&gt;0.01,INDEX('Debt Tracker'!$T$5:$AE$29,24,AC446-1)&gt;0.01))*('Recurring Items'!$H$31&lt;&gt;"Skip")*(DAY(AB446)='Recurring Items'!$F$31)*IFERROR(N('Recurring Items'!$D$31),0)+(IF(AC446=1,'Debt Tracker'!$P$29&gt;0.01,INDEX('Debt Tracker'!$T$5:$AE$29,25,AC446-1)&gt;0.01))*('Recurring Items'!$H$32&lt;&gt;"Skip")*(DAY(AB446)='Recurring Items'!$F$32)*IFERROR(N('Recurring Items'!$D$32),0)</f>
        <v>1309.17</v>
      </c>
      <c r="AG446" s="1" t="n">
        <f aca="false">AD446-AE446-AF446</f>
        <v>-1309.17</v>
      </c>
      <c r="AH446" s="1" t="n">
        <f aca="false">AH445+AG446</f>
        <v>17331.27</v>
      </c>
    </row>
    <row r="447" customFormat="false" ht="15" hidden="false" customHeight="true" outlineLevel="0" collapsed="false">
      <c r="AA447" s="1" t="n">
        <v>247</v>
      </c>
      <c r="AB447" s="145" t="n">
        <f aca="false">$D$3+247</f>
        <v>46390</v>
      </c>
      <c r="AC447" s="1" t="n">
        <f aca="false">MIN(12,1+DATEDIF($D$3,AB447,"M"))</f>
        <v>9</v>
      </c>
      <c r="AD447" s="1" t="n">
        <f aca="false">SUMPRODUCT(('Recurring Items'!$C$6:$C$56="Income")*('Recurring Items'!$H$6:$H$56&lt;&gt;"Skip")*IFERROR(N('Recurring Items'!$D$6:$D$56),0)*(('Recurring Items'!$E$6:$E$56="Monthly")*(DAY(AB447)='Recurring Items'!$F$6:$F$56)+('Recurring Items'!$E$6:$E$56="Bi-weekly")*(WEEKDAY(AB447)=IFERROR(WEEKDAY('Recurring Items'!$G$6:$G$56),0))*(MOD(AB447-IFERROR('Recurring Items'!$G$6:$G$56,0),14)=0)*(AB447&gt;=IFERROR('Recurring Items'!$G$6:$G$56,9000000000))+('Recurring Items'!$E$6:$E$56="Weekly")*(WEEKDAY(AB447)=IFERROR(WEEKDAY('Recurring Items'!$G$6:$G$56),0))*(AB447&gt;=IFERROR('Recurring Items'!$G$6:$G$56,9000000000))+('Recurring Items'!$E$6:$E$56="One-time")*(AB447='Recurring Items'!$G$6:$G$56)))</f>
        <v>0</v>
      </c>
      <c r="AE447" s="1" t="n">
        <f aca="false">SUMPRODUCT(('Recurring Items'!$C$6:$C$56="Expense")*('Recurring Items'!$H$6:$H$56&lt;&gt;"Skip")*IFERROR(N('Recurring Items'!$D$6:$D$56),0)*(('Recurring Items'!$E$6:$E$56="Monthly")*(DAY(AB447)='Recurring Items'!$F$6:$F$56)+('Recurring Items'!$E$6:$E$56="Bi-weekly")*(WEEKDAY(AB447)=IFERROR(WEEKDAY('Recurring Items'!$G$6:$G$56),0))*(MOD(AB447-IFERROR('Recurring Items'!$G$6:$G$56,0),14)=0)*(AB447&gt;=IFERROR('Recurring Items'!$G$6:$G$56,9000000000))+('Recurring Items'!$E$6:$E$56="Weekly")*(WEEKDAY(AB447)=IFERROR(WEEKDAY('Recurring Items'!$G$6:$G$56),0))*(AB447&gt;=IFERROR('Recurring Items'!$G$6:$G$56,9000000000))+('Recurring Items'!$E$6:$E$56="One-time")*(AB447='Recurring Items'!$G$6:$G$56)))</f>
        <v>927.53</v>
      </c>
      <c r="AF447" s="1" t="n">
        <f aca="false">(IF(AC447=1,'Debt Tracker'!$P$5&gt;0.01,INDEX('Debt Tracker'!$T$5:$AE$29,1,AC447-1)&gt;0.01))*('Recurring Items'!$H$8&lt;&gt;"Skip")*(DAY(AB447)='Recurring Items'!$F$8)*IFERROR(N('Recurring Items'!$D$8),0)+(IF(AC447=1,'Debt Tracker'!$P$6&gt;0.01,INDEX('Debt Tracker'!$T$5:$AE$29,2,AC447-1)&gt;0.01))*('Recurring Items'!$H$9&lt;&gt;"Skip")*(DAY(AB447)='Recurring Items'!$F$9)*IFERROR(N('Recurring Items'!$D$9),0)+(IF(AC447=1,'Debt Tracker'!$P$7&gt;0.01,INDEX('Debt Tracker'!$T$5:$AE$29,3,AC447-1)&gt;0.01))*('Recurring Items'!$H$10&lt;&gt;"Skip")*(DAY(AB447)='Recurring Items'!$F$10)*IFERROR(N('Recurring Items'!$D$10),0)+(IF(AC447=1,'Debt Tracker'!$P$8&gt;0.01,INDEX('Debt Tracker'!$T$5:$AE$29,4,AC447-1)&gt;0.01))*('Recurring Items'!$H$11&lt;&gt;"Skip")*(DAY(AB447)='Recurring Items'!$F$11)*IFERROR(N('Recurring Items'!$D$11),0)+(IF(AC447=1,'Debt Tracker'!$P$9&gt;0.01,INDEX('Debt Tracker'!$T$5:$AE$29,5,AC447-1)&gt;0.01))*('Recurring Items'!$H$12&lt;&gt;"Skip")*(DAY(AB447)='Recurring Items'!$F$12)*IFERROR(N('Recurring Items'!$D$12),0)+(IF(AC447=1,'Debt Tracker'!$P$10&gt;0.01,INDEX('Debt Tracker'!$T$5:$AE$29,6,AC447-1)&gt;0.01))*('Recurring Items'!$H$13&lt;&gt;"Skip")*(DAY(AB447)='Recurring Items'!$F$13)*IFERROR(N('Recurring Items'!$D$13),0)+(IF(AC447=1,'Debt Tracker'!$P$11&gt;0.01,INDEX('Debt Tracker'!$T$5:$AE$29,7,AC447-1)&gt;0.01))*('Recurring Items'!$H$14&lt;&gt;"Skip")*(DAY(AB447)='Recurring Items'!$F$14)*IFERROR(N('Recurring Items'!$D$14),0)+(IF(AC447=1,'Debt Tracker'!$P$12&gt;0.01,INDEX('Debt Tracker'!$T$5:$AE$29,8,AC447-1)&gt;0.01))*('Recurring Items'!$H$15&lt;&gt;"Skip")*(DAY(AB447)='Recurring Items'!$F$15)*IFERROR(N('Recurring Items'!$D$15),0)+(IF(AC447=1,'Debt Tracker'!$P$13&gt;0.01,INDEX('Debt Tracker'!$T$5:$AE$29,9,AC447-1)&gt;0.01))*('Recurring Items'!$H$16&lt;&gt;"Skip")*(DAY(AB447)='Recurring Items'!$F$16)*IFERROR(N('Recurring Items'!$D$16),0)+(IF(AC447=1,'Debt Tracker'!$P$14&gt;0.01,INDEX('Debt Tracker'!$T$5:$AE$29,10,AC447-1)&gt;0.01))*('Recurring Items'!$H$17&lt;&gt;"Skip")*(DAY(AB447)='Recurring Items'!$F$17)*IFERROR(N('Recurring Items'!$D$17),0)+(IF(AC447=1,'Debt Tracker'!$P$15&gt;0.01,INDEX('Debt Tracker'!$T$5:$AE$29,11,AC447-1)&gt;0.01))*('Recurring Items'!$H$18&lt;&gt;"Skip")*(DAY(AB447)='Recurring Items'!$F$18)*IFERROR(N('Recurring Items'!$D$18),0)+(IF(AC447=1,'Debt Tracker'!$P$16&gt;0.01,INDEX('Debt Tracker'!$T$5:$AE$29,12,AC447-1)&gt;0.01))*('Recurring Items'!$H$19&lt;&gt;"Skip")*(DAY(AB447)='Recurring Items'!$F$19)*IFERROR(N('Recurring Items'!$D$19),0)+(IF(AC447=1,'Debt Tracker'!$P$17&gt;0.01,INDEX('Debt Tracker'!$T$5:$AE$29,13,AC447-1)&gt;0.01))*('Recurring Items'!$H$20&lt;&gt;"Skip")*(DAY(AB447)='Recurring Items'!$F$20)*IFERROR(N('Recurring Items'!$D$20),0)+(IF(AC447=1,'Debt Tracker'!$P$18&gt;0.01,INDEX('Debt Tracker'!$T$5:$AE$29,14,AC447-1)&gt;0.01))*('Recurring Items'!$H$21&lt;&gt;"Skip")*(DAY(AB447)='Recurring Items'!$F$21)*IFERROR(N('Recurring Items'!$D$21),0)+(IF(AC447=1,'Debt Tracker'!$P$19&gt;0.01,INDEX('Debt Tracker'!$T$5:$AE$29,15,AC447-1)&gt;0.01))*('Recurring Items'!$H$22&lt;&gt;"Skip")*(DAY(AB447)='Recurring Items'!$F$22)*IFERROR(N('Recurring Items'!$D$22),0)+(IF(AC447=1,'Debt Tracker'!$P$20&gt;0.01,INDEX('Debt Tracker'!$T$5:$AE$29,16,AC447-1)&gt;0.01))*('Recurring Items'!$H$23&lt;&gt;"Skip")*(DAY(AB447)='Recurring Items'!$F$23)*IFERROR(N('Recurring Items'!$D$23),0)+(IF(AC447=1,'Debt Tracker'!$P$21&gt;0.01,INDEX('Debt Tracker'!$T$5:$AE$29,17,AC447-1)&gt;0.01))*('Recurring Items'!$H$24&lt;&gt;"Skip")*(DAY(AB447)='Recurring Items'!$F$24)*IFERROR(N('Recurring Items'!$D$24),0)+(IF(AC447=1,'Debt Tracker'!$P$22&gt;0.01,INDEX('Debt Tracker'!$T$5:$AE$29,18,AC447-1)&gt;0.01))*('Recurring Items'!$H$25&lt;&gt;"Skip")*(DAY(AB447)='Recurring Items'!$F$25)*IFERROR(N('Recurring Items'!$D$25),0)+(IF(AC447=1,'Debt Tracker'!$P$23&gt;0.01,INDEX('Debt Tracker'!$T$5:$AE$29,19,AC447-1)&gt;0.01))*('Recurring Items'!$H$26&lt;&gt;"Skip")*(DAY(AB447)='Recurring Items'!$F$26)*IFERROR(N('Recurring Items'!$D$26),0)+(IF(AC447=1,'Debt Tracker'!$P$24&gt;0.01,INDEX('Debt Tracker'!$T$5:$AE$29,20,AC447-1)&gt;0.01))*('Recurring Items'!$H$27&lt;&gt;"Skip")*(DAY(AB447)='Recurring Items'!$F$27)*IFERROR(N('Recurring Items'!$D$27),0)+(IF(AC447=1,'Debt Tracker'!$P$25&gt;0.01,INDEX('Debt Tracker'!$T$5:$AE$29,21,AC447-1)&gt;0.01))*('Recurring Items'!$H$28&lt;&gt;"Skip")*(DAY(AB447)='Recurring Items'!$F$28)*IFERROR(N('Recurring Items'!$D$28),0)+(IF(AC447=1,'Debt Tracker'!$P$26&gt;0.01,INDEX('Debt Tracker'!$T$5:$AE$29,22,AC447-1)&gt;0.01))*('Recurring Items'!$H$29&lt;&gt;"Skip")*(DAY(AB447)='Recurring Items'!$F$29)*IFERROR(N('Recurring Items'!$D$29),0)+(IF(AC447=1,'Debt Tracker'!$P$27&gt;0.01,INDEX('Debt Tracker'!$T$5:$AE$29,23,AC447-1)&gt;0.01))*('Recurring Items'!$H$30&lt;&gt;"Skip")*(DAY(AB447)='Recurring Items'!$F$30)*IFERROR(N('Recurring Items'!$D$30),0)+(IF(AC447=1,'Debt Tracker'!$P$28&gt;0.01,INDEX('Debt Tracker'!$T$5:$AE$29,24,AC447-1)&gt;0.01))*('Recurring Items'!$H$31&lt;&gt;"Skip")*(DAY(AB447)='Recurring Items'!$F$31)*IFERROR(N('Recurring Items'!$D$31),0)+(IF(AC447=1,'Debt Tracker'!$P$29&gt;0.01,INDEX('Debt Tracker'!$T$5:$AE$29,25,AC447-1)&gt;0.01))*('Recurring Items'!$H$32&lt;&gt;"Skip")*(DAY(AB447)='Recurring Items'!$F$32)*IFERROR(N('Recurring Items'!$D$32),0)</f>
        <v>0</v>
      </c>
      <c r="AG447" s="1" t="n">
        <f aca="false">AD447-AE447-AF447</f>
        <v>-927.53</v>
      </c>
      <c r="AH447" s="1" t="n">
        <f aca="false">AH446+AG447</f>
        <v>16403.74</v>
      </c>
    </row>
    <row r="448" customFormat="false" ht="15" hidden="false" customHeight="true" outlineLevel="0" collapsed="false">
      <c r="AA448" s="1" t="n">
        <v>248</v>
      </c>
      <c r="AB448" s="145" t="n">
        <f aca="false">$D$3+248</f>
        <v>46391</v>
      </c>
      <c r="AC448" s="1" t="n">
        <f aca="false">MIN(12,1+DATEDIF($D$3,AB448,"M"))</f>
        <v>9</v>
      </c>
      <c r="AD448" s="1" t="n">
        <f aca="false">SUMPRODUCT(('Recurring Items'!$C$6:$C$56="Income")*('Recurring Items'!$H$6:$H$56&lt;&gt;"Skip")*IFERROR(N('Recurring Items'!$D$6:$D$56),0)*(('Recurring Items'!$E$6:$E$56="Monthly")*(DAY(AB448)='Recurring Items'!$F$6:$F$56)+('Recurring Items'!$E$6:$E$56="Bi-weekly")*(WEEKDAY(AB448)=IFERROR(WEEKDAY('Recurring Items'!$G$6:$G$56),0))*(MOD(AB448-IFERROR('Recurring Items'!$G$6:$G$56,0),14)=0)*(AB448&gt;=IFERROR('Recurring Items'!$G$6:$G$56,9000000000))+('Recurring Items'!$E$6:$E$56="Weekly")*(WEEKDAY(AB448)=IFERROR(WEEKDAY('Recurring Items'!$G$6:$G$56),0))*(AB448&gt;=IFERROR('Recurring Items'!$G$6:$G$56,9000000000))+('Recurring Items'!$E$6:$E$56="One-time")*(AB448='Recurring Items'!$G$6:$G$56)))</f>
        <v>0</v>
      </c>
      <c r="AE448" s="1" t="n">
        <f aca="false">SUMPRODUCT(('Recurring Items'!$C$6:$C$56="Expense")*('Recurring Items'!$H$6:$H$56&lt;&gt;"Skip")*IFERROR(N('Recurring Items'!$D$6:$D$56),0)*(('Recurring Items'!$E$6:$E$56="Monthly")*(DAY(AB448)='Recurring Items'!$F$6:$F$56)+('Recurring Items'!$E$6:$E$56="Bi-weekly")*(WEEKDAY(AB448)=IFERROR(WEEKDAY('Recurring Items'!$G$6:$G$56),0))*(MOD(AB448-IFERROR('Recurring Items'!$G$6:$G$56,0),14)=0)*(AB448&gt;=IFERROR('Recurring Items'!$G$6:$G$56,9000000000))+('Recurring Items'!$E$6:$E$56="Weekly")*(WEEKDAY(AB448)=IFERROR(WEEKDAY('Recurring Items'!$G$6:$G$56),0))*(AB448&gt;=IFERROR('Recurring Items'!$G$6:$G$56,9000000000))+('Recurring Items'!$E$6:$E$56="One-time")*(AB448='Recurring Items'!$G$6:$G$56)))</f>
        <v>0</v>
      </c>
      <c r="AF448" s="1" t="n">
        <f aca="false">(IF(AC448=1,'Debt Tracker'!$P$5&gt;0.01,INDEX('Debt Tracker'!$T$5:$AE$29,1,AC448-1)&gt;0.01))*('Recurring Items'!$H$8&lt;&gt;"Skip")*(DAY(AB448)='Recurring Items'!$F$8)*IFERROR(N('Recurring Items'!$D$8),0)+(IF(AC448=1,'Debt Tracker'!$P$6&gt;0.01,INDEX('Debt Tracker'!$T$5:$AE$29,2,AC448-1)&gt;0.01))*('Recurring Items'!$H$9&lt;&gt;"Skip")*(DAY(AB448)='Recurring Items'!$F$9)*IFERROR(N('Recurring Items'!$D$9),0)+(IF(AC448=1,'Debt Tracker'!$P$7&gt;0.01,INDEX('Debt Tracker'!$T$5:$AE$29,3,AC448-1)&gt;0.01))*('Recurring Items'!$H$10&lt;&gt;"Skip")*(DAY(AB448)='Recurring Items'!$F$10)*IFERROR(N('Recurring Items'!$D$10),0)+(IF(AC448=1,'Debt Tracker'!$P$8&gt;0.01,INDEX('Debt Tracker'!$T$5:$AE$29,4,AC448-1)&gt;0.01))*('Recurring Items'!$H$11&lt;&gt;"Skip")*(DAY(AB448)='Recurring Items'!$F$11)*IFERROR(N('Recurring Items'!$D$11),0)+(IF(AC448=1,'Debt Tracker'!$P$9&gt;0.01,INDEX('Debt Tracker'!$T$5:$AE$29,5,AC448-1)&gt;0.01))*('Recurring Items'!$H$12&lt;&gt;"Skip")*(DAY(AB448)='Recurring Items'!$F$12)*IFERROR(N('Recurring Items'!$D$12),0)+(IF(AC448=1,'Debt Tracker'!$P$10&gt;0.01,INDEX('Debt Tracker'!$T$5:$AE$29,6,AC448-1)&gt;0.01))*('Recurring Items'!$H$13&lt;&gt;"Skip")*(DAY(AB448)='Recurring Items'!$F$13)*IFERROR(N('Recurring Items'!$D$13),0)+(IF(AC448=1,'Debt Tracker'!$P$11&gt;0.01,INDEX('Debt Tracker'!$T$5:$AE$29,7,AC448-1)&gt;0.01))*('Recurring Items'!$H$14&lt;&gt;"Skip")*(DAY(AB448)='Recurring Items'!$F$14)*IFERROR(N('Recurring Items'!$D$14),0)+(IF(AC448=1,'Debt Tracker'!$P$12&gt;0.01,INDEX('Debt Tracker'!$T$5:$AE$29,8,AC448-1)&gt;0.01))*('Recurring Items'!$H$15&lt;&gt;"Skip")*(DAY(AB448)='Recurring Items'!$F$15)*IFERROR(N('Recurring Items'!$D$15),0)+(IF(AC448=1,'Debt Tracker'!$P$13&gt;0.01,INDEX('Debt Tracker'!$T$5:$AE$29,9,AC448-1)&gt;0.01))*('Recurring Items'!$H$16&lt;&gt;"Skip")*(DAY(AB448)='Recurring Items'!$F$16)*IFERROR(N('Recurring Items'!$D$16),0)+(IF(AC448=1,'Debt Tracker'!$P$14&gt;0.01,INDEX('Debt Tracker'!$T$5:$AE$29,10,AC448-1)&gt;0.01))*('Recurring Items'!$H$17&lt;&gt;"Skip")*(DAY(AB448)='Recurring Items'!$F$17)*IFERROR(N('Recurring Items'!$D$17),0)+(IF(AC448=1,'Debt Tracker'!$P$15&gt;0.01,INDEX('Debt Tracker'!$T$5:$AE$29,11,AC448-1)&gt;0.01))*('Recurring Items'!$H$18&lt;&gt;"Skip")*(DAY(AB448)='Recurring Items'!$F$18)*IFERROR(N('Recurring Items'!$D$18),0)+(IF(AC448=1,'Debt Tracker'!$P$16&gt;0.01,INDEX('Debt Tracker'!$T$5:$AE$29,12,AC448-1)&gt;0.01))*('Recurring Items'!$H$19&lt;&gt;"Skip")*(DAY(AB448)='Recurring Items'!$F$19)*IFERROR(N('Recurring Items'!$D$19),0)+(IF(AC448=1,'Debt Tracker'!$P$17&gt;0.01,INDEX('Debt Tracker'!$T$5:$AE$29,13,AC448-1)&gt;0.01))*('Recurring Items'!$H$20&lt;&gt;"Skip")*(DAY(AB448)='Recurring Items'!$F$20)*IFERROR(N('Recurring Items'!$D$20),0)+(IF(AC448=1,'Debt Tracker'!$P$18&gt;0.01,INDEX('Debt Tracker'!$T$5:$AE$29,14,AC448-1)&gt;0.01))*('Recurring Items'!$H$21&lt;&gt;"Skip")*(DAY(AB448)='Recurring Items'!$F$21)*IFERROR(N('Recurring Items'!$D$21),0)+(IF(AC448=1,'Debt Tracker'!$P$19&gt;0.01,INDEX('Debt Tracker'!$T$5:$AE$29,15,AC448-1)&gt;0.01))*('Recurring Items'!$H$22&lt;&gt;"Skip")*(DAY(AB448)='Recurring Items'!$F$22)*IFERROR(N('Recurring Items'!$D$22),0)+(IF(AC448=1,'Debt Tracker'!$P$20&gt;0.01,INDEX('Debt Tracker'!$T$5:$AE$29,16,AC448-1)&gt;0.01))*('Recurring Items'!$H$23&lt;&gt;"Skip")*(DAY(AB448)='Recurring Items'!$F$23)*IFERROR(N('Recurring Items'!$D$23),0)+(IF(AC448=1,'Debt Tracker'!$P$21&gt;0.01,INDEX('Debt Tracker'!$T$5:$AE$29,17,AC448-1)&gt;0.01))*('Recurring Items'!$H$24&lt;&gt;"Skip")*(DAY(AB448)='Recurring Items'!$F$24)*IFERROR(N('Recurring Items'!$D$24),0)+(IF(AC448=1,'Debt Tracker'!$P$22&gt;0.01,INDEX('Debt Tracker'!$T$5:$AE$29,18,AC448-1)&gt;0.01))*('Recurring Items'!$H$25&lt;&gt;"Skip")*(DAY(AB448)='Recurring Items'!$F$25)*IFERROR(N('Recurring Items'!$D$25),0)+(IF(AC448=1,'Debt Tracker'!$P$23&gt;0.01,INDEX('Debt Tracker'!$T$5:$AE$29,19,AC448-1)&gt;0.01))*('Recurring Items'!$H$26&lt;&gt;"Skip")*(DAY(AB448)='Recurring Items'!$F$26)*IFERROR(N('Recurring Items'!$D$26),0)+(IF(AC448=1,'Debt Tracker'!$P$24&gt;0.01,INDEX('Debt Tracker'!$T$5:$AE$29,20,AC448-1)&gt;0.01))*('Recurring Items'!$H$27&lt;&gt;"Skip")*(DAY(AB448)='Recurring Items'!$F$27)*IFERROR(N('Recurring Items'!$D$27),0)+(IF(AC448=1,'Debt Tracker'!$P$25&gt;0.01,INDEX('Debt Tracker'!$T$5:$AE$29,21,AC448-1)&gt;0.01))*('Recurring Items'!$H$28&lt;&gt;"Skip")*(DAY(AB448)='Recurring Items'!$F$28)*IFERROR(N('Recurring Items'!$D$28),0)+(IF(AC448=1,'Debt Tracker'!$P$26&gt;0.01,INDEX('Debt Tracker'!$T$5:$AE$29,22,AC448-1)&gt;0.01))*('Recurring Items'!$H$29&lt;&gt;"Skip")*(DAY(AB448)='Recurring Items'!$F$29)*IFERROR(N('Recurring Items'!$D$29),0)+(IF(AC448=1,'Debt Tracker'!$P$27&gt;0.01,INDEX('Debt Tracker'!$T$5:$AE$29,23,AC448-1)&gt;0.01))*('Recurring Items'!$H$30&lt;&gt;"Skip")*(DAY(AB448)='Recurring Items'!$F$30)*IFERROR(N('Recurring Items'!$D$30),0)+(IF(AC448=1,'Debt Tracker'!$P$28&gt;0.01,INDEX('Debt Tracker'!$T$5:$AE$29,24,AC448-1)&gt;0.01))*('Recurring Items'!$H$31&lt;&gt;"Skip")*(DAY(AB448)='Recurring Items'!$F$31)*IFERROR(N('Recurring Items'!$D$31),0)+(IF(AC448=1,'Debt Tracker'!$P$29&gt;0.01,INDEX('Debt Tracker'!$T$5:$AE$29,25,AC448-1)&gt;0.01))*('Recurring Items'!$H$32&lt;&gt;"Skip")*(DAY(AB448)='Recurring Items'!$F$32)*IFERROR(N('Recurring Items'!$D$32),0)</f>
        <v>0</v>
      </c>
      <c r="AG448" s="1" t="n">
        <f aca="false">AD448-AE448-AF448</f>
        <v>0</v>
      </c>
      <c r="AH448" s="1" t="n">
        <f aca="false">AH447+AG448</f>
        <v>16403.74</v>
      </c>
    </row>
    <row r="449" customFormat="false" ht="15" hidden="false" customHeight="true" outlineLevel="0" collapsed="false">
      <c r="AA449" s="1" t="n">
        <v>249</v>
      </c>
      <c r="AB449" s="145" t="n">
        <f aca="false">$D$3+249</f>
        <v>46392</v>
      </c>
      <c r="AC449" s="1" t="n">
        <f aca="false">MIN(12,1+DATEDIF($D$3,AB449,"M"))</f>
        <v>9</v>
      </c>
      <c r="AD449" s="1" t="n">
        <f aca="false">SUMPRODUCT(('Recurring Items'!$C$6:$C$56="Income")*('Recurring Items'!$H$6:$H$56&lt;&gt;"Skip")*IFERROR(N('Recurring Items'!$D$6:$D$56),0)*(('Recurring Items'!$E$6:$E$56="Monthly")*(DAY(AB449)='Recurring Items'!$F$6:$F$56)+('Recurring Items'!$E$6:$E$56="Bi-weekly")*(WEEKDAY(AB449)=IFERROR(WEEKDAY('Recurring Items'!$G$6:$G$56),0))*(MOD(AB449-IFERROR('Recurring Items'!$G$6:$G$56,0),14)=0)*(AB449&gt;=IFERROR('Recurring Items'!$G$6:$G$56,9000000000))+('Recurring Items'!$E$6:$E$56="Weekly")*(WEEKDAY(AB449)=IFERROR(WEEKDAY('Recurring Items'!$G$6:$G$56),0))*(AB449&gt;=IFERROR('Recurring Items'!$G$6:$G$56,9000000000))+('Recurring Items'!$E$6:$E$56="One-time")*(AB449='Recurring Items'!$G$6:$G$56)))</f>
        <v>0</v>
      </c>
      <c r="AE449" s="1" t="n">
        <f aca="false">SUMPRODUCT(('Recurring Items'!$C$6:$C$56="Expense")*('Recurring Items'!$H$6:$H$56&lt;&gt;"Skip")*IFERROR(N('Recurring Items'!$D$6:$D$56),0)*(('Recurring Items'!$E$6:$E$56="Monthly")*(DAY(AB449)='Recurring Items'!$F$6:$F$56)+('Recurring Items'!$E$6:$E$56="Bi-weekly")*(WEEKDAY(AB449)=IFERROR(WEEKDAY('Recurring Items'!$G$6:$G$56),0))*(MOD(AB449-IFERROR('Recurring Items'!$G$6:$G$56,0),14)=0)*(AB449&gt;=IFERROR('Recurring Items'!$G$6:$G$56,9000000000))+('Recurring Items'!$E$6:$E$56="Weekly")*(WEEKDAY(AB449)=IFERROR(WEEKDAY('Recurring Items'!$G$6:$G$56),0))*(AB449&gt;=IFERROR('Recurring Items'!$G$6:$G$56,9000000000))+('Recurring Items'!$E$6:$E$56="One-time")*(AB449='Recurring Items'!$G$6:$G$56)))</f>
        <v>51.01</v>
      </c>
      <c r="AF449" s="1" t="n">
        <f aca="false">(IF(AC449=1,'Debt Tracker'!$P$5&gt;0.01,INDEX('Debt Tracker'!$T$5:$AE$29,1,AC449-1)&gt;0.01))*('Recurring Items'!$H$8&lt;&gt;"Skip")*(DAY(AB449)='Recurring Items'!$F$8)*IFERROR(N('Recurring Items'!$D$8),0)+(IF(AC449=1,'Debt Tracker'!$P$6&gt;0.01,INDEX('Debt Tracker'!$T$5:$AE$29,2,AC449-1)&gt;0.01))*('Recurring Items'!$H$9&lt;&gt;"Skip")*(DAY(AB449)='Recurring Items'!$F$9)*IFERROR(N('Recurring Items'!$D$9),0)+(IF(AC449=1,'Debt Tracker'!$P$7&gt;0.01,INDEX('Debt Tracker'!$T$5:$AE$29,3,AC449-1)&gt;0.01))*('Recurring Items'!$H$10&lt;&gt;"Skip")*(DAY(AB449)='Recurring Items'!$F$10)*IFERROR(N('Recurring Items'!$D$10),0)+(IF(AC449=1,'Debt Tracker'!$P$8&gt;0.01,INDEX('Debt Tracker'!$T$5:$AE$29,4,AC449-1)&gt;0.01))*('Recurring Items'!$H$11&lt;&gt;"Skip")*(DAY(AB449)='Recurring Items'!$F$11)*IFERROR(N('Recurring Items'!$D$11),0)+(IF(AC449=1,'Debt Tracker'!$P$9&gt;0.01,INDEX('Debt Tracker'!$T$5:$AE$29,5,AC449-1)&gt;0.01))*('Recurring Items'!$H$12&lt;&gt;"Skip")*(DAY(AB449)='Recurring Items'!$F$12)*IFERROR(N('Recurring Items'!$D$12),0)+(IF(AC449=1,'Debt Tracker'!$P$10&gt;0.01,INDEX('Debt Tracker'!$T$5:$AE$29,6,AC449-1)&gt;0.01))*('Recurring Items'!$H$13&lt;&gt;"Skip")*(DAY(AB449)='Recurring Items'!$F$13)*IFERROR(N('Recurring Items'!$D$13),0)+(IF(AC449=1,'Debt Tracker'!$P$11&gt;0.01,INDEX('Debt Tracker'!$T$5:$AE$29,7,AC449-1)&gt;0.01))*('Recurring Items'!$H$14&lt;&gt;"Skip")*(DAY(AB449)='Recurring Items'!$F$14)*IFERROR(N('Recurring Items'!$D$14),0)+(IF(AC449=1,'Debt Tracker'!$P$12&gt;0.01,INDEX('Debt Tracker'!$T$5:$AE$29,8,AC449-1)&gt;0.01))*('Recurring Items'!$H$15&lt;&gt;"Skip")*(DAY(AB449)='Recurring Items'!$F$15)*IFERROR(N('Recurring Items'!$D$15),0)+(IF(AC449=1,'Debt Tracker'!$P$13&gt;0.01,INDEX('Debt Tracker'!$T$5:$AE$29,9,AC449-1)&gt;0.01))*('Recurring Items'!$H$16&lt;&gt;"Skip")*(DAY(AB449)='Recurring Items'!$F$16)*IFERROR(N('Recurring Items'!$D$16),0)+(IF(AC449=1,'Debt Tracker'!$P$14&gt;0.01,INDEX('Debt Tracker'!$T$5:$AE$29,10,AC449-1)&gt;0.01))*('Recurring Items'!$H$17&lt;&gt;"Skip")*(DAY(AB449)='Recurring Items'!$F$17)*IFERROR(N('Recurring Items'!$D$17),0)+(IF(AC449=1,'Debt Tracker'!$P$15&gt;0.01,INDEX('Debt Tracker'!$T$5:$AE$29,11,AC449-1)&gt;0.01))*('Recurring Items'!$H$18&lt;&gt;"Skip")*(DAY(AB449)='Recurring Items'!$F$18)*IFERROR(N('Recurring Items'!$D$18),0)+(IF(AC449=1,'Debt Tracker'!$P$16&gt;0.01,INDEX('Debt Tracker'!$T$5:$AE$29,12,AC449-1)&gt;0.01))*('Recurring Items'!$H$19&lt;&gt;"Skip")*(DAY(AB449)='Recurring Items'!$F$19)*IFERROR(N('Recurring Items'!$D$19),0)+(IF(AC449=1,'Debt Tracker'!$P$17&gt;0.01,INDEX('Debt Tracker'!$T$5:$AE$29,13,AC449-1)&gt;0.01))*('Recurring Items'!$H$20&lt;&gt;"Skip")*(DAY(AB449)='Recurring Items'!$F$20)*IFERROR(N('Recurring Items'!$D$20),0)+(IF(AC449=1,'Debt Tracker'!$P$18&gt;0.01,INDEX('Debt Tracker'!$T$5:$AE$29,14,AC449-1)&gt;0.01))*('Recurring Items'!$H$21&lt;&gt;"Skip")*(DAY(AB449)='Recurring Items'!$F$21)*IFERROR(N('Recurring Items'!$D$21),0)+(IF(AC449=1,'Debt Tracker'!$P$19&gt;0.01,INDEX('Debt Tracker'!$T$5:$AE$29,15,AC449-1)&gt;0.01))*('Recurring Items'!$H$22&lt;&gt;"Skip")*(DAY(AB449)='Recurring Items'!$F$22)*IFERROR(N('Recurring Items'!$D$22),0)+(IF(AC449=1,'Debt Tracker'!$P$20&gt;0.01,INDEX('Debt Tracker'!$T$5:$AE$29,16,AC449-1)&gt;0.01))*('Recurring Items'!$H$23&lt;&gt;"Skip")*(DAY(AB449)='Recurring Items'!$F$23)*IFERROR(N('Recurring Items'!$D$23),0)+(IF(AC449=1,'Debt Tracker'!$P$21&gt;0.01,INDEX('Debt Tracker'!$T$5:$AE$29,17,AC449-1)&gt;0.01))*('Recurring Items'!$H$24&lt;&gt;"Skip")*(DAY(AB449)='Recurring Items'!$F$24)*IFERROR(N('Recurring Items'!$D$24),0)+(IF(AC449=1,'Debt Tracker'!$P$22&gt;0.01,INDEX('Debt Tracker'!$T$5:$AE$29,18,AC449-1)&gt;0.01))*('Recurring Items'!$H$25&lt;&gt;"Skip")*(DAY(AB449)='Recurring Items'!$F$25)*IFERROR(N('Recurring Items'!$D$25),0)+(IF(AC449=1,'Debt Tracker'!$P$23&gt;0.01,INDEX('Debt Tracker'!$T$5:$AE$29,19,AC449-1)&gt;0.01))*('Recurring Items'!$H$26&lt;&gt;"Skip")*(DAY(AB449)='Recurring Items'!$F$26)*IFERROR(N('Recurring Items'!$D$26),0)+(IF(AC449=1,'Debt Tracker'!$P$24&gt;0.01,INDEX('Debt Tracker'!$T$5:$AE$29,20,AC449-1)&gt;0.01))*('Recurring Items'!$H$27&lt;&gt;"Skip")*(DAY(AB449)='Recurring Items'!$F$27)*IFERROR(N('Recurring Items'!$D$27),0)+(IF(AC449=1,'Debt Tracker'!$P$25&gt;0.01,INDEX('Debt Tracker'!$T$5:$AE$29,21,AC449-1)&gt;0.01))*('Recurring Items'!$H$28&lt;&gt;"Skip")*(DAY(AB449)='Recurring Items'!$F$28)*IFERROR(N('Recurring Items'!$D$28),0)+(IF(AC449=1,'Debt Tracker'!$P$26&gt;0.01,INDEX('Debt Tracker'!$T$5:$AE$29,22,AC449-1)&gt;0.01))*('Recurring Items'!$H$29&lt;&gt;"Skip")*(DAY(AB449)='Recurring Items'!$F$29)*IFERROR(N('Recurring Items'!$D$29),0)+(IF(AC449=1,'Debt Tracker'!$P$27&gt;0.01,INDEX('Debt Tracker'!$T$5:$AE$29,23,AC449-1)&gt;0.01))*('Recurring Items'!$H$30&lt;&gt;"Skip")*(DAY(AB449)='Recurring Items'!$F$30)*IFERROR(N('Recurring Items'!$D$30),0)+(IF(AC449=1,'Debt Tracker'!$P$28&gt;0.01,INDEX('Debt Tracker'!$T$5:$AE$29,24,AC449-1)&gt;0.01))*('Recurring Items'!$H$31&lt;&gt;"Skip")*(DAY(AB449)='Recurring Items'!$F$31)*IFERROR(N('Recurring Items'!$D$31),0)+(IF(AC449=1,'Debt Tracker'!$P$29&gt;0.01,INDEX('Debt Tracker'!$T$5:$AE$29,25,AC449-1)&gt;0.01))*('Recurring Items'!$H$32&lt;&gt;"Skip")*(DAY(AB449)='Recurring Items'!$F$32)*IFERROR(N('Recurring Items'!$D$32),0)</f>
        <v>0</v>
      </c>
      <c r="AG449" s="1" t="n">
        <f aca="false">AD449-AE449-AF449</f>
        <v>-51.01</v>
      </c>
      <c r="AH449" s="1" t="n">
        <f aca="false">AH448+AG449</f>
        <v>16352.73</v>
      </c>
    </row>
    <row r="450" customFormat="false" ht="15" hidden="false" customHeight="true" outlineLevel="0" collapsed="false">
      <c r="AA450" s="1" t="n">
        <v>250</v>
      </c>
      <c r="AB450" s="145" t="n">
        <f aca="false">$D$3+250</f>
        <v>46393</v>
      </c>
      <c r="AC450" s="1" t="n">
        <f aca="false">MIN(12,1+DATEDIF($D$3,AB450,"M"))</f>
        <v>9</v>
      </c>
      <c r="AD450" s="1" t="n">
        <f aca="false">SUMPRODUCT(('Recurring Items'!$C$6:$C$56="Income")*('Recurring Items'!$H$6:$H$56&lt;&gt;"Skip")*IFERROR(N('Recurring Items'!$D$6:$D$56),0)*(('Recurring Items'!$E$6:$E$56="Monthly")*(DAY(AB450)='Recurring Items'!$F$6:$F$56)+('Recurring Items'!$E$6:$E$56="Bi-weekly")*(WEEKDAY(AB450)=IFERROR(WEEKDAY('Recurring Items'!$G$6:$G$56),0))*(MOD(AB450-IFERROR('Recurring Items'!$G$6:$G$56,0),14)=0)*(AB450&gt;=IFERROR('Recurring Items'!$G$6:$G$56,9000000000))+('Recurring Items'!$E$6:$E$56="Weekly")*(WEEKDAY(AB450)=IFERROR(WEEKDAY('Recurring Items'!$G$6:$G$56),0))*(AB450&gt;=IFERROR('Recurring Items'!$G$6:$G$56,9000000000))+('Recurring Items'!$E$6:$E$56="One-time")*(AB450='Recurring Items'!$G$6:$G$56)))</f>
        <v>0</v>
      </c>
      <c r="AE450" s="1" t="n">
        <f aca="false">SUMPRODUCT(('Recurring Items'!$C$6:$C$56="Expense")*('Recurring Items'!$H$6:$H$56&lt;&gt;"Skip")*IFERROR(N('Recurring Items'!$D$6:$D$56),0)*(('Recurring Items'!$E$6:$E$56="Monthly")*(DAY(AB450)='Recurring Items'!$F$6:$F$56)+('Recurring Items'!$E$6:$E$56="Bi-weekly")*(WEEKDAY(AB450)=IFERROR(WEEKDAY('Recurring Items'!$G$6:$G$56),0))*(MOD(AB450-IFERROR('Recurring Items'!$G$6:$G$56,0),14)=0)*(AB450&gt;=IFERROR('Recurring Items'!$G$6:$G$56,9000000000))+('Recurring Items'!$E$6:$E$56="Weekly")*(WEEKDAY(AB450)=IFERROR(WEEKDAY('Recurring Items'!$G$6:$G$56),0))*(AB450&gt;=IFERROR('Recurring Items'!$G$6:$G$56,9000000000))+('Recurring Items'!$E$6:$E$56="One-time")*(AB450='Recurring Items'!$G$6:$G$56)))</f>
        <v>651.55</v>
      </c>
      <c r="AF450" s="1" t="n">
        <f aca="false">(IF(AC450=1,'Debt Tracker'!$P$5&gt;0.01,INDEX('Debt Tracker'!$T$5:$AE$29,1,AC450-1)&gt;0.01))*('Recurring Items'!$H$8&lt;&gt;"Skip")*(DAY(AB450)='Recurring Items'!$F$8)*IFERROR(N('Recurring Items'!$D$8),0)+(IF(AC450=1,'Debt Tracker'!$P$6&gt;0.01,INDEX('Debt Tracker'!$T$5:$AE$29,2,AC450-1)&gt;0.01))*('Recurring Items'!$H$9&lt;&gt;"Skip")*(DAY(AB450)='Recurring Items'!$F$9)*IFERROR(N('Recurring Items'!$D$9),0)+(IF(AC450=1,'Debt Tracker'!$P$7&gt;0.01,INDEX('Debt Tracker'!$T$5:$AE$29,3,AC450-1)&gt;0.01))*('Recurring Items'!$H$10&lt;&gt;"Skip")*(DAY(AB450)='Recurring Items'!$F$10)*IFERROR(N('Recurring Items'!$D$10),0)+(IF(AC450=1,'Debt Tracker'!$P$8&gt;0.01,INDEX('Debt Tracker'!$T$5:$AE$29,4,AC450-1)&gt;0.01))*('Recurring Items'!$H$11&lt;&gt;"Skip")*(DAY(AB450)='Recurring Items'!$F$11)*IFERROR(N('Recurring Items'!$D$11),0)+(IF(AC450=1,'Debt Tracker'!$P$9&gt;0.01,INDEX('Debt Tracker'!$T$5:$AE$29,5,AC450-1)&gt;0.01))*('Recurring Items'!$H$12&lt;&gt;"Skip")*(DAY(AB450)='Recurring Items'!$F$12)*IFERROR(N('Recurring Items'!$D$12),0)+(IF(AC450=1,'Debt Tracker'!$P$10&gt;0.01,INDEX('Debt Tracker'!$T$5:$AE$29,6,AC450-1)&gt;0.01))*('Recurring Items'!$H$13&lt;&gt;"Skip")*(DAY(AB450)='Recurring Items'!$F$13)*IFERROR(N('Recurring Items'!$D$13),0)+(IF(AC450=1,'Debt Tracker'!$P$11&gt;0.01,INDEX('Debt Tracker'!$T$5:$AE$29,7,AC450-1)&gt;0.01))*('Recurring Items'!$H$14&lt;&gt;"Skip")*(DAY(AB450)='Recurring Items'!$F$14)*IFERROR(N('Recurring Items'!$D$14),0)+(IF(AC450=1,'Debt Tracker'!$P$12&gt;0.01,INDEX('Debt Tracker'!$T$5:$AE$29,8,AC450-1)&gt;0.01))*('Recurring Items'!$H$15&lt;&gt;"Skip")*(DAY(AB450)='Recurring Items'!$F$15)*IFERROR(N('Recurring Items'!$D$15),0)+(IF(AC450=1,'Debt Tracker'!$P$13&gt;0.01,INDEX('Debt Tracker'!$T$5:$AE$29,9,AC450-1)&gt;0.01))*('Recurring Items'!$H$16&lt;&gt;"Skip")*(DAY(AB450)='Recurring Items'!$F$16)*IFERROR(N('Recurring Items'!$D$16),0)+(IF(AC450=1,'Debt Tracker'!$P$14&gt;0.01,INDEX('Debt Tracker'!$T$5:$AE$29,10,AC450-1)&gt;0.01))*('Recurring Items'!$H$17&lt;&gt;"Skip")*(DAY(AB450)='Recurring Items'!$F$17)*IFERROR(N('Recurring Items'!$D$17),0)+(IF(AC450=1,'Debt Tracker'!$P$15&gt;0.01,INDEX('Debt Tracker'!$T$5:$AE$29,11,AC450-1)&gt;0.01))*('Recurring Items'!$H$18&lt;&gt;"Skip")*(DAY(AB450)='Recurring Items'!$F$18)*IFERROR(N('Recurring Items'!$D$18),0)+(IF(AC450=1,'Debt Tracker'!$P$16&gt;0.01,INDEX('Debt Tracker'!$T$5:$AE$29,12,AC450-1)&gt;0.01))*('Recurring Items'!$H$19&lt;&gt;"Skip")*(DAY(AB450)='Recurring Items'!$F$19)*IFERROR(N('Recurring Items'!$D$19),0)+(IF(AC450=1,'Debt Tracker'!$P$17&gt;0.01,INDEX('Debt Tracker'!$T$5:$AE$29,13,AC450-1)&gt;0.01))*('Recurring Items'!$H$20&lt;&gt;"Skip")*(DAY(AB450)='Recurring Items'!$F$20)*IFERROR(N('Recurring Items'!$D$20),0)+(IF(AC450=1,'Debt Tracker'!$P$18&gt;0.01,INDEX('Debt Tracker'!$T$5:$AE$29,14,AC450-1)&gt;0.01))*('Recurring Items'!$H$21&lt;&gt;"Skip")*(DAY(AB450)='Recurring Items'!$F$21)*IFERROR(N('Recurring Items'!$D$21),0)+(IF(AC450=1,'Debt Tracker'!$P$19&gt;0.01,INDEX('Debt Tracker'!$T$5:$AE$29,15,AC450-1)&gt;0.01))*('Recurring Items'!$H$22&lt;&gt;"Skip")*(DAY(AB450)='Recurring Items'!$F$22)*IFERROR(N('Recurring Items'!$D$22),0)+(IF(AC450=1,'Debt Tracker'!$P$20&gt;0.01,INDEX('Debt Tracker'!$T$5:$AE$29,16,AC450-1)&gt;0.01))*('Recurring Items'!$H$23&lt;&gt;"Skip")*(DAY(AB450)='Recurring Items'!$F$23)*IFERROR(N('Recurring Items'!$D$23),0)+(IF(AC450=1,'Debt Tracker'!$P$21&gt;0.01,INDEX('Debt Tracker'!$T$5:$AE$29,17,AC450-1)&gt;0.01))*('Recurring Items'!$H$24&lt;&gt;"Skip")*(DAY(AB450)='Recurring Items'!$F$24)*IFERROR(N('Recurring Items'!$D$24),0)+(IF(AC450=1,'Debt Tracker'!$P$22&gt;0.01,INDEX('Debt Tracker'!$T$5:$AE$29,18,AC450-1)&gt;0.01))*('Recurring Items'!$H$25&lt;&gt;"Skip")*(DAY(AB450)='Recurring Items'!$F$25)*IFERROR(N('Recurring Items'!$D$25),0)+(IF(AC450=1,'Debt Tracker'!$P$23&gt;0.01,INDEX('Debt Tracker'!$T$5:$AE$29,19,AC450-1)&gt;0.01))*('Recurring Items'!$H$26&lt;&gt;"Skip")*(DAY(AB450)='Recurring Items'!$F$26)*IFERROR(N('Recurring Items'!$D$26),0)+(IF(AC450=1,'Debt Tracker'!$P$24&gt;0.01,INDEX('Debt Tracker'!$T$5:$AE$29,20,AC450-1)&gt;0.01))*('Recurring Items'!$H$27&lt;&gt;"Skip")*(DAY(AB450)='Recurring Items'!$F$27)*IFERROR(N('Recurring Items'!$D$27),0)+(IF(AC450=1,'Debt Tracker'!$P$25&gt;0.01,INDEX('Debt Tracker'!$T$5:$AE$29,21,AC450-1)&gt;0.01))*('Recurring Items'!$H$28&lt;&gt;"Skip")*(DAY(AB450)='Recurring Items'!$F$28)*IFERROR(N('Recurring Items'!$D$28),0)+(IF(AC450=1,'Debt Tracker'!$P$26&gt;0.01,INDEX('Debt Tracker'!$T$5:$AE$29,22,AC450-1)&gt;0.01))*('Recurring Items'!$H$29&lt;&gt;"Skip")*(DAY(AB450)='Recurring Items'!$F$29)*IFERROR(N('Recurring Items'!$D$29),0)+(IF(AC450=1,'Debt Tracker'!$P$27&gt;0.01,INDEX('Debt Tracker'!$T$5:$AE$29,23,AC450-1)&gt;0.01))*('Recurring Items'!$H$30&lt;&gt;"Skip")*(DAY(AB450)='Recurring Items'!$F$30)*IFERROR(N('Recurring Items'!$D$30),0)+(IF(AC450=1,'Debt Tracker'!$P$28&gt;0.01,INDEX('Debt Tracker'!$T$5:$AE$29,24,AC450-1)&gt;0.01))*('Recurring Items'!$H$31&lt;&gt;"Skip")*(DAY(AB450)='Recurring Items'!$F$31)*IFERROR(N('Recurring Items'!$D$31),0)+(IF(AC450=1,'Debt Tracker'!$P$29&gt;0.01,INDEX('Debt Tracker'!$T$5:$AE$29,25,AC450-1)&gt;0.01))*('Recurring Items'!$H$32&lt;&gt;"Skip")*(DAY(AB450)='Recurring Items'!$F$32)*IFERROR(N('Recurring Items'!$D$32),0)</f>
        <v>0</v>
      </c>
      <c r="AG450" s="1" t="n">
        <f aca="false">AD450-AE450-AF450</f>
        <v>-651.55</v>
      </c>
      <c r="AH450" s="1" t="n">
        <f aca="false">AH449+AG450</f>
        <v>15701.18</v>
      </c>
    </row>
    <row r="451" customFormat="false" ht="15" hidden="false" customHeight="true" outlineLevel="0" collapsed="false">
      <c r="AA451" s="1" t="n">
        <v>251</v>
      </c>
      <c r="AB451" s="145" t="n">
        <f aca="false">$D$3+251</f>
        <v>46394</v>
      </c>
      <c r="AC451" s="1" t="n">
        <f aca="false">MIN(12,1+DATEDIF($D$3,AB451,"M"))</f>
        <v>9</v>
      </c>
      <c r="AD451" s="1" t="n">
        <f aca="false">SUMPRODUCT(('Recurring Items'!$C$6:$C$56="Income")*('Recurring Items'!$H$6:$H$56&lt;&gt;"Skip")*IFERROR(N('Recurring Items'!$D$6:$D$56),0)*(('Recurring Items'!$E$6:$E$56="Monthly")*(DAY(AB451)='Recurring Items'!$F$6:$F$56)+('Recurring Items'!$E$6:$E$56="Bi-weekly")*(WEEKDAY(AB451)=IFERROR(WEEKDAY('Recurring Items'!$G$6:$G$56),0))*(MOD(AB451-IFERROR('Recurring Items'!$G$6:$G$56,0),14)=0)*(AB451&gt;=IFERROR('Recurring Items'!$G$6:$G$56,9000000000))+('Recurring Items'!$E$6:$E$56="Weekly")*(WEEKDAY(AB451)=IFERROR(WEEKDAY('Recurring Items'!$G$6:$G$56),0))*(AB451&gt;=IFERROR('Recurring Items'!$G$6:$G$56,9000000000))+('Recurring Items'!$E$6:$E$56="One-time")*(AB451='Recurring Items'!$G$6:$G$56)))</f>
        <v>0</v>
      </c>
      <c r="AE451" s="1" t="n">
        <f aca="false">SUMPRODUCT(('Recurring Items'!$C$6:$C$56="Expense")*('Recurring Items'!$H$6:$H$56&lt;&gt;"Skip")*IFERROR(N('Recurring Items'!$D$6:$D$56),0)*(('Recurring Items'!$E$6:$E$56="Monthly")*(DAY(AB451)='Recurring Items'!$F$6:$F$56)+('Recurring Items'!$E$6:$E$56="Bi-weekly")*(WEEKDAY(AB451)=IFERROR(WEEKDAY('Recurring Items'!$G$6:$G$56),0))*(MOD(AB451-IFERROR('Recurring Items'!$G$6:$G$56,0),14)=0)*(AB451&gt;=IFERROR('Recurring Items'!$G$6:$G$56,9000000000))+('Recurring Items'!$E$6:$E$56="Weekly")*(WEEKDAY(AB451)=IFERROR(WEEKDAY('Recurring Items'!$G$6:$G$56),0))*(AB451&gt;=IFERROR('Recurring Items'!$G$6:$G$56,9000000000))+('Recurring Items'!$E$6:$E$56="One-time")*(AB451='Recurring Items'!$G$6:$G$56)))</f>
        <v>672.8</v>
      </c>
      <c r="AF451" s="1" t="n">
        <f aca="false">(IF(AC451=1,'Debt Tracker'!$P$5&gt;0.01,INDEX('Debt Tracker'!$T$5:$AE$29,1,AC451-1)&gt;0.01))*('Recurring Items'!$H$8&lt;&gt;"Skip")*(DAY(AB451)='Recurring Items'!$F$8)*IFERROR(N('Recurring Items'!$D$8),0)+(IF(AC451=1,'Debt Tracker'!$P$6&gt;0.01,INDEX('Debt Tracker'!$T$5:$AE$29,2,AC451-1)&gt;0.01))*('Recurring Items'!$H$9&lt;&gt;"Skip")*(DAY(AB451)='Recurring Items'!$F$9)*IFERROR(N('Recurring Items'!$D$9),0)+(IF(AC451=1,'Debt Tracker'!$P$7&gt;0.01,INDEX('Debt Tracker'!$T$5:$AE$29,3,AC451-1)&gt;0.01))*('Recurring Items'!$H$10&lt;&gt;"Skip")*(DAY(AB451)='Recurring Items'!$F$10)*IFERROR(N('Recurring Items'!$D$10),0)+(IF(AC451=1,'Debt Tracker'!$P$8&gt;0.01,INDEX('Debt Tracker'!$T$5:$AE$29,4,AC451-1)&gt;0.01))*('Recurring Items'!$H$11&lt;&gt;"Skip")*(DAY(AB451)='Recurring Items'!$F$11)*IFERROR(N('Recurring Items'!$D$11),0)+(IF(AC451=1,'Debt Tracker'!$P$9&gt;0.01,INDEX('Debt Tracker'!$T$5:$AE$29,5,AC451-1)&gt;0.01))*('Recurring Items'!$H$12&lt;&gt;"Skip")*(DAY(AB451)='Recurring Items'!$F$12)*IFERROR(N('Recurring Items'!$D$12),0)+(IF(AC451=1,'Debt Tracker'!$P$10&gt;0.01,INDEX('Debt Tracker'!$T$5:$AE$29,6,AC451-1)&gt;0.01))*('Recurring Items'!$H$13&lt;&gt;"Skip")*(DAY(AB451)='Recurring Items'!$F$13)*IFERROR(N('Recurring Items'!$D$13),0)+(IF(AC451=1,'Debt Tracker'!$P$11&gt;0.01,INDEX('Debt Tracker'!$T$5:$AE$29,7,AC451-1)&gt;0.01))*('Recurring Items'!$H$14&lt;&gt;"Skip")*(DAY(AB451)='Recurring Items'!$F$14)*IFERROR(N('Recurring Items'!$D$14),0)+(IF(AC451=1,'Debt Tracker'!$P$12&gt;0.01,INDEX('Debt Tracker'!$T$5:$AE$29,8,AC451-1)&gt;0.01))*('Recurring Items'!$H$15&lt;&gt;"Skip")*(DAY(AB451)='Recurring Items'!$F$15)*IFERROR(N('Recurring Items'!$D$15),0)+(IF(AC451=1,'Debt Tracker'!$P$13&gt;0.01,INDEX('Debt Tracker'!$T$5:$AE$29,9,AC451-1)&gt;0.01))*('Recurring Items'!$H$16&lt;&gt;"Skip")*(DAY(AB451)='Recurring Items'!$F$16)*IFERROR(N('Recurring Items'!$D$16),0)+(IF(AC451=1,'Debt Tracker'!$P$14&gt;0.01,INDEX('Debt Tracker'!$T$5:$AE$29,10,AC451-1)&gt;0.01))*('Recurring Items'!$H$17&lt;&gt;"Skip")*(DAY(AB451)='Recurring Items'!$F$17)*IFERROR(N('Recurring Items'!$D$17),0)+(IF(AC451=1,'Debt Tracker'!$P$15&gt;0.01,INDEX('Debt Tracker'!$T$5:$AE$29,11,AC451-1)&gt;0.01))*('Recurring Items'!$H$18&lt;&gt;"Skip")*(DAY(AB451)='Recurring Items'!$F$18)*IFERROR(N('Recurring Items'!$D$18),0)+(IF(AC451=1,'Debt Tracker'!$P$16&gt;0.01,INDEX('Debt Tracker'!$T$5:$AE$29,12,AC451-1)&gt;0.01))*('Recurring Items'!$H$19&lt;&gt;"Skip")*(DAY(AB451)='Recurring Items'!$F$19)*IFERROR(N('Recurring Items'!$D$19),0)+(IF(AC451=1,'Debt Tracker'!$P$17&gt;0.01,INDEX('Debt Tracker'!$T$5:$AE$29,13,AC451-1)&gt;0.01))*('Recurring Items'!$H$20&lt;&gt;"Skip")*(DAY(AB451)='Recurring Items'!$F$20)*IFERROR(N('Recurring Items'!$D$20),0)+(IF(AC451=1,'Debt Tracker'!$P$18&gt;0.01,INDEX('Debt Tracker'!$T$5:$AE$29,14,AC451-1)&gt;0.01))*('Recurring Items'!$H$21&lt;&gt;"Skip")*(DAY(AB451)='Recurring Items'!$F$21)*IFERROR(N('Recurring Items'!$D$21),0)+(IF(AC451=1,'Debt Tracker'!$P$19&gt;0.01,INDEX('Debt Tracker'!$T$5:$AE$29,15,AC451-1)&gt;0.01))*('Recurring Items'!$H$22&lt;&gt;"Skip")*(DAY(AB451)='Recurring Items'!$F$22)*IFERROR(N('Recurring Items'!$D$22),0)+(IF(AC451=1,'Debt Tracker'!$P$20&gt;0.01,INDEX('Debt Tracker'!$T$5:$AE$29,16,AC451-1)&gt;0.01))*('Recurring Items'!$H$23&lt;&gt;"Skip")*(DAY(AB451)='Recurring Items'!$F$23)*IFERROR(N('Recurring Items'!$D$23),0)+(IF(AC451=1,'Debt Tracker'!$P$21&gt;0.01,INDEX('Debt Tracker'!$T$5:$AE$29,17,AC451-1)&gt;0.01))*('Recurring Items'!$H$24&lt;&gt;"Skip")*(DAY(AB451)='Recurring Items'!$F$24)*IFERROR(N('Recurring Items'!$D$24),0)+(IF(AC451=1,'Debt Tracker'!$P$22&gt;0.01,INDEX('Debt Tracker'!$T$5:$AE$29,18,AC451-1)&gt;0.01))*('Recurring Items'!$H$25&lt;&gt;"Skip")*(DAY(AB451)='Recurring Items'!$F$25)*IFERROR(N('Recurring Items'!$D$25),0)+(IF(AC451=1,'Debt Tracker'!$P$23&gt;0.01,INDEX('Debt Tracker'!$T$5:$AE$29,19,AC451-1)&gt;0.01))*('Recurring Items'!$H$26&lt;&gt;"Skip")*(DAY(AB451)='Recurring Items'!$F$26)*IFERROR(N('Recurring Items'!$D$26),0)+(IF(AC451=1,'Debt Tracker'!$P$24&gt;0.01,INDEX('Debt Tracker'!$T$5:$AE$29,20,AC451-1)&gt;0.01))*('Recurring Items'!$H$27&lt;&gt;"Skip")*(DAY(AB451)='Recurring Items'!$F$27)*IFERROR(N('Recurring Items'!$D$27),0)+(IF(AC451=1,'Debt Tracker'!$P$25&gt;0.01,INDEX('Debt Tracker'!$T$5:$AE$29,21,AC451-1)&gt;0.01))*('Recurring Items'!$H$28&lt;&gt;"Skip")*(DAY(AB451)='Recurring Items'!$F$28)*IFERROR(N('Recurring Items'!$D$28),0)+(IF(AC451=1,'Debt Tracker'!$P$26&gt;0.01,INDEX('Debt Tracker'!$T$5:$AE$29,22,AC451-1)&gt;0.01))*('Recurring Items'!$H$29&lt;&gt;"Skip")*(DAY(AB451)='Recurring Items'!$F$29)*IFERROR(N('Recurring Items'!$D$29),0)+(IF(AC451=1,'Debt Tracker'!$P$27&gt;0.01,INDEX('Debt Tracker'!$T$5:$AE$29,23,AC451-1)&gt;0.01))*('Recurring Items'!$H$30&lt;&gt;"Skip")*(DAY(AB451)='Recurring Items'!$F$30)*IFERROR(N('Recurring Items'!$D$30),0)+(IF(AC451=1,'Debt Tracker'!$P$28&gt;0.01,INDEX('Debt Tracker'!$T$5:$AE$29,24,AC451-1)&gt;0.01))*('Recurring Items'!$H$31&lt;&gt;"Skip")*(DAY(AB451)='Recurring Items'!$F$31)*IFERROR(N('Recurring Items'!$D$31),0)+(IF(AC451=1,'Debt Tracker'!$P$29&gt;0.01,INDEX('Debt Tracker'!$T$5:$AE$29,25,AC451-1)&gt;0.01))*('Recurring Items'!$H$32&lt;&gt;"Skip")*(DAY(AB451)='Recurring Items'!$F$32)*IFERROR(N('Recurring Items'!$D$32),0)</f>
        <v>0</v>
      </c>
      <c r="AG451" s="1" t="n">
        <f aca="false">AD451-AE451-AF451</f>
        <v>-672.8</v>
      </c>
      <c r="AH451" s="1" t="n">
        <f aca="false">AH450+AG451</f>
        <v>15028.38</v>
      </c>
    </row>
    <row r="452" customFormat="false" ht="15" hidden="false" customHeight="true" outlineLevel="0" collapsed="false">
      <c r="AA452" s="1" t="n">
        <v>252</v>
      </c>
      <c r="AB452" s="145" t="n">
        <f aca="false">$D$3+252</f>
        <v>46395</v>
      </c>
      <c r="AC452" s="1" t="n">
        <f aca="false">MIN(12,1+DATEDIF($D$3,AB452,"M"))</f>
        <v>9</v>
      </c>
      <c r="AD452" s="1" t="n">
        <f aca="false">SUMPRODUCT(('Recurring Items'!$C$6:$C$56="Income")*('Recurring Items'!$H$6:$H$56&lt;&gt;"Skip")*IFERROR(N('Recurring Items'!$D$6:$D$56),0)*(('Recurring Items'!$E$6:$E$56="Monthly")*(DAY(AB452)='Recurring Items'!$F$6:$F$56)+('Recurring Items'!$E$6:$E$56="Bi-weekly")*(WEEKDAY(AB452)=IFERROR(WEEKDAY('Recurring Items'!$G$6:$G$56),0))*(MOD(AB452-IFERROR('Recurring Items'!$G$6:$G$56,0),14)=0)*(AB452&gt;=IFERROR('Recurring Items'!$G$6:$G$56,9000000000))+('Recurring Items'!$E$6:$E$56="Weekly")*(WEEKDAY(AB452)=IFERROR(WEEKDAY('Recurring Items'!$G$6:$G$56),0))*(AB452&gt;=IFERROR('Recurring Items'!$G$6:$G$56,9000000000))+('Recurring Items'!$E$6:$E$56="One-time")*(AB452='Recurring Items'!$G$6:$G$56)))</f>
        <v>3819.79</v>
      </c>
      <c r="AE452" s="1" t="n">
        <f aca="false">SUMPRODUCT(('Recurring Items'!$C$6:$C$56="Expense")*('Recurring Items'!$H$6:$H$56&lt;&gt;"Skip")*IFERROR(N('Recurring Items'!$D$6:$D$56),0)*(('Recurring Items'!$E$6:$E$56="Monthly")*(DAY(AB452)='Recurring Items'!$F$6:$F$56)+('Recurring Items'!$E$6:$E$56="Bi-weekly")*(WEEKDAY(AB452)=IFERROR(WEEKDAY('Recurring Items'!$G$6:$G$56),0))*(MOD(AB452-IFERROR('Recurring Items'!$G$6:$G$56,0),14)=0)*(AB452&gt;=IFERROR('Recurring Items'!$G$6:$G$56,9000000000))+('Recurring Items'!$E$6:$E$56="Weekly")*(WEEKDAY(AB452)=IFERROR(WEEKDAY('Recurring Items'!$G$6:$G$56),0))*(AB452&gt;=IFERROR('Recurring Items'!$G$6:$G$56,9000000000))+('Recurring Items'!$E$6:$E$56="One-time")*(AB452='Recurring Items'!$G$6:$G$56)))</f>
        <v>513.85</v>
      </c>
      <c r="AF452" s="1" t="n">
        <f aca="false">(IF(AC452=1,'Debt Tracker'!$P$5&gt;0.01,INDEX('Debt Tracker'!$T$5:$AE$29,1,AC452-1)&gt;0.01))*('Recurring Items'!$H$8&lt;&gt;"Skip")*(DAY(AB452)='Recurring Items'!$F$8)*IFERROR(N('Recurring Items'!$D$8),0)+(IF(AC452=1,'Debt Tracker'!$P$6&gt;0.01,INDEX('Debt Tracker'!$T$5:$AE$29,2,AC452-1)&gt;0.01))*('Recurring Items'!$H$9&lt;&gt;"Skip")*(DAY(AB452)='Recurring Items'!$F$9)*IFERROR(N('Recurring Items'!$D$9),0)+(IF(AC452=1,'Debt Tracker'!$P$7&gt;0.01,INDEX('Debt Tracker'!$T$5:$AE$29,3,AC452-1)&gt;0.01))*('Recurring Items'!$H$10&lt;&gt;"Skip")*(DAY(AB452)='Recurring Items'!$F$10)*IFERROR(N('Recurring Items'!$D$10),0)+(IF(AC452=1,'Debt Tracker'!$P$8&gt;0.01,INDEX('Debt Tracker'!$T$5:$AE$29,4,AC452-1)&gt;0.01))*('Recurring Items'!$H$11&lt;&gt;"Skip")*(DAY(AB452)='Recurring Items'!$F$11)*IFERROR(N('Recurring Items'!$D$11),0)+(IF(AC452=1,'Debt Tracker'!$P$9&gt;0.01,INDEX('Debt Tracker'!$T$5:$AE$29,5,AC452-1)&gt;0.01))*('Recurring Items'!$H$12&lt;&gt;"Skip")*(DAY(AB452)='Recurring Items'!$F$12)*IFERROR(N('Recurring Items'!$D$12),0)+(IF(AC452=1,'Debt Tracker'!$P$10&gt;0.01,INDEX('Debt Tracker'!$T$5:$AE$29,6,AC452-1)&gt;0.01))*('Recurring Items'!$H$13&lt;&gt;"Skip")*(DAY(AB452)='Recurring Items'!$F$13)*IFERROR(N('Recurring Items'!$D$13),0)+(IF(AC452=1,'Debt Tracker'!$P$11&gt;0.01,INDEX('Debt Tracker'!$T$5:$AE$29,7,AC452-1)&gt;0.01))*('Recurring Items'!$H$14&lt;&gt;"Skip")*(DAY(AB452)='Recurring Items'!$F$14)*IFERROR(N('Recurring Items'!$D$14),0)+(IF(AC452=1,'Debt Tracker'!$P$12&gt;0.01,INDEX('Debt Tracker'!$T$5:$AE$29,8,AC452-1)&gt;0.01))*('Recurring Items'!$H$15&lt;&gt;"Skip")*(DAY(AB452)='Recurring Items'!$F$15)*IFERROR(N('Recurring Items'!$D$15),0)+(IF(AC452=1,'Debt Tracker'!$P$13&gt;0.01,INDEX('Debt Tracker'!$T$5:$AE$29,9,AC452-1)&gt;0.01))*('Recurring Items'!$H$16&lt;&gt;"Skip")*(DAY(AB452)='Recurring Items'!$F$16)*IFERROR(N('Recurring Items'!$D$16),0)+(IF(AC452=1,'Debt Tracker'!$P$14&gt;0.01,INDEX('Debt Tracker'!$T$5:$AE$29,10,AC452-1)&gt;0.01))*('Recurring Items'!$H$17&lt;&gt;"Skip")*(DAY(AB452)='Recurring Items'!$F$17)*IFERROR(N('Recurring Items'!$D$17),0)+(IF(AC452=1,'Debt Tracker'!$P$15&gt;0.01,INDEX('Debt Tracker'!$T$5:$AE$29,11,AC452-1)&gt;0.01))*('Recurring Items'!$H$18&lt;&gt;"Skip")*(DAY(AB452)='Recurring Items'!$F$18)*IFERROR(N('Recurring Items'!$D$18),0)+(IF(AC452=1,'Debt Tracker'!$P$16&gt;0.01,INDEX('Debt Tracker'!$T$5:$AE$29,12,AC452-1)&gt;0.01))*('Recurring Items'!$H$19&lt;&gt;"Skip")*(DAY(AB452)='Recurring Items'!$F$19)*IFERROR(N('Recurring Items'!$D$19),0)+(IF(AC452=1,'Debt Tracker'!$P$17&gt;0.01,INDEX('Debt Tracker'!$T$5:$AE$29,13,AC452-1)&gt;0.01))*('Recurring Items'!$H$20&lt;&gt;"Skip")*(DAY(AB452)='Recurring Items'!$F$20)*IFERROR(N('Recurring Items'!$D$20),0)+(IF(AC452=1,'Debt Tracker'!$P$18&gt;0.01,INDEX('Debt Tracker'!$T$5:$AE$29,14,AC452-1)&gt;0.01))*('Recurring Items'!$H$21&lt;&gt;"Skip")*(DAY(AB452)='Recurring Items'!$F$21)*IFERROR(N('Recurring Items'!$D$21),0)+(IF(AC452=1,'Debt Tracker'!$P$19&gt;0.01,INDEX('Debt Tracker'!$T$5:$AE$29,15,AC452-1)&gt;0.01))*('Recurring Items'!$H$22&lt;&gt;"Skip")*(DAY(AB452)='Recurring Items'!$F$22)*IFERROR(N('Recurring Items'!$D$22),0)+(IF(AC452=1,'Debt Tracker'!$P$20&gt;0.01,INDEX('Debt Tracker'!$T$5:$AE$29,16,AC452-1)&gt;0.01))*('Recurring Items'!$H$23&lt;&gt;"Skip")*(DAY(AB452)='Recurring Items'!$F$23)*IFERROR(N('Recurring Items'!$D$23),0)+(IF(AC452=1,'Debt Tracker'!$P$21&gt;0.01,INDEX('Debt Tracker'!$T$5:$AE$29,17,AC452-1)&gt;0.01))*('Recurring Items'!$H$24&lt;&gt;"Skip")*(DAY(AB452)='Recurring Items'!$F$24)*IFERROR(N('Recurring Items'!$D$24),0)+(IF(AC452=1,'Debt Tracker'!$P$22&gt;0.01,INDEX('Debt Tracker'!$T$5:$AE$29,18,AC452-1)&gt;0.01))*('Recurring Items'!$H$25&lt;&gt;"Skip")*(DAY(AB452)='Recurring Items'!$F$25)*IFERROR(N('Recurring Items'!$D$25),0)+(IF(AC452=1,'Debt Tracker'!$P$23&gt;0.01,INDEX('Debt Tracker'!$T$5:$AE$29,19,AC452-1)&gt;0.01))*('Recurring Items'!$H$26&lt;&gt;"Skip")*(DAY(AB452)='Recurring Items'!$F$26)*IFERROR(N('Recurring Items'!$D$26),0)+(IF(AC452=1,'Debt Tracker'!$P$24&gt;0.01,INDEX('Debt Tracker'!$T$5:$AE$29,20,AC452-1)&gt;0.01))*('Recurring Items'!$H$27&lt;&gt;"Skip")*(DAY(AB452)='Recurring Items'!$F$27)*IFERROR(N('Recurring Items'!$D$27),0)+(IF(AC452=1,'Debt Tracker'!$P$25&gt;0.01,INDEX('Debt Tracker'!$T$5:$AE$29,21,AC452-1)&gt;0.01))*('Recurring Items'!$H$28&lt;&gt;"Skip")*(DAY(AB452)='Recurring Items'!$F$28)*IFERROR(N('Recurring Items'!$D$28),0)+(IF(AC452=1,'Debt Tracker'!$P$26&gt;0.01,INDEX('Debt Tracker'!$T$5:$AE$29,22,AC452-1)&gt;0.01))*('Recurring Items'!$H$29&lt;&gt;"Skip")*(DAY(AB452)='Recurring Items'!$F$29)*IFERROR(N('Recurring Items'!$D$29),0)+(IF(AC452=1,'Debt Tracker'!$P$27&gt;0.01,INDEX('Debt Tracker'!$T$5:$AE$29,23,AC452-1)&gt;0.01))*('Recurring Items'!$H$30&lt;&gt;"Skip")*(DAY(AB452)='Recurring Items'!$F$30)*IFERROR(N('Recurring Items'!$D$30),0)+(IF(AC452=1,'Debt Tracker'!$P$28&gt;0.01,INDEX('Debt Tracker'!$T$5:$AE$29,24,AC452-1)&gt;0.01))*('Recurring Items'!$H$31&lt;&gt;"Skip")*(DAY(AB452)='Recurring Items'!$F$31)*IFERROR(N('Recurring Items'!$D$31),0)+(IF(AC452=1,'Debt Tracker'!$P$29&gt;0.01,INDEX('Debt Tracker'!$T$5:$AE$29,25,AC452-1)&gt;0.01))*('Recurring Items'!$H$32&lt;&gt;"Skip")*(DAY(AB452)='Recurring Items'!$F$32)*IFERROR(N('Recurring Items'!$D$32),0)</f>
        <v>0</v>
      </c>
      <c r="AG452" s="1" t="n">
        <f aca="false">AD452-AE452-AF452</f>
        <v>3305.94</v>
      </c>
      <c r="AH452" s="1" t="n">
        <f aca="false">AH451+AG452</f>
        <v>18334.32</v>
      </c>
    </row>
    <row r="453" customFormat="false" ht="15" hidden="false" customHeight="true" outlineLevel="0" collapsed="false">
      <c r="AA453" s="1" t="n">
        <v>253</v>
      </c>
      <c r="AB453" s="145" t="n">
        <f aca="false">$D$3+253</f>
        <v>46396</v>
      </c>
      <c r="AC453" s="1" t="n">
        <f aca="false">MIN(12,1+DATEDIF($D$3,AB453,"M"))</f>
        <v>9</v>
      </c>
      <c r="AD453" s="1" t="n">
        <f aca="false">SUMPRODUCT(('Recurring Items'!$C$6:$C$56="Income")*('Recurring Items'!$H$6:$H$56&lt;&gt;"Skip")*IFERROR(N('Recurring Items'!$D$6:$D$56),0)*(('Recurring Items'!$E$6:$E$56="Monthly")*(DAY(AB453)='Recurring Items'!$F$6:$F$56)+('Recurring Items'!$E$6:$E$56="Bi-weekly")*(WEEKDAY(AB453)=IFERROR(WEEKDAY('Recurring Items'!$G$6:$G$56),0))*(MOD(AB453-IFERROR('Recurring Items'!$G$6:$G$56,0),14)=0)*(AB453&gt;=IFERROR('Recurring Items'!$G$6:$G$56,9000000000))+('Recurring Items'!$E$6:$E$56="Weekly")*(WEEKDAY(AB453)=IFERROR(WEEKDAY('Recurring Items'!$G$6:$G$56),0))*(AB453&gt;=IFERROR('Recurring Items'!$G$6:$G$56,9000000000))+('Recurring Items'!$E$6:$E$56="One-time")*(AB453='Recurring Items'!$G$6:$G$56)))</f>
        <v>0</v>
      </c>
      <c r="AE453" s="1" t="n">
        <f aca="false">SUMPRODUCT(('Recurring Items'!$C$6:$C$56="Expense")*('Recurring Items'!$H$6:$H$56&lt;&gt;"Skip")*IFERROR(N('Recurring Items'!$D$6:$D$56),0)*(('Recurring Items'!$E$6:$E$56="Monthly")*(DAY(AB453)='Recurring Items'!$F$6:$F$56)+('Recurring Items'!$E$6:$E$56="Bi-weekly")*(WEEKDAY(AB453)=IFERROR(WEEKDAY('Recurring Items'!$G$6:$G$56),0))*(MOD(AB453-IFERROR('Recurring Items'!$G$6:$G$56,0),14)=0)*(AB453&gt;=IFERROR('Recurring Items'!$G$6:$G$56,9000000000))+('Recurring Items'!$E$6:$E$56="Weekly")*(WEEKDAY(AB453)=IFERROR(WEEKDAY('Recurring Items'!$G$6:$G$56),0))*(AB453&gt;=IFERROR('Recurring Items'!$G$6:$G$56,9000000000))+('Recurring Items'!$E$6:$E$56="One-time")*(AB453='Recurring Items'!$G$6:$G$56)))</f>
        <v>0</v>
      </c>
      <c r="AF453" s="1" t="n">
        <f aca="false">(IF(AC453=1,'Debt Tracker'!$P$5&gt;0.01,INDEX('Debt Tracker'!$T$5:$AE$29,1,AC453-1)&gt;0.01))*('Recurring Items'!$H$8&lt;&gt;"Skip")*(DAY(AB453)='Recurring Items'!$F$8)*IFERROR(N('Recurring Items'!$D$8),0)+(IF(AC453=1,'Debt Tracker'!$P$6&gt;0.01,INDEX('Debt Tracker'!$T$5:$AE$29,2,AC453-1)&gt;0.01))*('Recurring Items'!$H$9&lt;&gt;"Skip")*(DAY(AB453)='Recurring Items'!$F$9)*IFERROR(N('Recurring Items'!$D$9),0)+(IF(AC453=1,'Debt Tracker'!$P$7&gt;0.01,INDEX('Debt Tracker'!$T$5:$AE$29,3,AC453-1)&gt;0.01))*('Recurring Items'!$H$10&lt;&gt;"Skip")*(DAY(AB453)='Recurring Items'!$F$10)*IFERROR(N('Recurring Items'!$D$10),0)+(IF(AC453=1,'Debt Tracker'!$P$8&gt;0.01,INDEX('Debt Tracker'!$T$5:$AE$29,4,AC453-1)&gt;0.01))*('Recurring Items'!$H$11&lt;&gt;"Skip")*(DAY(AB453)='Recurring Items'!$F$11)*IFERROR(N('Recurring Items'!$D$11),0)+(IF(AC453=1,'Debt Tracker'!$P$9&gt;0.01,INDEX('Debt Tracker'!$T$5:$AE$29,5,AC453-1)&gt;0.01))*('Recurring Items'!$H$12&lt;&gt;"Skip")*(DAY(AB453)='Recurring Items'!$F$12)*IFERROR(N('Recurring Items'!$D$12),0)+(IF(AC453=1,'Debt Tracker'!$P$10&gt;0.01,INDEX('Debt Tracker'!$T$5:$AE$29,6,AC453-1)&gt;0.01))*('Recurring Items'!$H$13&lt;&gt;"Skip")*(DAY(AB453)='Recurring Items'!$F$13)*IFERROR(N('Recurring Items'!$D$13),0)+(IF(AC453=1,'Debt Tracker'!$P$11&gt;0.01,INDEX('Debt Tracker'!$T$5:$AE$29,7,AC453-1)&gt;0.01))*('Recurring Items'!$H$14&lt;&gt;"Skip")*(DAY(AB453)='Recurring Items'!$F$14)*IFERROR(N('Recurring Items'!$D$14),0)+(IF(AC453=1,'Debt Tracker'!$P$12&gt;0.01,INDEX('Debt Tracker'!$T$5:$AE$29,8,AC453-1)&gt;0.01))*('Recurring Items'!$H$15&lt;&gt;"Skip")*(DAY(AB453)='Recurring Items'!$F$15)*IFERROR(N('Recurring Items'!$D$15),0)+(IF(AC453=1,'Debt Tracker'!$P$13&gt;0.01,INDEX('Debt Tracker'!$T$5:$AE$29,9,AC453-1)&gt;0.01))*('Recurring Items'!$H$16&lt;&gt;"Skip")*(DAY(AB453)='Recurring Items'!$F$16)*IFERROR(N('Recurring Items'!$D$16),0)+(IF(AC453=1,'Debt Tracker'!$P$14&gt;0.01,INDEX('Debt Tracker'!$T$5:$AE$29,10,AC453-1)&gt;0.01))*('Recurring Items'!$H$17&lt;&gt;"Skip")*(DAY(AB453)='Recurring Items'!$F$17)*IFERROR(N('Recurring Items'!$D$17),0)+(IF(AC453=1,'Debt Tracker'!$P$15&gt;0.01,INDEX('Debt Tracker'!$T$5:$AE$29,11,AC453-1)&gt;0.01))*('Recurring Items'!$H$18&lt;&gt;"Skip")*(DAY(AB453)='Recurring Items'!$F$18)*IFERROR(N('Recurring Items'!$D$18),0)+(IF(AC453=1,'Debt Tracker'!$P$16&gt;0.01,INDEX('Debt Tracker'!$T$5:$AE$29,12,AC453-1)&gt;0.01))*('Recurring Items'!$H$19&lt;&gt;"Skip")*(DAY(AB453)='Recurring Items'!$F$19)*IFERROR(N('Recurring Items'!$D$19),0)+(IF(AC453=1,'Debt Tracker'!$P$17&gt;0.01,INDEX('Debt Tracker'!$T$5:$AE$29,13,AC453-1)&gt;0.01))*('Recurring Items'!$H$20&lt;&gt;"Skip")*(DAY(AB453)='Recurring Items'!$F$20)*IFERROR(N('Recurring Items'!$D$20),0)+(IF(AC453=1,'Debt Tracker'!$P$18&gt;0.01,INDEX('Debt Tracker'!$T$5:$AE$29,14,AC453-1)&gt;0.01))*('Recurring Items'!$H$21&lt;&gt;"Skip")*(DAY(AB453)='Recurring Items'!$F$21)*IFERROR(N('Recurring Items'!$D$21),0)+(IF(AC453=1,'Debt Tracker'!$P$19&gt;0.01,INDEX('Debt Tracker'!$T$5:$AE$29,15,AC453-1)&gt;0.01))*('Recurring Items'!$H$22&lt;&gt;"Skip")*(DAY(AB453)='Recurring Items'!$F$22)*IFERROR(N('Recurring Items'!$D$22),0)+(IF(AC453=1,'Debt Tracker'!$P$20&gt;0.01,INDEX('Debt Tracker'!$T$5:$AE$29,16,AC453-1)&gt;0.01))*('Recurring Items'!$H$23&lt;&gt;"Skip")*(DAY(AB453)='Recurring Items'!$F$23)*IFERROR(N('Recurring Items'!$D$23),0)+(IF(AC453=1,'Debt Tracker'!$P$21&gt;0.01,INDEX('Debt Tracker'!$T$5:$AE$29,17,AC453-1)&gt;0.01))*('Recurring Items'!$H$24&lt;&gt;"Skip")*(DAY(AB453)='Recurring Items'!$F$24)*IFERROR(N('Recurring Items'!$D$24),0)+(IF(AC453=1,'Debt Tracker'!$P$22&gt;0.01,INDEX('Debt Tracker'!$T$5:$AE$29,18,AC453-1)&gt;0.01))*('Recurring Items'!$H$25&lt;&gt;"Skip")*(DAY(AB453)='Recurring Items'!$F$25)*IFERROR(N('Recurring Items'!$D$25),0)+(IF(AC453=1,'Debt Tracker'!$P$23&gt;0.01,INDEX('Debt Tracker'!$T$5:$AE$29,19,AC453-1)&gt;0.01))*('Recurring Items'!$H$26&lt;&gt;"Skip")*(DAY(AB453)='Recurring Items'!$F$26)*IFERROR(N('Recurring Items'!$D$26),0)+(IF(AC453=1,'Debt Tracker'!$P$24&gt;0.01,INDEX('Debt Tracker'!$T$5:$AE$29,20,AC453-1)&gt;0.01))*('Recurring Items'!$H$27&lt;&gt;"Skip")*(DAY(AB453)='Recurring Items'!$F$27)*IFERROR(N('Recurring Items'!$D$27),0)+(IF(AC453=1,'Debt Tracker'!$P$25&gt;0.01,INDEX('Debt Tracker'!$T$5:$AE$29,21,AC453-1)&gt;0.01))*('Recurring Items'!$H$28&lt;&gt;"Skip")*(DAY(AB453)='Recurring Items'!$F$28)*IFERROR(N('Recurring Items'!$D$28),0)+(IF(AC453=1,'Debt Tracker'!$P$26&gt;0.01,INDEX('Debt Tracker'!$T$5:$AE$29,22,AC453-1)&gt;0.01))*('Recurring Items'!$H$29&lt;&gt;"Skip")*(DAY(AB453)='Recurring Items'!$F$29)*IFERROR(N('Recurring Items'!$D$29),0)+(IF(AC453=1,'Debt Tracker'!$P$27&gt;0.01,INDEX('Debt Tracker'!$T$5:$AE$29,23,AC453-1)&gt;0.01))*('Recurring Items'!$H$30&lt;&gt;"Skip")*(DAY(AB453)='Recurring Items'!$F$30)*IFERROR(N('Recurring Items'!$D$30),0)+(IF(AC453=1,'Debt Tracker'!$P$28&gt;0.01,INDEX('Debt Tracker'!$T$5:$AE$29,24,AC453-1)&gt;0.01))*('Recurring Items'!$H$31&lt;&gt;"Skip")*(DAY(AB453)='Recurring Items'!$F$31)*IFERROR(N('Recurring Items'!$D$31),0)+(IF(AC453=1,'Debt Tracker'!$P$29&gt;0.01,INDEX('Debt Tracker'!$T$5:$AE$29,25,AC453-1)&gt;0.01))*('Recurring Items'!$H$32&lt;&gt;"Skip")*(DAY(AB453)='Recurring Items'!$F$32)*IFERROR(N('Recurring Items'!$D$32),0)</f>
        <v>0</v>
      </c>
      <c r="AG453" s="1" t="n">
        <f aca="false">AD453-AE453-AF453</f>
        <v>0</v>
      </c>
      <c r="AH453" s="1" t="n">
        <f aca="false">AH452+AG453</f>
        <v>18334.32</v>
      </c>
    </row>
    <row r="454" customFormat="false" ht="15" hidden="false" customHeight="true" outlineLevel="0" collapsed="false">
      <c r="AA454" s="1" t="n">
        <v>254</v>
      </c>
      <c r="AB454" s="145" t="n">
        <f aca="false">$D$3+254</f>
        <v>46397</v>
      </c>
      <c r="AC454" s="1" t="n">
        <f aca="false">MIN(12,1+DATEDIF($D$3,AB454,"M"))</f>
        <v>9</v>
      </c>
      <c r="AD454" s="1" t="n">
        <f aca="false">SUMPRODUCT(('Recurring Items'!$C$6:$C$56="Income")*('Recurring Items'!$H$6:$H$56&lt;&gt;"Skip")*IFERROR(N('Recurring Items'!$D$6:$D$56),0)*(('Recurring Items'!$E$6:$E$56="Monthly")*(DAY(AB454)='Recurring Items'!$F$6:$F$56)+('Recurring Items'!$E$6:$E$56="Bi-weekly")*(WEEKDAY(AB454)=IFERROR(WEEKDAY('Recurring Items'!$G$6:$G$56),0))*(MOD(AB454-IFERROR('Recurring Items'!$G$6:$G$56,0),14)=0)*(AB454&gt;=IFERROR('Recurring Items'!$G$6:$G$56,9000000000))+('Recurring Items'!$E$6:$E$56="Weekly")*(WEEKDAY(AB454)=IFERROR(WEEKDAY('Recurring Items'!$G$6:$G$56),0))*(AB454&gt;=IFERROR('Recurring Items'!$G$6:$G$56,9000000000))+('Recurring Items'!$E$6:$E$56="One-time")*(AB454='Recurring Items'!$G$6:$G$56)))</f>
        <v>0</v>
      </c>
      <c r="AE454" s="1" t="n">
        <f aca="false">SUMPRODUCT(('Recurring Items'!$C$6:$C$56="Expense")*('Recurring Items'!$H$6:$H$56&lt;&gt;"Skip")*IFERROR(N('Recurring Items'!$D$6:$D$56),0)*(('Recurring Items'!$E$6:$E$56="Monthly")*(DAY(AB454)='Recurring Items'!$F$6:$F$56)+('Recurring Items'!$E$6:$E$56="Bi-weekly")*(WEEKDAY(AB454)=IFERROR(WEEKDAY('Recurring Items'!$G$6:$G$56),0))*(MOD(AB454-IFERROR('Recurring Items'!$G$6:$G$56,0),14)=0)*(AB454&gt;=IFERROR('Recurring Items'!$G$6:$G$56,9000000000))+('Recurring Items'!$E$6:$E$56="Weekly")*(WEEKDAY(AB454)=IFERROR(WEEKDAY('Recurring Items'!$G$6:$G$56),0))*(AB454&gt;=IFERROR('Recurring Items'!$G$6:$G$56,9000000000))+('Recurring Items'!$E$6:$E$56="One-time")*(AB454='Recurring Items'!$G$6:$G$56)))</f>
        <v>340.22</v>
      </c>
      <c r="AF454" s="1" t="n">
        <f aca="false">(IF(AC454=1,'Debt Tracker'!$P$5&gt;0.01,INDEX('Debt Tracker'!$T$5:$AE$29,1,AC454-1)&gt;0.01))*('Recurring Items'!$H$8&lt;&gt;"Skip")*(DAY(AB454)='Recurring Items'!$F$8)*IFERROR(N('Recurring Items'!$D$8),0)+(IF(AC454=1,'Debt Tracker'!$P$6&gt;0.01,INDEX('Debt Tracker'!$T$5:$AE$29,2,AC454-1)&gt;0.01))*('Recurring Items'!$H$9&lt;&gt;"Skip")*(DAY(AB454)='Recurring Items'!$F$9)*IFERROR(N('Recurring Items'!$D$9),0)+(IF(AC454=1,'Debt Tracker'!$P$7&gt;0.01,INDEX('Debt Tracker'!$T$5:$AE$29,3,AC454-1)&gt;0.01))*('Recurring Items'!$H$10&lt;&gt;"Skip")*(DAY(AB454)='Recurring Items'!$F$10)*IFERROR(N('Recurring Items'!$D$10),0)+(IF(AC454=1,'Debt Tracker'!$P$8&gt;0.01,INDEX('Debt Tracker'!$T$5:$AE$29,4,AC454-1)&gt;0.01))*('Recurring Items'!$H$11&lt;&gt;"Skip")*(DAY(AB454)='Recurring Items'!$F$11)*IFERROR(N('Recurring Items'!$D$11),0)+(IF(AC454=1,'Debt Tracker'!$P$9&gt;0.01,INDEX('Debt Tracker'!$T$5:$AE$29,5,AC454-1)&gt;0.01))*('Recurring Items'!$H$12&lt;&gt;"Skip")*(DAY(AB454)='Recurring Items'!$F$12)*IFERROR(N('Recurring Items'!$D$12),0)+(IF(AC454=1,'Debt Tracker'!$P$10&gt;0.01,INDEX('Debt Tracker'!$T$5:$AE$29,6,AC454-1)&gt;0.01))*('Recurring Items'!$H$13&lt;&gt;"Skip")*(DAY(AB454)='Recurring Items'!$F$13)*IFERROR(N('Recurring Items'!$D$13),0)+(IF(AC454=1,'Debt Tracker'!$P$11&gt;0.01,INDEX('Debt Tracker'!$T$5:$AE$29,7,AC454-1)&gt;0.01))*('Recurring Items'!$H$14&lt;&gt;"Skip")*(DAY(AB454)='Recurring Items'!$F$14)*IFERROR(N('Recurring Items'!$D$14),0)+(IF(AC454=1,'Debt Tracker'!$P$12&gt;0.01,INDEX('Debt Tracker'!$T$5:$AE$29,8,AC454-1)&gt;0.01))*('Recurring Items'!$H$15&lt;&gt;"Skip")*(DAY(AB454)='Recurring Items'!$F$15)*IFERROR(N('Recurring Items'!$D$15),0)+(IF(AC454=1,'Debt Tracker'!$P$13&gt;0.01,INDEX('Debt Tracker'!$T$5:$AE$29,9,AC454-1)&gt;0.01))*('Recurring Items'!$H$16&lt;&gt;"Skip")*(DAY(AB454)='Recurring Items'!$F$16)*IFERROR(N('Recurring Items'!$D$16),0)+(IF(AC454=1,'Debt Tracker'!$P$14&gt;0.01,INDEX('Debt Tracker'!$T$5:$AE$29,10,AC454-1)&gt;0.01))*('Recurring Items'!$H$17&lt;&gt;"Skip")*(DAY(AB454)='Recurring Items'!$F$17)*IFERROR(N('Recurring Items'!$D$17),0)+(IF(AC454=1,'Debt Tracker'!$P$15&gt;0.01,INDEX('Debt Tracker'!$T$5:$AE$29,11,AC454-1)&gt;0.01))*('Recurring Items'!$H$18&lt;&gt;"Skip")*(DAY(AB454)='Recurring Items'!$F$18)*IFERROR(N('Recurring Items'!$D$18),0)+(IF(AC454=1,'Debt Tracker'!$P$16&gt;0.01,INDEX('Debt Tracker'!$T$5:$AE$29,12,AC454-1)&gt;0.01))*('Recurring Items'!$H$19&lt;&gt;"Skip")*(DAY(AB454)='Recurring Items'!$F$19)*IFERROR(N('Recurring Items'!$D$19),0)+(IF(AC454=1,'Debt Tracker'!$P$17&gt;0.01,INDEX('Debt Tracker'!$T$5:$AE$29,13,AC454-1)&gt;0.01))*('Recurring Items'!$H$20&lt;&gt;"Skip")*(DAY(AB454)='Recurring Items'!$F$20)*IFERROR(N('Recurring Items'!$D$20),0)+(IF(AC454=1,'Debt Tracker'!$P$18&gt;0.01,INDEX('Debt Tracker'!$T$5:$AE$29,14,AC454-1)&gt;0.01))*('Recurring Items'!$H$21&lt;&gt;"Skip")*(DAY(AB454)='Recurring Items'!$F$21)*IFERROR(N('Recurring Items'!$D$21),0)+(IF(AC454=1,'Debt Tracker'!$P$19&gt;0.01,INDEX('Debt Tracker'!$T$5:$AE$29,15,AC454-1)&gt;0.01))*('Recurring Items'!$H$22&lt;&gt;"Skip")*(DAY(AB454)='Recurring Items'!$F$22)*IFERROR(N('Recurring Items'!$D$22),0)+(IF(AC454=1,'Debt Tracker'!$P$20&gt;0.01,INDEX('Debt Tracker'!$T$5:$AE$29,16,AC454-1)&gt;0.01))*('Recurring Items'!$H$23&lt;&gt;"Skip")*(DAY(AB454)='Recurring Items'!$F$23)*IFERROR(N('Recurring Items'!$D$23),0)+(IF(AC454=1,'Debt Tracker'!$P$21&gt;0.01,INDEX('Debt Tracker'!$T$5:$AE$29,17,AC454-1)&gt;0.01))*('Recurring Items'!$H$24&lt;&gt;"Skip")*(DAY(AB454)='Recurring Items'!$F$24)*IFERROR(N('Recurring Items'!$D$24),0)+(IF(AC454=1,'Debt Tracker'!$P$22&gt;0.01,INDEX('Debt Tracker'!$T$5:$AE$29,18,AC454-1)&gt;0.01))*('Recurring Items'!$H$25&lt;&gt;"Skip")*(DAY(AB454)='Recurring Items'!$F$25)*IFERROR(N('Recurring Items'!$D$25),0)+(IF(AC454=1,'Debt Tracker'!$P$23&gt;0.01,INDEX('Debt Tracker'!$T$5:$AE$29,19,AC454-1)&gt;0.01))*('Recurring Items'!$H$26&lt;&gt;"Skip")*(DAY(AB454)='Recurring Items'!$F$26)*IFERROR(N('Recurring Items'!$D$26),0)+(IF(AC454=1,'Debt Tracker'!$P$24&gt;0.01,INDEX('Debt Tracker'!$T$5:$AE$29,20,AC454-1)&gt;0.01))*('Recurring Items'!$H$27&lt;&gt;"Skip")*(DAY(AB454)='Recurring Items'!$F$27)*IFERROR(N('Recurring Items'!$D$27),0)+(IF(AC454=1,'Debt Tracker'!$P$25&gt;0.01,INDEX('Debt Tracker'!$T$5:$AE$29,21,AC454-1)&gt;0.01))*('Recurring Items'!$H$28&lt;&gt;"Skip")*(DAY(AB454)='Recurring Items'!$F$28)*IFERROR(N('Recurring Items'!$D$28),0)+(IF(AC454=1,'Debt Tracker'!$P$26&gt;0.01,INDEX('Debt Tracker'!$T$5:$AE$29,22,AC454-1)&gt;0.01))*('Recurring Items'!$H$29&lt;&gt;"Skip")*(DAY(AB454)='Recurring Items'!$F$29)*IFERROR(N('Recurring Items'!$D$29),0)+(IF(AC454=1,'Debt Tracker'!$P$27&gt;0.01,INDEX('Debt Tracker'!$T$5:$AE$29,23,AC454-1)&gt;0.01))*('Recurring Items'!$H$30&lt;&gt;"Skip")*(DAY(AB454)='Recurring Items'!$F$30)*IFERROR(N('Recurring Items'!$D$30),0)+(IF(AC454=1,'Debt Tracker'!$P$28&gt;0.01,INDEX('Debt Tracker'!$T$5:$AE$29,24,AC454-1)&gt;0.01))*('Recurring Items'!$H$31&lt;&gt;"Skip")*(DAY(AB454)='Recurring Items'!$F$31)*IFERROR(N('Recurring Items'!$D$31),0)+(IF(AC454=1,'Debt Tracker'!$P$29&gt;0.01,INDEX('Debt Tracker'!$T$5:$AE$29,25,AC454-1)&gt;0.01))*('Recurring Items'!$H$32&lt;&gt;"Skip")*(DAY(AB454)='Recurring Items'!$F$32)*IFERROR(N('Recurring Items'!$D$32),0)</f>
        <v>0</v>
      </c>
      <c r="AG454" s="1" t="n">
        <f aca="false">AD454-AE454-AF454</f>
        <v>-340.22</v>
      </c>
      <c r="AH454" s="1" t="n">
        <f aca="false">AH453+AG454</f>
        <v>17994.1</v>
      </c>
    </row>
    <row r="455" customFormat="false" ht="15" hidden="false" customHeight="true" outlineLevel="0" collapsed="false">
      <c r="AA455" s="1" t="n">
        <v>255</v>
      </c>
      <c r="AB455" s="145" t="n">
        <f aca="false">$D$3+255</f>
        <v>46398</v>
      </c>
      <c r="AC455" s="1" t="n">
        <f aca="false">MIN(12,1+DATEDIF($D$3,AB455,"M"))</f>
        <v>9</v>
      </c>
      <c r="AD455" s="1" t="n">
        <f aca="false">SUMPRODUCT(('Recurring Items'!$C$6:$C$56="Income")*('Recurring Items'!$H$6:$H$56&lt;&gt;"Skip")*IFERROR(N('Recurring Items'!$D$6:$D$56),0)*(('Recurring Items'!$E$6:$E$56="Monthly")*(DAY(AB455)='Recurring Items'!$F$6:$F$56)+('Recurring Items'!$E$6:$E$56="Bi-weekly")*(WEEKDAY(AB455)=IFERROR(WEEKDAY('Recurring Items'!$G$6:$G$56),0))*(MOD(AB455-IFERROR('Recurring Items'!$G$6:$G$56,0),14)=0)*(AB455&gt;=IFERROR('Recurring Items'!$G$6:$G$56,9000000000))+('Recurring Items'!$E$6:$E$56="Weekly")*(WEEKDAY(AB455)=IFERROR(WEEKDAY('Recurring Items'!$G$6:$G$56),0))*(AB455&gt;=IFERROR('Recurring Items'!$G$6:$G$56,9000000000))+('Recurring Items'!$E$6:$E$56="One-time")*(AB455='Recurring Items'!$G$6:$G$56)))</f>
        <v>0</v>
      </c>
      <c r="AE455" s="1" t="n">
        <f aca="false">SUMPRODUCT(('Recurring Items'!$C$6:$C$56="Expense")*('Recurring Items'!$H$6:$H$56&lt;&gt;"Skip")*IFERROR(N('Recurring Items'!$D$6:$D$56),0)*(('Recurring Items'!$E$6:$E$56="Monthly")*(DAY(AB455)='Recurring Items'!$F$6:$F$56)+('Recurring Items'!$E$6:$E$56="Bi-weekly")*(WEEKDAY(AB455)=IFERROR(WEEKDAY('Recurring Items'!$G$6:$G$56),0))*(MOD(AB455-IFERROR('Recurring Items'!$G$6:$G$56,0),14)=0)*(AB455&gt;=IFERROR('Recurring Items'!$G$6:$G$56,9000000000))+('Recurring Items'!$E$6:$E$56="Weekly")*(WEEKDAY(AB455)=IFERROR(WEEKDAY('Recurring Items'!$G$6:$G$56),0))*(AB455&gt;=IFERROR('Recurring Items'!$G$6:$G$56,9000000000))+('Recurring Items'!$E$6:$E$56="One-time")*(AB455='Recurring Items'!$G$6:$G$56)))</f>
        <v>0</v>
      </c>
      <c r="AF455" s="1" t="n">
        <f aca="false">(IF(AC455=1,'Debt Tracker'!$P$5&gt;0.01,INDEX('Debt Tracker'!$T$5:$AE$29,1,AC455-1)&gt;0.01))*('Recurring Items'!$H$8&lt;&gt;"Skip")*(DAY(AB455)='Recurring Items'!$F$8)*IFERROR(N('Recurring Items'!$D$8),0)+(IF(AC455=1,'Debt Tracker'!$P$6&gt;0.01,INDEX('Debt Tracker'!$T$5:$AE$29,2,AC455-1)&gt;0.01))*('Recurring Items'!$H$9&lt;&gt;"Skip")*(DAY(AB455)='Recurring Items'!$F$9)*IFERROR(N('Recurring Items'!$D$9),0)+(IF(AC455=1,'Debt Tracker'!$P$7&gt;0.01,INDEX('Debt Tracker'!$T$5:$AE$29,3,AC455-1)&gt;0.01))*('Recurring Items'!$H$10&lt;&gt;"Skip")*(DAY(AB455)='Recurring Items'!$F$10)*IFERROR(N('Recurring Items'!$D$10),0)+(IF(AC455=1,'Debt Tracker'!$P$8&gt;0.01,INDEX('Debt Tracker'!$T$5:$AE$29,4,AC455-1)&gt;0.01))*('Recurring Items'!$H$11&lt;&gt;"Skip")*(DAY(AB455)='Recurring Items'!$F$11)*IFERROR(N('Recurring Items'!$D$11),0)+(IF(AC455=1,'Debt Tracker'!$P$9&gt;0.01,INDEX('Debt Tracker'!$T$5:$AE$29,5,AC455-1)&gt;0.01))*('Recurring Items'!$H$12&lt;&gt;"Skip")*(DAY(AB455)='Recurring Items'!$F$12)*IFERROR(N('Recurring Items'!$D$12),0)+(IF(AC455=1,'Debt Tracker'!$P$10&gt;0.01,INDEX('Debt Tracker'!$T$5:$AE$29,6,AC455-1)&gt;0.01))*('Recurring Items'!$H$13&lt;&gt;"Skip")*(DAY(AB455)='Recurring Items'!$F$13)*IFERROR(N('Recurring Items'!$D$13),0)+(IF(AC455=1,'Debt Tracker'!$P$11&gt;0.01,INDEX('Debt Tracker'!$T$5:$AE$29,7,AC455-1)&gt;0.01))*('Recurring Items'!$H$14&lt;&gt;"Skip")*(DAY(AB455)='Recurring Items'!$F$14)*IFERROR(N('Recurring Items'!$D$14),0)+(IF(AC455=1,'Debt Tracker'!$P$12&gt;0.01,INDEX('Debt Tracker'!$T$5:$AE$29,8,AC455-1)&gt;0.01))*('Recurring Items'!$H$15&lt;&gt;"Skip")*(DAY(AB455)='Recurring Items'!$F$15)*IFERROR(N('Recurring Items'!$D$15),0)+(IF(AC455=1,'Debt Tracker'!$P$13&gt;0.01,INDEX('Debt Tracker'!$T$5:$AE$29,9,AC455-1)&gt;0.01))*('Recurring Items'!$H$16&lt;&gt;"Skip")*(DAY(AB455)='Recurring Items'!$F$16)*IFERROR(N('Recurring Items'!$D$16),0)+(IF(AC455=1,'Debt Tracker'!$P$14&gt;0.01,INDEX('Debt Tracker'!$T$5:$AE$29,10,AC455-1)&gt;0.01))*('Recurring Items'!$H$17&lt;&gt;"Skip")*(DAY(AB455)='Recurring Items'!$F$17)*IFERROR(N('Recurring Items'!$D$17),0)+(IF(AC455=1,'Debt Tracker'!$P$15&gt;0.01,INDEX('Debt Tracker'!$T$5:$AE$29,11,AC455-1)&gt;0.01))*('Recurring Items'!$H$18&lt;&gt;"Skip")*(DAY(AB455)='Recurring Items'!$F$18)*IFERROR(N('Recurring Items'!$D$18),0)+(IF(AC455=1,'Debt Tracker'!$P$16&gt;0.01,INDEX('Debt Tracker'!$T$5:$AE$29,12,AC455-1)&gt;0.01))*('Recurring Items'!$H$19&lt;&gt;"Skip")*(DAY(AB455)='Recurring Items'!$F$19)*IFERROR(N('Recurring Items'!$D$19),0)+(IF(AC455=1,'Debt Tracker'!$P$17&gt;0.01,INDEX('Debt Tracker'!$T$5:$AE$29,13,AC455-1)&gt;0.01))*('Recurring Items'!$H$20&lt;&gt;"Skip")*(DAY(AB455)='Recurring Items'!$F$20)*IFERROR(N('Recurring Items'!$D$20),0)+(IF(AC455=1,'Debt Tracker'!$P$18&gt;0.01,INDEX('Debt Tracker'!$T$5:$AE$29,14,AC455-1)&gt;0.01))*('Recurring Items'!$H$21&lt;&gt;"Skip")*(DAY(AB455)='Recurring Items'!$F$21)*IFERROR(N('Recurring Items'!$D$21),0)+(IF(AC455=1,'Debt Tracker'!$P$19&gt;0.01,INDEX('Debt Tracker'!$T$5:$AE$29,15,AC455-1)&gt;0.01))*('Recurring Items'!$H$22&lt;&gt;"Skip")*(DAY(AB455)='Recurring Items'!$F$22)*IFERROR(N('Recurring Items'!$D$22),0)+(IF(AC455=1,'Debt Tracker'!$P$20&gt;0.01,INDEX('Debt Tracker'!$T$5:$AE$29,16,AC455-1)&gt;0.01))*('Recurring Items'!$H$23&lt;&gt;"Skip")*(DAY(AB455)='Recurring Items'!$F$23)*IFERROR(N('Recurring Items'!$D$23),0)+(IF(AC455=1,'Debt Tracker'!$P$21&gt;0.01,INDEX('Debt Tracker'!$T$5:$AE$29,17,AC455-1)&gt;0.01))*('Recurring Items'!$H$24&lt;&gt;"Skip")*(DAY(AB455)='Recurring Items'!$F$24)*IFERROR(N('Recurring Items'!$D$24),0)+(IF(AC455=1,'Debt Tracker'!$P$22&gt;0.01,INDEX('Debt Tracker'!$T$5:$AE$29,18,AC455-1)&gt;0.01))*('Recurring Items'!$H$25&lt;&gt;"Skip")*(DAY(AB455)='Recurring Items'!$F$25)*IFERROR(N('Recurring Items'!$D$25),0)+(IF(AC455=1,'Debt Tracker'!$P$23&gt;0.01,INDEX('Debt Tracker'!$T$5:$AE$29,19,AC455-1)&gt;0.01))*('Recurring Items'!$H$26&lt;&gt;"Skip")*(DAY(AB455)='Recurring Items'!$F$26)*IFERROR(N('Recurring Items'!$D$26),0)+(IF(AC455=1,'Debt Tracker'!$P$24&gt;0.01,INDEX('Debt Tracker'!$T$5:$AE$29,20,AC455-1)&gt;0.01))*('Recurring Items'!$H$27&lt;&gt;"Skip")*(DAY(AB455)='Recurring Items'!$F$27)*IFERROR(N('Recurring Items'!$D$27),0)+(IF(AC455=1,'Debt Tracker'!$P$25&gt;0.01,INDEX('Debt Tracker'!$T$5:$AE$29,21,AC455-1)&gt;0.01))*('Recurring Items'!$H$28&lt;&gt;"Skip")*(DAY(AB455)='Recurring Items'!$F$28)*IFERROR(N('Recurring Items'!$D$28),0)+(IF(AC455=1,'Debt Tracker'!$P$26&gt;0.01,INDEX('Debt Tracker'!$T$5:$AE$29,22,AC455-1)&gt;0.01))*('Recurring Items'!$H$29&lt;&gt;"Skip")*(DAY(AB455)='Recurring Items'!$F$29)*IFERROR(N('Recurring Items'!$D$29),0)+(IF(AC455=1,'Debt Tracker'!$P$27&gt;0.01,INDEX('Debt Tracker'!$T$5:$AE$29,23,AC455-1)&gt;0.01))*('Recurring Items'!$H$30&lt;&gt;"Skip")*(DAY(AB455)='Recurring Items'!$F$30)*IFERROR(N('Recurring Items'!$D$30),0)+(IF(AC455=1,'Debt Tracker'!$P$28&gt;0.01,INDEX('Debt Tracker'!$T$5:$AE$29,24,AC455-1)&gt;0.01))*('Recurring Items'!$H$31&lt;&gt;"Skip")*(DAY(AB455)='Recurring Items'!$F$31)*IFERROR(N('Recurring Items'!$D$31),0)+(IF(AC455=1,'Debt Tracker'!$P$29&gt;0.01,INDEX('Debt Tracker'!$T$5:$AE$29,25,AC455-1)&gt;0.01))*('Recurring Items'!$H$32&lt;&gt;"Skip")*(DAY(AB455)='Recurring Items'!$F$32)*IFERROR(N('Recurring Items'!$D$32),0)</f>
        <v>0</v>
      </c>
      <c r="AG455" s="1" t="n">
        <f aca="false">AD455-AE455-AF455</f>
        <v>0</v>
      </c>
      <c r="AH455" s="1" t="n">
        <f aca="false">AH454+AG455</f>
        <v>17994.1</v>
      </c>
    </row>
    <row r="456" customFormat="false" ht="15" hidden="false" customHeight="true" outlineLevel="0" collapsed="false">
      <c r="AA456" s="1" t="n">
        <v>256</v>
      </c>
      <c r="AB456" s="145" t="n">
        <f aca="false">$D$3+256</f>
        <v>46399</v>
      </c>
      <c r="AC456" s="1" t="n">
        <f aca="false">MIN(12,1+DATEDIF($D$3,AB456,"M"))</f>
        <v>9</v>
      </c>
      <c r="AD456" s="1" t="n">
        <f aca="false">SUMPRODUCT(('Recurring Items'!$C$6:$C$56="Income")*('Recurring Items'!$H$6:$H$56&lt;&gt;"Skip")*IFERROR(N('Recurring Items'!$D$6:$D$56),0)*(('Recurring Items'!$E$6:$E$56="Monthly")*(DAY(AB456)='Recurring Items'!$F$6:$F$56)+('Recurring Items'!$E$6:$E$56="Bi-weekly")*(WEEKDAY(AB456)=IFERROR(WEEKDAY('Recurring Items'!$G$6:$G$56),0))*(MOD(AB456-IFERROR('Recurring Items'!$G$6:$G$56,0),14)=0)*(AB456&gt;=IFERROR('Recurring Items'!$G$6:$G$56,9000000000))+('Recurring Items'!$E$6:$E$56="Weekly")*(WEEKDAY(AB456)=IFERROR(WEEKDAY('Recurring Items'!$G$6:$G$56),0))*(AB456&gt;=IFERROR('Recurring Items'!$G$6:$G$56,9000000000))+('Recurring Items'!$E$6:$E$56="One-time")*(AB456='Recurring Items'!$G$6:$G$56)))</f>
        <v>0</v>
      </c>
      <c r="AE456" s="1" t="n">
        <f aca="false">SUMPRODUCT(('Recurring Items'!$C$6:$C$56="Expense")*('Recurring Items'!$H$6:$H$56&lt;&gt;"Skip")*IFERROR(N('Recurring Items'!$D$6:$D$56),0)*(('Recurring Items'!$E$6:$E$56="Monthly")*(DAY(AB456)='Recurring Items'!$F$6:$F$56)+('Recurring Items'!$E$6:$E$56="Bi-weekly")*(WEEKDAY(AB456)=IFERROR(WEEKDAY('Recurring Items'!$G$6:$G$56),0))*(MOD(AB456-IFERROR('Recurring Items'!$G$6:$G$56,0),14)=0)*(AB456&gt;=IFERROR('Recurring Items'!$G$6:$G$56,9000000000))+('Recurring Items'!$E$6:$E$56="Weekly")*(WEEKDAY(AB456)=IFERROR(WEEKDAY('Recurring Items'!$G$6:$G$56),0))*(AB456&gt;=IFERROR('Recurring Items'!$G$6:$G$56,9000000000))+('Recurring Items'!$E$6:$E$56="One-time")*(AB456='Recurring Items'!$G$6:$G$56)))</f>
        <v>167.68</v>
      </c>
      <c r="AF456" s="1" t="n">
        <f aca="false">(IF(AC456=1,'Debt Tracker'!$P$5&gt;0.01,INDEX('Debt Tracker'!$T$5:$AE$29,1,AC456-1)&gt;0.01))*('Recurring Items'!$H$8&lt;&gt;"Skip")*(DAY(AB456)='Recurring Items'!$F$8)*IFERROR(N('Recurring Items'!$D$8),0)+(IF(AC456=1,'Debt Tracker'!$P$6&gt;0.01,INDEX('Debt Tracker'!$T$5:$AE$29,2,AC456-1)&gt;0.01))*('Recurring Items'!$H$9&lt;&gt;"Skip")*(DAY(AB456)='Recurring Items'!$F$9)*IFERROR(N('Recurring Items'!$D$9),0)+(IF(AC456=1,'Debt Tracker'!$P$7&gt;0.01,INDEX('Debt Tracker'!$T$5:$AE$29,3,AC456-1)&gt;0.01))*('Recurring Items'!$H$10&lt;&gt;"Skip")*(DAY(AB456)='Recurring Items'!$F$10)*IFERROR(N('Recurring Items'!$D$10),0)+(IF(AC456=1,'Debt Tracker'!$P$8&gt;0.01,INDEX('Debt Tracker'!$T$5:$AE$29,4,AC456-1)&gt;0.01))*('Recurring Items'!$H$11&lt;&gt;"Skip")*(DAY(AB456)='Recurring Items'!$F$11)*IFERROR(N('Recurring Items'!$D$11),0)+(IF(AC456=1,'Debt Tracker'!$P$9&gt;0.01,INDEX('Debt Tracker'!$T$5:$AE$29,5,AC456-1)&gt;0.01))*('Recurring Items'!$H$12&lt;&gt;"Skip")*(DAY(AB456)='Recurring Items'!$F$12)*IFERROR(N('Recurring Items'!$D$12),0)+(IF(AC456=1,'Debt Tracker'!$P$10&gt;0.01,INDEX('Debt Tracker'!$T$5:$AE$29,6,AC456-1)&gt;0.01))*('Recurring Items'!$H$13&lt;&gt;"Skip")*(DAY(AB456)='Recurring Items'!$F$13)*IFERROR(N('Recurring Items'!$D$13),0)+(IF(AC456=1,'Debt Tracker'!$P$11&gt;0.01,INDEX('Debt Tracker'!$T$5:$AE$29,7,AC456-1)&gt;0.01))*('Recurring Items'!$H$14&lt;&gt;"Skip")*(DAY(AB456)='Recurring Items'!$F$14)*IFERROR(N('Recurring Items'!$D$14),0)+(IF(AC456=1,'Debt Tracker'!$P$12&gt;0.01,INDEX('Debt Tracker'!$T$5:$AE$29,8,AC456-1)&gt;0.01))*('Recurring Items'!$H$15&lt;&gt;"Skip")*(DAY(AB456)='Recurring Items'!$F$15)*IFERROR(N('Recurring Items'!$D$15),0)+(IF(AC456=1,'Debt Tracker'!$P$13&gt;0.01,INDEX('Debt Tracker'!$T$5:$AE$29,9,AC456-1)&gt;0.01))*('Recurring Items'!$H$16&lt;&gt;"Skip")*(DAY(AB456)='Recurring Items'!$F$16)*IFERROR(N('Recurring Items'!$D$16),0)+(IF(AC456=1,'Debt Tracker'!$P$14&gt;0.01,INDEX('Debt Tracker'!$T$5:$AE$29,10,AC456-1)&gt;0.01))*('Recurring Items'!$H$17&lt;&gt;"Skip")*(DAY(AB456)='Recurring Items'!$F$17)*IFERROR(N('Recurring Items'!$D$17),0)+(IF(AC456=1,'Debt Tracker'!$P$15&gt;0.01,INDEX('Debt Tracker'!$T$5:$AE$29,11,AC456-1)&gt;0.01))*('Recurring Items'!$H$18&lt;&gt;"Skip")*(DAY(AB456)='Recurring Items'!$F$18)*IFERROR(N('Recurring Items'!$D$18),0)+(IF(AC456=1,'Debt Tracker'!$P$16&gt;0.01,INDEX('Debt Tracker'!$T$5:$AE$29,12,AC456-1)&gt;0.01))*('Recurring Items'!$H$19&lt;&gt;"Skip")*(DAY(AB456)='Recurring Items'!$F$19)*IFERROR(N('Recurring Items'!$D$19),0)+(IF(AC456=1,'Debt Tracker'!$P$17&gt;0.01,INDEX('Debt Tracker'!$T$5:$AE$29,13,AC456-1)&gt;0.01))*('Recurring Items'!$H$20&lt;&gt;"Skip")*(DAY(AB456)='Recurring Items'!$F$20)*IFERROR(N('Recurring Items'!$D$20),0)+(IF(AC456=1,'Debt Tracker'!$P$18&gt;0.01,INDEX('Debt Tracker'!$T$5:$AE$29,14,AC456-1)&gt;0.01))*('Recurring Items'!$H$21&lt;&gt;"Skip")*(DAY(AB456)='Recurring Items'!$F$21)*IFERROR(N('Recurring Items'!$D$21),0)+(IF(AC456=1,'Debt Tracker'!$P$19&gt;0.01,INDEX('Debt Tracker'!$T$5:$AE$29,15,AC456-1)&gt;0.01))*('Recurring Items'!$H$22&lt;&gt;"Skip")*(DAY(AB456)='Recurring Items'!$F$22)*IFERROR(N('Recurring Items'!$D$22),0)+(IF(AC456=1,'Debt Tracker'!$P$20&gt;0.01,INDEX('Debt Tracker'!$T$5:$AE$29,16,AC456-1)&gt;0.01))*('Recurring Items'!$H$23&lt;&gt;"Skip")*(DAY(AB456)='Recurring Items'!$F$23)*IFERROR(N('Recurring Items'!$D$23),0)+(IF(AC456=1,'Debt Tracker'!$P$21&gt;0.01,INDEX('Debt Tracker'!$T$5:$AE$29,17,AC456-1)&gt;0.01))*('Recurring Items'!$H$24&lt;&gt;"Skip")*(DAY(AB456)='Recurring Items'!$F$24)*IFERROR(N('Recurring Items'!$D$24),0)+(IF(AC456=1,'Debt Tracker'!$P$22&gt;0.01,INDEX('Debt Tracker'!$T$5:$AE$29,18,AC456-1)&gt;0.01))*('Recurring Items'!$H$25&lt;&gt;"Skip")*(DAY(AB456)='Recurring Items'!$F$25)*IFERROR(N('Recurring Items'!$D$25),0)+(IF(AC456=1,'Debt Tracker'!$P$23&gt;0.01,INDEX('Debt Tracker'!$T$5:$AE$29,19,AC456-1)&gt;0.01))*('Recurring Items'!$H$26&lt;&gt;"Skip")*(DAY(AB456)='Recurring Items'!$F$26)*IFERROR(N('Recurring Items'!$D$26),0)+(IF(AC456=1,'Debt Tracker'!$P$24&gt;0.01,INDEX('Debt Tracker'!$T$5:$AE$29,20,AC456-1)&gt;0.01))*('Recurring Items'!$H$27&lt;&gt;"Skip")*(DAY(AB456)='Recurring Items'!$F$27)*IFERROR(N('Recurring Items'!$D$27),0)+(IF(AC456=1,'Debt Tracker'!$P$25&gt;0.01,INDEX('Debt Tracker'!$T$5:$AE$29,21,AC456-1)&gt;0.01))*('Recurring Items'!$H$28&lt;&gt;"Skip")*(DAY(AB456)='Recurring Items'!$F$28)*IFERROR(N('Recurring Items'!$D$28),0)+(IF(AC456=1,'Debt Tracker'!$P$26&gt;0.01,INDEX('Debt Tracker'!$T$5:$AE$29,22,AC456-1)&gt;0.01))*('Recurring Items'!$H$29&lt;&gt;"Skip")*(DAY(AB456)='Recurring Items'!$F$29)*IFERROR(N('Recurring Items'!$D$29),0)+(IF(AC456=1,'Debt Tracker'!$P$27&gt;0.01,INDEX('Debt Tracker'!$T$5:$AE$29,23,AC456-1)&gt;0.01))*('Recurring Items'!$H$30&lt;&gt;"Skip")*(DAY(AB456)='Recurring Items'!$F$30)*IFERROR(N('Recurring Items'!$D$30),0)+(IF(AC456=1,'Debt Tracker'!$P$28&gt;0.01,INDEX('Debt Tracker'!$T$5:$AE$29,24,AC456-1)&gt;0.01))*('Recurring Items'!$H$31&lt;&gt;"Skip")*(DAY(AB456)='Recurring Items'!$F$31)*IFERROR(N('Recurring Items'!$D$31),0)+(IF(AC456=1,'Debt Tracker'!$P$29&gt;0.01,INDEX('Debt Tracker'!$T$5:$AE$29,25,AC456-1)&gt;0.01))*('Recurring Items'!$H$32&lt;&gt;"Skip")*(DAY(AB456)='Recurring Items'!$F$32)*IFERROR(N('Recurring Items'!$D$32),0)</f>
        <v>0</v>
      </c>
      <c r="AG456" s="1" t="n">
        <f aca="false">AD456-AE456-AF456</f>
        <v>-167.68</v>
      </c>
      <c r="AH456" s="1" t="n">
        <f aca="false">AH455+AG456</f>
        <v>17826.42</v>
      </c>
    </row>
    <row r="457" customFormat="false" ht="15" hidden="false" customHeight="true" outlineLevel="0" collapsed="false">
      <c r="AA457" s="1" t="n">
        <v>257</v>
      </c>
      <c r="AB457" s="145" t="n">
        <f aca="false">$D$3+257</f>
        <v>46400</v>
      </c>
      <c r="AC457" s="1" t="n">
        <f aca="false">MIN(12,1+DATEDIF($D$3,AB457,"M"))</f>
        <v>9</v>
      </c>
      <c r="AD457" s="1" t="n">
        <f aca="false">SUMPRODUCT(('Recurring Items'!$C$6:$C$56="Income")*('Recurring Items'!$H$6:$H$56&lt;&gt;"Skip")*IFERROR(N('Recurring Items'!$D$6:$D$56),0)*(('Recurring Items'!$E$6:$E$56="Monthly")*(DAY(AB457)='Recurring Items'!$F$6:$F$56)+('Recurring Items'!$E$6:$E$56="Bi-weekly")*(WEEKDAY(AB457)=IFERROR(WEEKDAY('Recurring Items'!$G$6:$G$56),0))*(MOD(AB457-IFERROR('Recurring Items'!$G$6:$G$56,0),14)=0)*(AB457&gt;=IFERROR('Recurring Items'!$G$6:$G$56,9000000000))+('Recurring Items'!$E$6:$E$56="Weekly")*(WEEKDAY(AB457)=IFERROR(WEEKDAY('Recurring Items'!$G$6:$G$56),0))*(AB457&gt;=IFERROR('Recurring Items'!$G$6:$G$56,9000000000))+('Recurring Items'!$E$6:$E$56="One-time")*(AB457='Recurring Items'!$G$6:$G$56)))</f>
        <v>0</v>
      </c>
      <c r="AE457" s="1" t="n">
        <f aca="false">SUMPRODUCT(('Recurring Items'!$C$6:$C$56="Expense")*('Recurring Items'!$H$6:$H$56&lt;&gt;"Skip")*IFERROR(N('Recurring Items'!$D$6:$D$56),0)*(('Recurring Items'!$E$6:$E$56="Monthly")*(DAY(AB457)='Recurring Items'!$F$6:$F$56)+('Recurring Items'!$E$6:$E$56="Bi-weekly")*(WEEKDAY(AB457)=IFERROR(WEEKDAY('Recurring Items'!$G$6:$G$56),0))*(MOD(AB457-IFERROR('Recurring Items'!$G$6:$G$56,0),14)=0)*(AB457&gt;=IFERROR('Recurring Items'!$G$6:$G$56,9000000000))+('Recurring Items'!$E$6:$E$56="Weekly")*(WEEKDAY(AB457)=IFERROR(WEEKDAY('Recurring Items'!$G$6:$G$56),0))*(AB457&gt;=IFERROR('Recurring Items'!$G$6:$G$56,9000000000))+('Recurring Items'!$E$6:$E$56="One-time")*(AB457='Recurring Items'!$G$6:$G$56)))</f>
        <v>0</v>
      </c>
      <c r="AF457" s="1" t="n">
        <f aca="false">(IF(AC457=1,'Debt Tracker'!$P$5&gt;0.01,INDEX('Debt Tracker'!$T$5:$AE$29,1,AC457-1)&gt;0.01))*('Recurring Items'!$H$8&lt;&gt;"Skip")*(DAY(AB457)='Recurring Items'!$F$8)*IFERROR(N('Recurring Items'!$D$8),0)+(IF(AC457=1,'Debt Tracker'!$P$6&gt;0.01,INDEX('Debt Tracker'!$T$5:$AE$29,2,AC457-1)&gt;0.01))*('Recurring Items'!$H$9&lt;&gt;"Skip")*(DAY(AB457)='Recurring Items'!$F$9)*IFERROR(N('Recurring Items'!$D$9),0)+(IF(AC457=1,'Debt Tracker'!$P$7&gt;0.01,INDEX('Debt Tracker'!$T$5:$AE$29,3,AC457-1)&gt;0.01))*('Recurring Items'!$H$10&lt;&gt;"Skip")*(DAY(AB457)='Recurring Items'!$F$10)*IFERROR(N('Recurring Items'!$D$10),0)+(IF(AC457=1,'Debt Tracker'!$P$8&gt;0.01,INDEX('Debt Tracker'!$T$5:$AE$29,4,AC457-1)&gt;0.01))*('Recurring Items'!$H$11&lt;&gt;"Skip")*(DAY(AB457)='Recurring Items'!$F$11)*IFERROR(N('Recurring Items'!$D$11),0)+(IF(AC457=1,'Debt Tracker'!$P$9&gt;0.01,INDEX('Debt Tracker'!$T$5:$AE$29,5,AC457-1)&gt;0.01))*('Recurring Items'!$H$12&lt;&gt;"Skip")*(DAY(AB457)='Recurring Items'!$F$12)*IFERROR(N('Recurring Items'!$D$12),0)+(IF(AC457=1,'Debt Tracker'!$P$10&gt;0.01,INDEX('Debt Tracker'!$T$5:$AE$29,6,AC457-1)&gt;0.01))*('Recurring Items'!$H$13&lt;&gt;"Skip")*(DAY(AB457)='Recurring Items'!$F$13)*IFERROR(N('Recurring Items'!$D$13),0)+(IF(AC457=1,'Debt Tracker'!$P$11&gt;0.01,INDEX('Debt Tracker'!$T$5:$AE$29,7,AC457-1)&gt;0.01))*('Recurring Items'!$H$14&lt;&gt;"Skip")*(DAY(AB457)='Recurring Items'!$F$14)*IFERROR(N('Recurring Items'!$D$14),0)+(IF(AC457=1,'Debt Tracker'!$P$12&gt;0.01,INDEX('Debt Tracker'!$T$5:$AE$29,8,AC457-1)&gt;0.01))*('Recurring Items'!$H$15&lt;&gt;"Skip")*(DAY(AB457)='Recurring Items'!$F$15)*IFERROR(N('Recurring Items'!$D$15),0)+(IF(AC457=1,'Debt Tracker'!$P$13&gt;0.01,INDEX('Debt Tracker'!$T$5:$AE$29,9,AC457-1)&gt;0.01))*('Recurring Items'!$H$16&lt;&gt;"Skip")*(DAY(AB457)='Recurring Items'!$F$16)*IFERROR(N('Recurring Items'!$D$16),0)+(IF(AC457=1,'Debt Tracker'!$P$14&gt;0.01,INDEX('Debt Tracker'!$T$5:$AE$29,10,AC457-1)&gt;0.01))*('Recurring Items'!$H$17&lt;&gt;"Skip")*(DAY(AB457)='Recurring Items'!$F$17)*IFERROR(N('Recurring Items'!$D$17),0)+(IF(AC457=1,'Debt Tracker'!$P$15&gt;0.01,INDEX('Debt Tracker'!$T$5:$AE$29,11,AC457-1)&gt;0.01))*('Recurring Items'!$H$18&lt;&gt;"Skip")*(DAY(AB457)='Recurring Items'!$F$18)*IFERROR(N('Recurring Items'!$D$18),0)+(IF(AC457=1,'Debt Tracker'!$P$16&gt;0.01,INDEX('Debt Tracker'!$T$5:$AE$29,12,AC457-1)&gt;0.01))*('Recurring Items'!$H$19&lt;&gt;"Skip")*(DAY(AB457)='Recurring Items'!$F$19)*IFERROR(N('Recurring Items'!$D$19),0)+(IF(AC457=1,'Debt Tracker'!$P$17&gt;0.01,INDEX('Debt Tracker'!$T$5:$AE$29,13,AC457-1)&gt;0.01))*('Recurring Items'!$H$20&lt;&gt;"Skip")*(DAY(AB457)='Recurring Items'!$F$20)*IFERROR(N('Recurring Items'!$D$20),0)+(IF(AC457=1,'Debt Tracker'!$P$18&gt;0.01,INDEX('Debt Tracker'!$T$5:$AE$29,14,AC457-1)&gt;0.01))*('Recurring Items'!$H$21&lt;&gt;"Skip")*(DAY(AB457)='Recurring Items'!$F$21)*IFERROR(N('Recurring Items'!$D$21),0)+(IF(AC457=1,'Debt Tracker'!$P$19&gt;0.01,INDEX('Debt Tracker'!$T$5:$AE$29,15,AC457-1)&gt;0.01))*('Recurring Items'!$H$22&lt;&gt;"Skip")*(DAY(AB457)='Recurring Items'!$F$22)*IFERROR(N('Recurring Items'!$D$22),0)+(IF(AC457=1,'Debt Tracker'!$P$20&gt;0.01,INDEX('Debt Tracker'!$T$5:$AE$29,16,AC457-1)&gt;0.01))*('Recurring Items'!$H$23&lt;&gt;"Skip")*(DAY(AB457)='Recurring Items'!$F$23)*IFERROR(N('Recurring Items'!$D$23),0)+(IF(AC457=1,'Debt Tracker'!$P$21&gt;0.01,INDEX('Debt Tracker'!$T$5:$AE$29,17,AC457-1)&gt;0.01))*('Recurring Items'!$H$24&lt;&gt;"Skip")*(DAY(AB457)='Recurring Items'!$F$24)*IFERROR(N('Recurring Items'!$D$24),0)+(IF(AC457=1,'Debt Tracker'!$P$22&gt;0.01,INDEX('Debt Tracker'!$T$5:$AE$29,18,AC457-1)&gt;0.01))*('Recurring Items'!$H$25&lt;&gt;"Skip")*(DAY(AB457)='Recurring Items'!$F$25)*IFERROR(N('Recurring Items'!$D$25),0)+(IF(AC457=1,'Debt Tracker'!$P$23&gt;0.01,INDEX('Debt Tracker'!$T$5:$AE$29,19,AC457-1)&gt;0.01))*('Recurring Items'!$H$26&lt;&gt;"Skip")*(DAY(AB457)='Recurring Items'!$F$26)*IFERROR(N('Recurring Items'!$D$26),0)+(IF(AC457=1,'Debt Tracker'!$P$24&gt;0.01,INDEX('Debt Tracker'!$T$5:$AE$29,20,AC457-1)&gt;0.01))*('Recurring Items'!$H$27&lt;&gt;"Skip")*(DAY(AB457)='Recurring Items'!$F$27)*IFERROR(N('Recurring Items'!$D$27),0)+(IF(AC457=1,'Debt Tracker'!$P$25&gt;0.01,INDEX('Debt Tracker'!$T$5:$AE$29,21,AC457-1)&gt;0.01))*('Recurring Items'!$H$28&lt;&gt;"Skip")*(DAY(AB457)='Recurring Items'!$F$28)*IFERROR(N('Recurring Items'!$D$28),0)+(IF(AC457=1,'Debt Tracker'!$P$26&gt;0.01,INDEX('Debt Tracker'!$T$5:$AE$29,22,AC457-1)&gt;0.01))*('Recurring Items'!$H$29&lt;&gt;"Skip")*(DAY(AB457)='Recurring Items'!$F$29)*IFERROR(N('Recurring Items'!$D$29),0)+(IF(AC457=1,'Debt Tracker'!$P$27&gt;0.01,INDEX('Debt Tracker'!$T$5:$AE$29,23,AC457-1)&gt;0.01))*('Recurring Items'!$H$30&lt;&gt;"Skip")*(DAY(AB457)='Recurring Items'!$F$30)*IFERROR(N('Recurring Items'!$D$30),0)+(IF(AC457=1,'Debt Tracker'!$P$28&gt;0.01,INDEX('Debt Tracker'!$T$5:$AE$29,24,AC457-1)&gt;0.01))*('Recurring Items'!$H$31&lt;&gt;"Skip")*(DAY(AB457)='Recurring Items'!$F$31)*IFERROR(N('Recurring Items'!$D$31),0)+(IF(AC457=1,'Debt Tracker'!$P$29&gt;0.01,INDEX('Debt Tracker'!$T$5:$AE$29,25,AC457-1)&gt;0.01))*('Recurring Items'!$H$32&lt;&gt;"Skip")*(DAY(AB457)='Recurring Items'!$F$32)*IFERROR(N('Recurring Items'!$D$32),0)</f>
        <v>0</v>
      </c>
      <c r="AG457" s="1" t="n">
        <f aca="false">AD457-AE457-AF457</f>
        <v>0</v>
      </c>
      <c r="AH457" s="1" t="n">
        <f aca="false">AH456+AG457</f>
        <v>17826.42</v>
      </c>
    </row>
    <row r="458" customFormat="false" ht="15" hidden="false" customHeight="true" outlineLevel="0" collapsed="false">
      <c r="AA458" s="1" t="n">
        <v>258</v>
      </c>
      <c r="AB458" s="145" t="n">
        <f aca="false">$D$3+258</f>
        <v>46401</v>
      </c>
      <c r="AC458" s="1" t="n">
        <f aca="false">MIN(12,1+DATEDIF($D$3,AB458,"M"))</f>
        <v>9</v>
      </c>
      <c r="AD458" s="1" t="n">
        <f aca="false">SUMPRODUCT(('Recurring Items'!$C$6:$C$56="Income")*('Recurring Items'!$H$6:$H$56&lt;&gt;"Skip")*IFERROR(N('Recurring Items'!$D$6:$D$56),0)*(('Recurring Items'!$E$6:$E$56="Monthly")*(DAY(AB458)='Recurring Items'!$F$6:$F$56)+('Recurring Items'!$E$6:$E$56="Bi-weekly")*(WEEKDAY(AB458)=IFERROR(WEEKDAY('Recurring Items'!$G$6:$G$56),0))*(MOD(AB458-IFERROR('Recurring Items'!$G$6:$G$56,0),14)=0)*(AB458&gt;=IFERROR('Recurring Items'!$G$6:$G$56,9000000000))+('Recurring Items'!$E$6:$E$56="Weekly")*(WEEKDAY(AB458)=IFERROR(WEEKDAY('Recurring Items'!$G$6:$G$56),0))*(AB458&gt;=IFERROR('Recurring Items'!$G$6:$G$56,9000000000))+('Recurring Items'!$E$6:$E$56="One-time")*(AB458='Recurring Items'!$G$6:$G$56)))</f>
        <v>2274.42</v>
      </c>
      <c r="AE458" s="1" t="n">
        <f aca="false">SUMPRODUCT(('Recurring Items'!$C$6:$C$56="Expense")*('Recurring Items'!$H$6:$H$56&lt;&gt;"Skip")*IFERROR(N('Recurring Items'!$D$6:$D$56),0)*(('Recurring Items'!$E$6:$E$56="Monthly")*(DAY(AB458)='Recurring Items'!$F$6:$F$56)+('Recurring Items'!$E$6:$E$56="Bi-weekly")*(WEEKDAY(AB458)=IFERROR(WEEKDAY('Recurring Items'!$G$6:$G$56),0))*(MOD(AB458-IFERROR('Recurring Items'!$G$6:$G$56,0),14)=0)*(AB458&gt;=IFERROR('Recurring Items'!$G$6:$G$56,9000000000))+('Recurring Items'!$E$6:$E$56="Weekly")*(WEEKDAY(AB458)=IFERROR(WEEKDAY('Recurring Items'!$G$6:$G$56),0))*(AB458&gt;=IFERROR('Recurring Items'!$G$6:$G$56,9000000000))+('Recurring Items'!$E$6:$E$56="One-time")*(AB458='Recurring Items'!$G$6:$G$56)))</f>
        <v>0</v>
      </c>
      <c r="AF458" s="1" t="n">
        <f aca="false">(IF(AC458=1,'Debt Tracker'!$P$5&gt;0.01,INDEX('Debt Tracker'!$T$5:$AE$29,1,AC458-1)&gt;0.01))*('Recurring Items'!$H$8&lt;&gt;"Skip")*(DAY(AB458)='Recurring Items'!$F$8)*IFERROR(N('Recurring Items'!$D$8),0)+(IF(AC458=1,'Debt Tracker'!$P$6&gt;0.01,INDEX('Debt Tracker'!$T$5:$AE$29,2,AC458-1)&gt;0.01))*('Recurring Items'!$H$9&lt;&gt;"Skip")*(DAY(AB458)='Recurring Items'!$F$9)*IFERROR(N('Recurring Items'!$D$9),0)+(IF(AC458=1,'Debt Tracker'!$P$7&gt;0.01,INDEX('Debt Tracker'!$T$5:$AE$29,3,AC458-1)&gt;0.01))*('Recurring Items'!$H$10&lt;&gt;"Skip")*(DAY(AB458)='Recurring Items'!$F$10)*IFERROR(N('Recurring Items'!$D$10),0)+(IF(AC458=1,'Debt Tracker'!$P$8&gt;0.01,INDEX('Debt Tracker'!$T$5:$AE$29,4,AC458-1)&gt;0.01))*('Recurring Items'!$H$11&lt;&gt;"Skip")*(DAY(AB458)='Recurring Items'!$F$11)*IFERROR(N('Recurring Items'!$D$11),0)+(IF(AC458=1,'Debt Tracker'!$P$9&gt;0.01,INDEX('Debt Tracker'!$T$5:$AE$29,5,AC458-1)&gt;0.01))*('Recurring Items'!$H$12&lt;&gt;"Skip")*(DAY(AB458)='Recurring Items'!$F$12)*IFERROR(N('Recurring Items'!$D$12),0)+(IF(AC458=1,'Debt Tracker'!$P$10&gt;0.01,INDEX('Debt Tracker'!$T$5:$AE$29,6,AC458-1)&gt;0.01))*('Recurring Items'!$H$13&lt;&gt;"Skip")*(DAY(AB458)='Recurring Items'!$F$13)*IFERROR(N('Recurring Items'!$D$13),0)+(IF(AC458=1,'Debt Tracker'!$P$11&gt;0.01,INDEX('Debt Tracker'!$T$5:$AE$29,7,AC458-1)&gt;0.01))*('Recurring Items'!$H$14&lt;&gt;"Skip")*(DAY(AB458)='Recurring Items'!$F$14)*IFERROR(N('Recurring Items'!$D$14),0)+(IF(AC458=1,'Debt Tracker'!$P$12&gt;0.01,INDEX('Debt Tracker'!$T$5:$AE$29,8,AC458-1)&gt;0.01))*('Recurring Items'!$H$15&lt;&gt;"Skip")*(DAY(AB458)='Recurring Items'!$F$15)*IFERROR(N('Recurring Items'!$D$15),0)+(IF(AC458=1,'Debt Tracker'!$P$13&gt;0.01,INDEX('Debt Tracker'!$T$5:$AE$29,9,AC458-1)&gt;0.01))*('Recurring Items'!$H$16&lt;&gt;"Skip")*(DAY(AB458)='Recurring Items'!$F$16)*IFERROR(N('Recurring Items'!$D$16),0)+(IF(AC458=1,'Debt Tracker'!$P$14&gt;0.01,INDEX('Debt Tracker'!$T$5:$AE$29,10,AC458-1)&gt;0.01))*('Recurring Items'!$H$17&lt;&gt;"Skip")*(DAY(AB458)='Recurring Items'!$F$17)*IFERROR(N('Recurring Items'!$D$17),0)+(IF(AC458=1,'Debt Tracker'!$P$15&gt;0.01,INDEX('Debt Tracker'!$T$5:$AE$29,11,AC458-1)&gt;0.01))*('Recurring Items'!$H$18&lt;&gt;"Skip")*(DAY(AB458)='Recurring Items'!$F$18)*IFERROR(N('Recurring Items'!$D$18),0)+(IF(AC458=1,'Debt Tracker'!$P$16&gt;0.01,INDEX('Debt Tracker'!$T$5:$AE$29,12,AC458-1)&gt;0.01))*('Recurring Items'!$H$19&lt;&gt;"Skip")*(DAY(AB458)='Recurring Items'!$F$19)*IFERROR(N('Recurring Items'!$D$19),0)+(IF(AC458=1,'Debt Tracker'!$P$17&gt;0.01,INDEX('Debt Tracker'!$T$5:$AE$29,13,AC458-1)&gt;0.01))*('Recurring Items'!$H$20&lt;&gt;"Skip")*(DAY(AB458)='Recurring Items'!$F$20)*IFERROR(N('Recurring Items'!$D$20),0)+(IF(AC458=1,'Debt Tracker'!$P$18&gt;0.01,INDEX('Debt Tracker'!$T$5:$AE$29,14,AC458-1)&gt;0.01))*('Recurring Items'!$H$21&lt;&gt;"Skip")*(DAY(AB458)='Recurring Items'!$F$21)*IFERROR(N('Recurring Items'!$D$21),0)+(IF(AC458=1,'Debt Tracker'!$P$19&gt;0.01,INDEX('Debt Tracker'!$T$5:$AE$29,15,AC458-1)&gt;0.01))*('Recurring Items'!$H$22&lt;&gt;"Skip")*(DAY(AB458)='Recurring Items'!$F$22)*IFERROR(N('Recurring Items'!$D$22),0)+(IF(AC458=1,'Debt Tracker'!$P$20&gt;0.01,INDEX('Debt Tracker'!$T$5:$AE$29,16,AC458-1)&gt;0.01))*('Recurring Items'!$H$23&lt;&gt;"Skip")*(DAY(AB458)='Recurring Items'!$F$23)*IFERROR(N('Recurring Items'!$D$23),0)+(IF(AC458=1,'Debt Tracker'!$P$21&gt;0.01,INDEX('Debt Tracker'!$T$5:$AE$29,17,AC458-1)&gt;0.01))*('Recurring Items'!$H$24&lt;&gt;"Skip")*(DAY(AB458)='Recurring Items'!$F$24)*IFERROR(N('Recurring Items'!$D$24),0)+(IF(AC458=1,'Debt Tracker'!$P$22&gt;0.01,INDEX('Debt Tracker'!$T$5:$AE$29,18,AC458-1)&gt;0.01))*('Recurring Items'!$H$25&lt;&gt;"Skip")*(DAY(AB458)='Recurring Items'!$F$25)*IFERROR(N('Recurring Items'!$D$25),0)+(IF(AC458=1,'Debt Tracker'!$P$23&gt;0.01,INDEX('Debt Tracker'!$T$5:$AE$29,19,AC458-1)&gt;0.01))*('Recurring Items'!$H$26&lt;&gt;"Skip")*(DAY(AB458)='Recurring Items'!$F$26)*IFERROR(N('Recurring Items'!$D$26),0)+(IF(AC458=1,'Debt Tracker'!$P$24&gt;0.01,INDEX('Debt Tracker'!$T$5:$AE$29,20,AC458-1)&gt;0.01))*('Recurring Items'!$H$27&lt;&gt;"Skip")*(DAY(AB458)='Recurring Items'!$F$27)*IFERROR(N('Recurring Items'!$D$27),0)+(IF(AC458=1,'Debt Tracker'!$P$25&gt;0.01,INDEX('Debt Tracker'!$T$5:$AE$29,21,AC458-1)&gt;0.01))*('Recurring Items'!$H$28&lt;&gt;"Skip")*(DAY(AB458)='Recurring Items'!$F$28)*IFERROR(N('Recurring Items'!$D$28),0)+(IF(AC458=1,'Debt Tracker'!$P$26&gt;0.01,INDEX('Debt Tracker'!$T$5:$AE$29,22,AC458-1)&gt;0.01))*('Recurring Items'!$H$29&lt;&gt;"Skip")*(DAY(AB458)='Recurring Items'!$F$29)*IFERROR(N('Recurring Items'!$D$29),0)+(IF(AC458=1,'Debt Tracker'!$P$27&gt;0.01,INDEX('Debt Tracker'!$T$5:$AE$29,23,AC458-1)&gt;0.01))*('Recurring Items'!$H$30&lt;&gt;"Skip")*(DAY(AB458)='Recurring Items'!$F$30)*IFERROR(N('Recurring Items'!$D$30),0)+(IF(AC458=1,'Debt Tracker'!$P$28&gt;0.01,INDEX('Debt Tracker'!$T$5:$AE$29,24,AC458-1)&gt;0.01))*('Recurring Items'!$H$31&lt;&gt;"Skip")*(DAY(AB458)='Recurring Items'!$F$31)*IFERROR(N('Recurring Items'!$D$31),0)+(IF(AC458=1,'Debt Tracker'!$P$29&gt;0.01,INDEX('Debt Tracker'!$T$5:$AE$29,25,AC458-1)&gt;0.01))*('Recurring Items'!$H$32&lt;&gt;"Skip")*(DAY(AB458)='Recurring Items'!$F$32)*IFERROR(N('Recurring Items'!$D$32),0)</f>
        <v>76.4</v>
      </c>
      <c r="AG458" s="1" t="n">
        <f aca="false">AD458-AE458-AF458</f>
        <v>2198.02</v>
      </c>
      <c r="AH458" s="1" t="n">
        <f aca="false">AH457+AG458</f>
        <v>20024.44</v>
      </c>
    </row>
    <row r="459" customFormat="false" ht="15" hidden="false" customHeight="true" outlineLevel="0" collapsed="false">
      <c r="AA459" s="1" t="n">
        <v>259</v>
      </c>
      <c r="AB459" s="145" t="n">
        <f aca="false">$D$3+259</f>
        <v>46402</v>
      </c>
      <c r="AC459" s="1" t="n">
        <f aca="false">MIN(12,1+DATEDIF($D$3,AB459,"M"))</f>
        <v>9</v>
      </c>
      <c r="AD459" s="1" t="n">
        <f aca="false">SUMPRODUCT(('Recurring Items'!$C$6:$C$56="Income")*('Recurring Items'!$H$6:$H$56&lt;&gt;"Skip")*IFERROR(N('Recurring Items'!$D$6:$D$56),0)*(('Recurring Items'!$E$6:$E$56="Monthly")*(DAY(AB459)='Recurring Items'!$F$6:$F$56)+('Recurring Items'!$E$6:$E$56="Bi-weekly")*(WEEKDAY(AB459)=IFERROR(WEEKDAY('Recurring Items'!$G$6:$G$56),0))*(MOD(AB459-IFERROR('Recurring Items'!$G$6:$G$56,0),14)=0)*(AB459&gt;=IFERROR('Recurring Items'!$G$6:$G$56,9000000000))+('Recurring Items'!$E$6:$E$56="Weekly")*(WEEKDAY(AB459)=IFERROR(WEEKDAY('Recurring Items'!$G$6:$G$56),0))*(AB459&gt;=IFERROR('Recurring Items'!$G$6:$G$56,9000000000))+('Recurring Items'!$E$6:$E$56="One-time")*(AB459='Recurring Items'!$G$6:$G$56)))</f>
        <v>0</v>
      </c>
      <c r="AE459" s="1" t="n">
        <f aca="false">SUMPRODUCT(('Recurring Items'!$C$6:$C$56="Expense")*('Recurring Items'!$H$6:$H$56&lt;&gt;"Skip")*IFERROR(N('Recurring Items'!$D$6:$D$56),0)*(('Recurring Items'!$E$6:$E$56="Monthly")*(DAY(AB459)='Recurring Items'!$F$6:$F$56)+('Recurring Items'!$E$6:$E$56="Bi-weekly")*(WEEKDAY(AB459)=IFERROR(WEEKDAY('Recurring Items'!$G$6:$G$56),0))*(MOD(AB459-IFERROR('Recurring Items'!$G$6:$G$56,0),14)=0)*(AB459&gt;=IFERROR('Recurring Items'!$G$6:$G$56,9000000000))+('Recurring Items'!$E$6:$E$56="Weekly")*(WEEKDAY(AB459)=IFERROR(WEEKDAY('Recurring Items'!$G$6:$G$56),0))*(AB459&gt;=IFERROR('Recurring Items'!$G$6:$G$56,9000000000))+('Recurring Items'!$E$6:$E$56="One-time")*(AB459='Recurring Items'!$G$6:$G$56)))</f>
        <v>3450.57</v>
      </c>
      <c r="AF459" s="1" t="n">
        <f aca="false">(IF(AC459=1,'Debt Tracker'!$P$5&gt;0.01,INDEX('Debt Tracker'!$T$5:$AE$29,1,AC459-1)&gt;0.01))*('Recurring Items'!$H$8&lt;&gt;"Skip")*(DAY(AB459)='Recurring Items'!$F$8)*IFERROR(N('Recurring Items'!$D$8),0)+(IF(AC459=1,'Debt Tracker'!$P$6&gt;0.01,INDEX('Debt Tracker'!$T$5:$AE$29,2,AC459-1)&gt;0.01))*('Recurring Items'!$H$9&lt;&gt;"Skip")*(DAY(AB459)='Recurring Items'!$F$9)*IFERROR(N('Recurring Items'!$D$9),0)+(IF(AC459=1,'Debt Tracker'!$P$7&gt;0.01,INDEX('Debt Tracker'!$T$5:$AE$29,3,AC459-1)&gt;0.01))*('Recurring Items'!$H$10&lt;&gt;"Skip")*(DAY(AB459)='Recurring Items'!$F$10)*IFERROR(N('Recurring Items'!$D$10),0)+(IF(AC459=1,'Debt Tracker'!$P$8&gt;0.01,INDEX('Debt Tracker'!$T$5:$AE$29,4,AC459-1)&gt;0.01))*('Recurring Items'!$H$11&lt;&gt;"Skip")*(DAY(AB459)='Recurring Items'!$F$11)*IFERROR(N('Recurring Items'!$D$11),0)+(IF(AC459=1,'Debt Tracker'!$P$9&gt;0.01,INDEX('Debt Tracker'!$T$5:$AE$29,5,AC459-1)&gt;0.01))*('Recurring Items'!$H$12&lt;&gt;"Skip")*(DAY(AB459)='Recurring Items'!$F$12)*IFERROR(N('Recurring Items'!$D$12),0)+(IF(AC459=1,'Debt Tracker'!$P$10&gt;0.01,INDEX('Debt Tracker'!$T$5:$AE$29,6,AC459-1)&gt;0.01))*('Recurring Items'!$H$13&lt;&gt;"Skip")*(DAY(AB459)='Recurring Items'!$F$13)*IFERROR(N('Recurring Items'!$D$13),0)+(IF(AC459=1,'Debt Tracker'!$P$11&gt;0.01,INDEX('Debt Tracker'!$T$5:$AE$29,7,AC459-1)&gt;0.01))*('Recurring Items'!$H$14&lt;&gt;"Skip")*(DAY(AB459)='Recurring Items'!$F$14)*IFERROR(N('Recurring Items'!$D$14),0)+(IF(AC459=1,'Debt Tracker'!$P$12&gt;0.01,INDEX('Debt Tracker'!$T$5:$AE$29,8,AC459-1)&gt;0.01))*('Recurring Items'!$H$15&lt;&gt;"Skip")*(DAY(AB459)='Recurring Items'!$F$15)*IFERROR(N('Recurring Items'!$D$15),0)+(IF(AC459=1,'Debt Tracker'!$P$13&gt;0.01,INDEX('Debt Tracker'!$T$5:$AE$29,9,AC459-1)&gt;0.01))*('Recurring Items'!$H$16&lt;&gt;"Skip")*(DAY(AB459)='Recurring Items'!$F$16)*IFERROR(N('Recurring Items'!$D$16),0)+(IF(AC459=1,'Debt Tracker'!$P$14&gt;0.01,INDEX('Debt Tracker'!$T$5:$AE$29,10,AC459-1)&gt;0.01))*('Recurring Items'!$H$17&lt;&gt;"Skip")*(DAY(AB459)='Recurring Items'!$F$17)*IFERROR(N('Recurring Items'!$D$17),0)+(IF(AC459=1,'Debt Tracker'!$P$15&gt;0.01,INDEX('Debt Tracker'!$T$5:$AE$29,11,AC459-1)&gt;0.01))*('Recurring Items'!$H$18&lt;&gt;"Skip")*(DAY(AB459)='Recurring Items'!$F$18)*IFERROR(N('Recurring Items'!$D$18),0)+(IF(AC459=1,'Debt Tracker'!$P$16&gt;0.01,INDEX('Debt Tracker'!$T$5:$AE$29,12,AC459-1)&gt;0.01))*('Recurring Items'!$H$19&lt;&gt;"Skip")*(DAY(AB459)='Recurring Items'!$F$19)*IFERROR(N('Recurring Items'!$D$19),0)+(IF(AC459=1,'Debt Tracker'!$P$17&gt;0.01,INDEX('Debt Tracker'!$T$5:$AE$29,13,AC459-1)&gt;0.01))*('Recurring Items'!$H$20&lt;&gt;"Skip")*(DAY(AB459)='Recurring Items'!$F$20)*IFERROR(N('Recurring Items'!$D$20),0)+(IF(AC459=1,'Debt Tracker'!$P$18&gt;0.01,INDEX('Debt Tracker'!$T$5:$AE$29,14,AC459-1)&gt;0.01))*('Recurring Items'!$H$21&lt;&gt;"Skip")*(DAY(AB459)='Recurring Items'!$F$21)*IFERROR(N('Recurring Items'!$D$21),0)+(IF(AC459=1,'Debt Tracker'!$P$19&gt;0.01,INDEX('Debt Tracker'!$T$5:$AE$29,15,AC459-1)&gt;0.01))*('Recurring Items'!$H$22&lt;&gt;"Skip")*(DAY(AB459)='Recurring Items'!$F$22)*IFERROR(N('Recurring Items'!$D$22),0)+(IF(AC459=1,'Debt Tracker'!$P$20&gt;0.01,INDEX('Debt Tracker'!$T$5:$AE$29,16,AC459-1)&gt;0.01))*('Recurring Items'!$H$23&lt;&gt;"Skip")*(DAY(AB459)='Recurring Items'!$F$23)*IFERROR(N('Recurring Items'!$D$23),0)+(IF(AC459=1,'Debt Tracker'!$P$21&gt;0.01,INDEX('Debt Tracker'!$T$5:$AE$29,17,AC459-1)&gt;0.01))*('Recurring Items'!$H$24&lt;&gt;"Skip")*(DAY(AB459)='Recurring Items'!$F$24)*IFERROR(N('Recurring Items'!$D$24),0)+(IF(AC459=1,'Debt Tracker'!$P$22&gt;0.01,INDEX('Debt Tracker'!$T$5:$AE$29,18,AC459-1)&gt;0.01))*('Recurring Items'!$H$25&lt;&gt;"Skip")*(DAY(AB459)='Recurring Items'!$F$25)*IFERROR(N('Recurring Items'!$D$25),0)+(IF(AC459=1,'Debt Tracker'!$P$23&gt;0.01,INDEX('Debt Tracker'!$T$5:$AE$29,19,AC459-1)&gt;0.01))*('Recurring Items'!$H$26&lt;&gt;"Skip")*(DAY(AB459)='Recurring Items'!$F$26)*IFERROR(N('Recurring Items'!$D$26),0)+(IF(AC459=1,'Debt Tracker'!$P$24&gt;0.01,INDEX('Debt Tracker'!$T$5:$AE$29,20,AC459-1)&gt;0.01))*('Recurring Items'!$H$27&lt;&gt;"Skip")*(DAY(AB459)='Recurring Items'!$F$27)*IFERROR(N('Recurring Items'!$D$27),0)+(IF(AC459=1,'Debt Tracker'!$P$25&gt;0.01,INDEX('Debt Tracker'!$T$5:$AE$29,21,AC459-1)&gt;0.01))*('Recurring Items'!$H$28&lt;&gt;"Skip")*(DAY(AB459)='Recurring Items'!$F$28)*IFERROR(N('Recurring Items'!$D$28),0)+(IF(AC459=1,'Debt Tracker'!$P$26&gt;0.01,INDEX('Debt Tracker'!$T$5:$AE$29,22,AC459-1)&gt;0.01))*('Recurring Items'!$H$29&lt;&gt;"Skip")*(DAY(AB459)='Recurring Items'!$F$29)*IFERROR(N('Recurring Items'!$D$29),0)+(IF(AC459=1,'Debt Tracker'!$P$27&gt;0.01,INDEX('Debt Tracker'!$T$5:$AE$29,23,AC459-1)&gt;0.01))*('Recurring Items'!$H$30&lt;&gt;"Skip")*(DAY(AB459)='Recurring Items'!$F$30)*IFERROR(N('Recurring Items'!$D$30),0)+(IF(AC459=1,'Debt Tracker'!$P$28&gt;0.01,INDEX('Debt Tracker'!$T$5:$AE$29,24,AC459-1)&gt;0.01))*('Recurring Items'!$H$31&lt;&gt;"Skip")*(DAY(AB459)='Recurring Items'!$F$31)*IFERROR(N('Recurring Items'!$D$31),0)+(IF(AC459=1,'Debt Tracker'!$P$29&gt;0.01,INDEX('Debt Tracker'!$T$5:$AE$29,25,AC459-1)&gt;0.01))*('Recurring Items'!$H$32&lt;&gt;"Skip")*(DAY(AB459)='Recurring Items'!$F$32)*IFERROR(N('Recurring Items'!$D$32),0)</f>
        <v>107.75</v>
      </c>
      <c r="AG459" s="1" t="n">
        <f aca="false">AD459-AE459-AF459</f>
        <v>-3558.32</v>
      </c>
      <c r="AH459" s="1" t="n">
        <f aca="false">AH458+AG459</f>
        <v>16466.12</v>
      </c>
    </row>
    <row r="460" customFormat="false" ht="15" hidden="false" customHeight="true" outlineLevel="0" collapsed="false">
      <c r="AA460" s="1" t="n">
        <v>260</v>
      </c>
      <c r="AB460" s="145" t="n">
        <f aca="false">$D$3+260</f>
        <v>46403</v>
      </c>
      <c r="AC460" s="1" t="n">
        <f aca="false">MIN(12,1+DATEDIF($D$3,AB460,"M"))</f>
        <v>9</v>
      </c>
      <c r="AD460" s="1" t="n">
        <f aca="false">SUMPRODUCT(('Recurring Items'!$C$6:$C$56="Income")*('Recurring Items'!$H$6:$H$56&lt;&gt;"Skip")*IFERROR(N('Recurring Items'!$D$6:$D$56),0)*(('Recurring Items'!$E$6:$E$56="Monthly")*(DAY(AB460)='Recurring Items'!$F$6:$F$56)+('Recurring Items'!$E$6:$E$56="Bi-weekly")*(WEEKDAY(AB460)=IFERROR(WEEKDAY('Recurring Items'!$G$6:$G$56),0))*(MOD(AB460-IFERROR('Recurring Items'!$G$6:$G$56,0),14)=0)*(AB460&gt;=IFERROR('Recurring Items'!$G$6:$G$56,9000000000))+('Recurring Items'!$E$6:$E$56="Weekly")*(WEEKDAY(AB460)=IFERROR(WEEKDAY('Recurring Items'!$G$6:$G$56),0))*(AB460&gt;=IFERROR('Recurring Items'!$G$6:$G$56,9000000000))+('Recurring Items'!$E$6:$E$56="One-time")*(AB460='Recurring Items'!$G$6:$G$56)))</f>
        <v>0</v>
      </c>
      <c r="AE460" s="1" t="n">
        <f aca="false">SUMPRODUCT(('Recurring Items'!$C$6:$C$56="Expense")*('Recurring Items'!$H$6:$H$56&lt;&gt;"Skip")*IFERROR(N('Recurring Items'!$D$6:$D$56),0)*(('Recurring Items'!$E$6:$E$56="Monthly")*(DAY(AB460)='Recurring Items'!$F$6:$F$56)+('Recurring Items'!$E$6:$E$56="Bi-weekly")*(WEEKDAY(AB460)=IFERROR(WEEKDAY('Recurring Items'!$G$6:$G$56),0))*(MOD(AB460-IFERROR('Recurring Items'!$G$6:$G$56,0),14)=0)*(AB460&gt;=IFERROR('Recurring Items'!$G$6:$G$56,9000000000))+('Recurring Items'!$E$6:$E$56="Weekly")*(WEEKDAY(AB460)=IFERROR(WEEKDAY('Recurring Items'!$G$6:$G$56),0))*(AB460&gt;=IFERROR('Recurring Items'!$G$6:$G$56,9000000000))+('Recurring Items'!$E$6:$E$56="One-time")*(AB460='Recurring Items'!$G$6:$G$56)))</f>
        <v>342</v>
      </c>
      <c r="AF460" s="1" t="n">
        <f aca="false">(IF(AC460=1,'Debt Tracker'!$P$5&gt;0.01,INDEX('Debt Tracker'!$T$5:$AE$29,1,AC460-1)&gt;0.01))*('Recurring Items'!$H$8&lt;&gt;"Skip")*(DAY(AB460)='Recurring Items'!$F$8)*IFERROR(N('Recurring Items'!$D$8),0)+(IF(AC460=1,'Debt Tracker'!$P$6&gt;0.01,INDEX('Debt Tracker'!$T$5:$AE$29,2,AC460-1)&gt;0.01))*('Recurring Items'!$H$9&lt;&gt;"Skip")*(DAY(AB460)='Recurring Items'!$F$9)*IFERROR(N('Recurring Items'!$D$9),0)+(IF(AC460=1,'Debt Tracker'!$P$7&gt;0.01,INDEX('Debt Tracker'!$T$5:$AE$29,3,AC460-1)&gt;0.01))*('Recurring Items'!$H$10&lt;&gt;"Skip")*(DAY(AB460)='Recurring Items'!$F$10)*IFERROR(N('Recurring Items'!$D$10),0)+(IF(AC460=1,'Debt Tracker'!$P$8&gt;0.01,INDEX('Debt Tracker'!$T$5:$AE$29,4,AC460-1)&gt;0.01))*('Recurring Items'!$H$11&lt;&gt;"Skip")*(DAY(AB460)='Recurring Items'!$F$11)*IFERROR(N('Recurring Items'!$D$11),0)+(IF(AC460=1,'Debt Tracker'!$P$9&gt;0.01,INDEX('Debt Tracker'!$T$5:$AE$29,5,AC460-1)&gt;0.01))*('Recurring Items'!$H$12&lt;&gt;"Skip")*(DAY(AB460)='Recurring Items'!$F$12)*IFERROR(N('Recurring Items'!$D$12),0)+(IF(AC460=1,'Debt Tracker'!$P$10&gt;0.01,INDEX('Debt Tracker'!$T$5:$AE$29,6,AC460-1)&gt;0.01))*('Recurring Items'!$H$13&lt;&gt;"Skip")*(DAY(AB460)='Recurring Items'!$F$13)*IFERROR(N('Recurring Items'!$D$13),0)+(IF(AC460=1,'Debt Tracker'!$P$11&gt;0.01,INDEX('Debt Tracker'!$T$5:$AE$29,7,AC460-1)&gt;0.01))*('Recurring Items'!$H$14&lt;&gt;"Skip")*(DAY(AB460)='Recurring Items'!$F$14)*IFERROR(N('Recurring Items'!$D$14),0)+(IF(AC460=1,'Debt Tracker'!$P$12&gt;0.01,INDEX('Debt Tracker'!$T$5:$AE$29,8,AC460-1)&gt;0.01))*('Recurring Items'!$H$15&lt;&gt;"Skip")*(DAY(AB460)='Recurring Items'!$F$15)*IFERROR(N('Recurring Items'!$D$15),0)+(IF(AC460=1,'Debt Tracker'!$P$13&gt;0.01,INDEX('Debt Tracker'!$T$5:$AE$29,9,AC460-1)&gt;0.01))*('Recurring Items'!$H$16&lt;&gt;"Skip")*(DAY(AB460)='Recurring Items'!$F$16)*IFERROR(N('Recurring Items'!$D$16),0)+(IF(AC460=1,'Debt Tracker'!$P$14&gt;0.01,INDEX('Debt Tracker'!$T$5:$AE$29,10,AC460-1)&gt;0.01))*('Recurring Items'!$H$17&lt;&gt;"Skip")*(DAY(AB460)='Recurring Items'!$F$17)*IFERROR(N('Recurring Items'!$D$17),0)+(IF(AC460=1,'Debt Tracker'!$P$15&gt;0.01,INDEX('Debt Tracker'!$T$5:$AE$29,11,AC460-1)&gt;0.01))*('Recurring Items'!$H$18&lt;&gt;"Skip")*(DAY(AB460)='Recurring Items'!$F$18)*IFERROR(N('Recurring Items'!$D$18),0)+(IF(AC460=1,'Debt Tracker'!$P$16&gt;0.01,INDEX('Debt Tracker'!$T$5:$AE$29,12,AC460-1)&gt;0.01))*('Recurring Items'!$H$19&lt;&gt;"Skip")*(DAY(AB460)='Recurring Items'!$F$19)*IFERROR(N('Recurring Items'!$D$19),0)+(IF(AC460=1,'Debt Tracker'!$P$17&gt;0.01,INDEX('Debt Tracker'!$T$5:$AE$29,13,AC460-1)&gt;0.01))*('Recurring Items'!$H$20&lt;&gt;"Skip")*(DAY(AB460)='Recurring Items'!$F$20)*IFERROR(N('Recurring Items'!$D$20),0)+(IF(AC460=1,'Debt Tracker'!$P$18&gt;0.01,INDEX('Debt Tracker'!$T$5:$AE$29,14,AC460-1)&gt;0.01))*('Recurring Items'!$H$21&lt;&gt;"Skip")*(DAY(AB460)='Recurring Items'!$F$21)*IFERROR(N('Recurring Items'!$D$21),0)+(IF(AC460=1,'Debt Tracker'!$P$19&gt;0.01,INDEX('Debt Tracker'!$T$5:$AE$29,15,AC460-1)&gt;0.01))*('Recurring Items'!$H$22&lt;&gt;"Skip")*(DAY(AB460)='Recurring Items'!$F$22)*IFERROR(N('Recurring Items'!$D$22),0)+(IF(AC460=1,'Debt Tracker'!$P$20&gt;0.01,INDEX('Debt Tracker'!$T$5:$AE$29,16,AC460-1)&gt;0.01))*('Recurring Items'!$H$23&lt;&gt;"Skip")*(DAY(AB460)='Recurring Items'!$F$23)*IFERROR(N('Recurring Items'!$D$23),0)+(IF(AC460=1,'Debt Tracker'!$P$21&gt;0.01,INDEX('Debt Tracker'!$T$5:$AE$29,17,AC460-1)&gt;0.01))*('Recurring Items'!$H$24&lt;&gt;"Skip")*(DAY(AB460)='Recurring Items'!$F$24)*IFERROR(N('Recurring Items'!$D$24),0)+(IF(AC460=1,'Debt Tracker'!$P$22&gt;0.01,INDEX('Debt Tracker'!$T$5:$AE$29,18,AC460-1)&gt;0.01))*('Recurring Items'!$H$25&lt;&gt;"Skip")*(DAY(AB460)='Recurring Items'!$F$25)*IFERROR(N('Recurring Items'!$D$25),0)+(IF(AC460=1,'Debt Tracker'!$P$23&gt;0.01,INDEX('Debt Tracker'!$T$5:$AE$29,19,AC460-1)&gt;0.01))*('Recurring Items'!$H$26&lt;&gt;"Skip")*(DAY(AB460)='Recurring Items'!$F$26)*IFERROR(N('Recurring Items'!$D$26),0)+(IF(AC460=1,'Debt Tracker'!$P$24&gt;0.01,INDEX('Debt Tracker'!$T$5:$AE$29,20,AC460-1)&gt;0.01))*('Recurring Items'!$H$27&lt;&gt;"Skip")*(DAY(AB460)='Recurring Items'!$F$27)*IFERROR(N('Recurring Items'!$D$27),0)+(IF(AC460=1,'Debt Tracker'!$P$25&gt;0.01,INDEX('Debt Tracker'!$T$5:$AE$29,21,AC460-1)&gt;0.01))*('Recurring Items'!$H$28&lt;&gt;"Skip")*(DAY(AB460)='Recurring Items'!$F$28)*IFERROR(N('Recurring Items'!$D$28),0)+(IF(AC460=1,'Debt Tracker'!$P$26&gt;0.01,INDEX('Debt Tracker'!$T$5:$AE$29,22,AC460-1)&gt;0.01))*('Recurring Items'!$H$29&lt;&gt;"Skip")*(DAY(AB460)='Recurring Items'!$F$29)*IFERROR(N('Recurring Items'!$D$29),0)+(IF(AC460=1,'Debt Tracker'!$P$27&gt;0.01,INDEX('Debt Tracker'!$T$5:$AE$29,23,AC460-1)&gt;0.01))*('Recurring Items'!$H$30&lt;&gt;"Skip")*(DAY(AB460)='Recurring Items'!$F$30)*IFERROR(N('Recurring Items'!$D$30),0)+(IF(AC460=1,'Debt Tracker'!$P$28&gt;0.01,INDEX('Debt Tracker'!$T$5:$AE$29,24,AC460-1)&gt;0.01))*('Recurring Items'!$H$31&lt;&gt;"Skip")*(DAY(AB460)='Recurring Items'!$F$31)*IFERROR(N('Recurring Items'!$D$31),0)+(IF(AC460=1,'Debt Tracker'!$P$29&gt;0.01,INDEX('Debt Tracker'!$T$5:$AE$29,25,AC460-1)&gt;0.01))*('Recurring Items'!$H$32&lt;&gt;"Skip")*(DAY(AB460)='Recurring Items'!$F$32)*IFERROR(N('Recurring Items'!$D$32),0)</f>
        <v>0</v>
      </c>
      <c r="AG460" s="1" t="n">
        <f aca="false">AD460-AE460-AF460</f>
        <v>-342</v>
      </c>
      <c r="AH460" s="1" t="n">
        <f aca="false">AH459+AG460</f>
        <v>16124.12</v>
      </c>
    </row>
    <row r="461" customFormat="false" ht="15" hidden="false" customHeight="true" outlineLevel="0" collapsed="false">
      <c r="AA461" s="1" t="n">
        <v>261</v>
      </c>
      <c r="AB461" s="145" t="n">
        <f aca="false">$D$3+261</f>
        <v>46404</v>
      </c>
      <c r="AC461" s="1" t="n">
        <f aca="false">MIN(12,1+DATEDIF($D$3,AB461,"M"))</f>
        <v>9</v>
      </c>
      <c r="AD461" s="1" t="n">
        <f aca="false">SUMPRODUCT(('Recurring Items'!$C$6:$C$56="Income")*('Recurring Items'!$H$6:$H$56&lt;&gt;"Skip")*IFERROR(N('Recurring Items'!$D$6:$D$56),0)*(('Recurring Items'!$E$6:$E$56="Monthly")*(DAY(AB461)='Recurring Items'!$F$6:$F$56)+('Recurring Items'!$E$6:$E$56="Bi-weekly")*(WEEKDAY(AB461)=IFERROR(WEEKDAY('Recurring Items'!$G$6:$G$56),0))*(MOD(AB461-IFERROR('Recurring Items'!$G$6:$G$56,0),14)=0)*(AB461&gt;=IFERROR('Recurring Items'!$G$6:$G$56,9000000000))+('Recurring Items'!$E$6:$E$56="Weekly")*(WEEKDAY(AB461)=IFERROR(WEEKDAY('Recurring Items'!$G$6:$G$56),0))*(AB461&gt;=IFERROR('Recurring Items'!$G$6:$G$56,9000000000))+('Recurring Items'!$E$6:$E$56="One-time")*(AB461='Recurring Items'!$G$6:$G$56)))</f>
        <v>0</v>
      </c>
      <c r="AE461" s="1" t="n">
        <f aca="false">SUMPRODUCT(('Recurring Items'!$C$6:$C$56="Expense")*('Recurring Items'!$H$6:$H$56&lt;&gt;"Skip")*IFERROR(N('Recurring Items'!$D$6:$D$56),0)*(('Recurring Items'!$E$6:$E$56="Monthly")*(DAY(AB461)='Recurring Items'!$F$6:$F$56)+('Recurring Items'!$E$6:$E$56="Bi-weekly")*(WEEKDAY(AB461)=IFERROR(WEEKDAY('Recurring Items'!$G$6:$G$56),0))*(MOD(AB461-IFERROR('Recurring Items'!$G$6:$G$56,0),14)=0)*(AB461&gt;=IFERROR('Recurring Items'!$G$6:$G$56,9000000000))+('Recurring Items'!$E$6:$E$56="Weekly")*(WEEKDAY(AB461)=IFERROR(WEEKDAY('Recurring Items'!$G$6:$G$56),0))*(AB461&gt;=IFERROR('Recurring Items'!$G$6:$G$56,9000000000))+('Recurring Items'!$E$6:$E$56="One-time")*(AB461='Recurring Items'!$G$6:$G$56)))</f>
        <v>0</v>
      </c>
      <c r="AF461" s="1" t="n">
        <f aca="false">(IF(AC461=1,'Debt Tracker'!$P$5&gt;0.01,INDEX('Debt Tracker'!$T$5:$AE$29,1,AC461-1)&gt;0.01))*('Recurring Items'!$H$8&lt;&gt;"Skip")*(DAY(AB461)='Recurring Items'!$F$8)*IFERROR(N('Recurring Items'!$D$8),0)+(IF(AC461=1,'Debt Tracker'!$P$6&gt;0.01,INDEX('Debt Tracker'!$T$5:$AE$29,2,AC461-1)&gt;0.01))*('Recurring Items'!$H$9&lt;&gt;"Skip")*(DAY(AB461)='Recurring Items'!$F$9)*IFERROR(N('Recurring Items'!$D$9),0)+(IF(AC461=1,'Debt Tracker'!$P$7&gt;0.01,INDEX('Debt Tracker'!$T$5:$AE$29,3,AC461-1)&gt;0.01))*('Recurring Items'!$H$10&lt;&gt;"Skip")*(DAY(AB461)='Recurring Items'!$F$10)*IFERROR(N('Recurring Items'!$D$10),0)+(IF(AC461=1,'Debt Tracker'!$P$8&gt;0.01,INDEX('Debt Tracker'!$T$5:$AE$29,4,AC461-1)&gt;0.01))*('Recurring Items'!$H$11&lt;&gt;"Skip")*(DAY(AB461)='Recurring Items'!$F$11)*IFERROR(N('Recurring Items'!$D$11),0)+(IF(AC461=1,'Debt Tracker'!$P$9&gt;0.01,INDEX('Debt Tracker'!$T$5:$AE$29,5,AC461-1)&gt;0.01))*('Recurring Items'!$H$12&lt;&gt;"Skip")*(DAY(AB461)='Recurring Items'!$F$12)*IFERROR(N('Recurring Items'!$D$12),0)+(IF(AC461=1,'Debt Tracker'!$P$10&gt;0.01,INDEX('Debt Tracker'!$T$5:$AE$29,6,AC461-1)&gt;0.01))*('Recurring Items'!$H$13&lt;&gt;"Skip")*(DAY(AB461)='Recurring Items'!$F$13)*IFERROR(N('Recurring Items'!$D$13),0)+(IF(AC461=1,'Debt Tracker'!$P$11&gt;0.01,INDEX('Debt Tracker'!$T$5:$AE$29,7,AC461-1)&gt;0.01))*('Recurring Items'!$H$14&lt;&gt;"Skip")*(DAY(AB461)='Recurring Items'!$F$14)*IFERROR(N('Recurring Items'!$D$14),0)+(IF(AC461=1,'Debt Tracker'!$P$12&gt;0.01,INDEX('Debt Tracker'!$T$5:$AE$29,8,AC461-1)&gt;0.01))*('Recurring Items'!$H$15&lt;&gt;"Skip")*(DAY(AB461)='Recurring Items'!$F$15)*IFERROR(N('Recurring Items'!$D$15),0)+(IF(AC461=1,'Debt Tracker'!$P$13&gt;0.01,INDEX('Debt Tracker'!$T$5:$AE$29,9,AC461-1)&gt;0.01))*('Recurring Items'!$H$16&lt;&gt;"Skip")*(DAY(AB461)='Recurring Items'!$F$16)*IFERROR(N('Recurring Items'!$D$16),0)+(IF(AC461=1,'Debt Tracker'!$P$14&gt;0.01,INDEX('Debt Tracker'!$T$5:$AE$29,10,AC461-1)&gt;0.01))*('Recurring Items'!$H$17&lt;&gt;"Skip")*(DAY(AB461)='Recurring Items'!$F$17)*IFERROR(N('Recurring Items'!$D$17),0)+(IF(AC461=1,'Debt Tracker'!$P$15&gt;0.01,INDEX('Debt Tracker'!$T$5:$AE$29,11,AC461-1)&gt;0.01))*('Recurring Items'!$H$18&lt;&gt;"Skip")*(DAY(AB461)='Recurring Items'!$F$18)*IFERROR(N('Recurring Items'!$D$18),0)+(IF(AC461=1,'Debt Tracker'!$P$16&gt;0.01,INDEX('Debt Tracker'!$T$5:$AE$29,12,AC461-1)&gt;0.01))*('Recurring Items'!$H$19&lt;&gt;"Skip")*(DAY(AB461)='Recurring Items'!$F$19)*IFERROR(N('Recurring Items'!$D$19),0)+(IF(AC461=1,'Debt Tracker'!$P$17&gt;0.01,INDEX('Debt Tracker'!$T$5:$AE$29,13,AC461-1)&gt;0.01))*('Recurring Items'!$H$20&lt;&gt;"Skip")*(DAY(AB461)='Recurring Items'!$F$20)*IFERROR(N('Recurring Items'!$D$20),0)+(IF(AC461=1,'Debt Tracker'!$P$18&gt;0.01,INDEX('Debt Tracker'!$T$5:$AE$29,14,AC461-1)&gt;0.01))*('Recurring Items'!$H$21&lt;&gt;"Skip")*(DAY(AB461)='Recurring Items'!$F$21)*IFERROR(N('Recurring Items'!$D$21),0)+(IF(AC461=1,'Debt Tracker'!$P$19&gt;0.01,INDEX('Debt Tracker'!$T$5:$AE$29,15,AC461-1)&gt;0.01))*('Recurring Items'!$H$22&lt;&gt;"Skip")*(DAY(AB461)='Recurring Items'!$F$22)*IFERROR(N('Recurring Items'!$D$22),0)+(IF(AC461=1,'Debt Tracker'!$P$20&gt;0.01,INDEX('Debt Tracker'!$T$5:$AE$29,16,AC461-1)&gt;0.01))*('Recurring Items'!$H$23&lt;&gt;"Skip")*(DAY(AB461)='Recurring Items'!$F$23)*IFERROR(N('Recurring Items'!$D$23),0)+(IF(AC461=1,'Debt Tracker'!$P$21&gt;0.01,INDEX('Debt Tracker'!$T$5:$AE$29,17,AC461-1)&gt;0.01))*('Recurring Items'!$H$24&lt;&gt;"Skip")*(DAY(AB461)='Recurring Items'!$F$24)*IFERROR(N('Recurring Items'!$D$24),0)+(IF(AC461=1,'Debt Tracker'!$P$22&gt;0.01,INDEX('Debt Tracker'!$T$5:$AE$29,18,AC461-1)&gt;0.01))*('Recurring Items'!$H$25&lt;&gt;"Skip")*(DAY(AB461)='Recurring Items'!$F$25)*IFERROR(N('Recurring Items'!$D$25),0)+(IF(AC461=1,'Debt Tracker'!$P$23&gt;0.01,INDEX('Debt Tracker'!$T$5:$AE$29,19,AC461-1)&gt;0.01))*('Recurring Items'!$H$26&lt;&gt;"Skip")*(DAY(AB461)='Recurring Items'!$F$26)*IFERROR(N('Recurring Items'!$D$26),0)+(IF(AC461=1,'Debt Tracker'!$P$24&gt;0.01,INDEX('Debt Tracker'!$T$5:$AE$29,20,AC461-1)&gt;0.01))*('Recurring Items'!$H$27&lt;&gt;"Skip")*(DAY(AB461)='Recurring Items'!$F$27)*IFERROR(N('Recurring Items'!$D$27),0)+(IF(AC461=1,'Debt Tracker'!$P$25&gt;0.01,INDEX('Debt Tracker'!$T$5:$AE$29,21,AC461-1)&gt;0.01))*('Recurring Items'!$H$28&lt;&gt;"Skip")*(DAY(AB461)='Recurring Items'!$F$28)*IFERROR(N('Recurring Items'!$D$28),0)+(IF(AC461=1,'Debt Tracker'!$P$26&gt;0.01,INDEX('Debt Tracker'!$T$5:$AE$29,22,AC461-1)&gt;0.01))*('Recurring Items'!$H$29&lt;&gt;"Skip")*(DAY(AB461)='Recurring Items'!$F$29)*IFERROR(N('Recurring Items'!$D$29),0)+(IF(AC461=1,'Debt Tracker'!$P$27&gt;0.01,INDEX('Debt Tracker'!$T$5:$AE$29,23,AC461-1)&gt;0.01))*('Recurring Items'!$H$30&lt;&gt;"Skip")*(DAY(AB461)='Recurring Items'!$F$30)*IFERROR(N('Recurring Items'!$D$30),0)+(IF(AC461=1,'Debt Tracker'!$P$28&gt;0.01,INDEX('Debt Tracker'!$T$5:$AE$29,24,AC461-1)&gt;0.01))*('Recurring Items'!$H$31&lt;&gt;"Skip")*(DAY(AB461)='Recurring Items'!$F$31)*IFERROR(N('Recurring Items'!$D$31),0)+(IF(AC461=1,'Debt Tracker'!$P$29&gt;0.01,INDEX('Debt Tracker'!$T$5:$AE$29,25,AC461-1)&gt;0.01))*('Recurring Items'!$H$32&lt;&gt;"Skip")*(DAY(AB461)='Recurring Items'!$F$32)*IFERROR(N('Recurring Items'!$D$32),0)</f>
        <v>0</v>
      </c>
      <c r="AG461" s="1" t="n">
        <f aca="false">AD461-AE461-AF461</f>
        <v>0</v>
      </c>
      <c r="AH461" s="1" t="n">
        <f aca="false">AH460+AG461</f>
        <v>16124.12</v>
      </c>
    </row>
    <row r="462" customFormat="false" ht="15" hidden="false" customHeight="true" outlineLevel="0" collapsed="false">
      <c r="AA462" s="1" t="n">
        <v>262</v>
      </c>
      <c r="AB462" s="145" t="n">
        <f aca="false">$D$3+262</f>
        <v>46405</v>
      </c>
      <c r="AC462" s="1" t="n">
        <f aca="false">MIN(12,1+DATEDIF($D$3,AB462,"M"))</f>
        <v>9</v>
      </c>
      <c r="AD462" s="1" t="n">
        <f aca="false">SUMPRODUCT(('Recurring Items'!$C$6:$C$56="Income")*('Recurring Items'!$H$6:$H$56&lt;&gt;"Skip")*IFERROR(N('Recurring Items'!$D$6:$D$56),0)*(('Recurring Items'!$E$6:$E$56="Monthly")*(DAY(AB462)='Recurring Items'!$F$6:$F$56)+('Recurring Items'!$E$6:$E$56="Bi-weekly")*(WEEKDAY(AB462)=IFERROR(WEEKDAY('Recurring Items'!$G$6:$G$56),0))*(MOD(AB462-IFERROR('Recurring Items'!$G$6:$G$56,0),14)=0)*(AB462&gt;=IFERROR('Recurring Items'!$G$6:$G$56,9000000000))+('Recurring Items'!$E$6:$E$56="Weekly")*(WEEKDAY(AB462)=IFERROR(WEEKDAY('Recurring Items'!$G$6:$G$56),0))*(AB462&gt;=IFERROR('Recurring Items'!$G$6:$G$56,9000000000))+('Recurring Items'!$E$6:$E$56="One-time")*(AB462='Recurring Items'!$G$6:$G$56)))</f>
        <v>0</v>
      </c>
      <c r="AE462" s="1" t="n">
        <f aca="false">SUMPRODUCT(('Recurring Items'!$C$6:$C$56="Expense")*('Recurring Items'!$H$6:$H$56&lt;&gt;"Skip")*IFERROR(N('Recurring Items'!$D$6:$D$56),0)*(('Recurring Items'!$E$6:$E$56="Monthly")*(DAY(AB462)='Recurring Items'!$F$6:$F$56)+('Recurring Items'!$E$6:$E$56="Bi-weekly")*(WEEKDAY(AB462)=IFERROR(WEEKDAY('Recurring Items'!$G$6:$G$56),0))*(MOD(AB462-IFERROR('Recurring Items'!$G$6:$G$56,0),14)=0)*(AB462&gt;=IFERROR('Recurring Items'!$G$6:$G$56,9000000000))+('Recurring Items'!$E$6:$E$56="Weekly")*(WEEKDAY(AB462)=IFERROR(WEEKDAY('Recurring Items'!$G$6:$G$56),0))*(AB462&gt;=IFERROR('Recurring Items'!$G$6:$G$56,9000000000))+('Recurring Items'!$E$6:$E$56="One-time")*(AB462='Recurring Items'!$G$6:$G$56)))</f>
        <v>0</v>
      </c>
      <c r="AF462" s="1" t="n">
        <f aca="false">(IF(AC462=1,'Debt Tracker'!$P$5&gt;0.01,INDEX('Debt Tracker'!$T$5:$AE$29,1,AC462-1)&gt;0.01))*('Recurring Items'!$H$8&lt;&gt;"Skip")*(DAY(AB462)='Recurring Items'!$F$8)*IFERROR(N('Recurring Items'!$D$8),0)+(IF(AC462=1,'Debt Tracker'!$P$6&gt;0.01,INDEX('Debt Tracker'!$T$5:$AE$29,2,AC462-1)&gt;0.01))*('Recurring Items'!$H$9&lt;&gt;"Skip")*(DAY(AB462)='Recurring Items'!$F$9)*IFERROR(N('Recurring Items'!$D$9),0)+(IF(AC462=1,'Debt Tracker'!$P$7&gt;0.01,INDEX('Debt Tracker'!$T$5:$AE$29,3,AC462-1)&gt;0.01))*('Recurring Items'!$H$10&lt;&gt;"Skip")*(DAY(AB462)='Recurring Items'!$F$10)*IFERROR(N('Recurring Items'!$D$10),0)+(IF(AC462=1,'Debt Tracker'!$P$8&gt;0.01,INDEX('Debt Tracker'!$T$5:$AE$29,4,AC462-1)&gt;0.01))*('Recurring Items'!$H$11&lt;&gt;"Skip")*(DAY(AB462)='Recurring Items'!$F$11)*IFERROR(N('Recurring Items'!$D$11),0)+(IF(AC462=1,'Debt Tracker'!$P$9&gt;0.01,INDEX('Debt Tracker'!$T$5:$AE$29,5,AC462-1)&gt;0.01))*('Recurring Items'!$H$12&lt;&gt;"Skip")*(DAY(AB462)='Recurring Items'!$F$12)*IFERROR(N('Recurring Items'!$D$12),0)+(IF(AC462=1,'Debt Tracker'!$P$10&gt;0.01,INDEX('Debt Tracker'!$T$5:$AE$29,6,AC462-1)&gt;0.01))*('Recurring Items'!$H$13&lt;&gt;"Skip")*(DAY(AB462)='Recurring Items'!$F$13)*IFERROR(N('Recurring Items'!$D$13),0)+(IF(AC462=1,'Debt Tracker'!$P$11&gt;0.01,INDEX('Debt Tracker'!$T$5:$AE$29,7,AC462-1)&gt;0.01))*('Recurring Items'!$H$14&lt;&gt;"Skip")*(DAY(AB462)='Recurring Items'!$F$14)*IFERROR(N('Recurring Items'!$D$14),0)+(IF(AC462=1,'Debt Tracker'!$P$12&gt;0.01,INDEX('Debt Tracker'!$T$5:$AE$29,8,AC462-1)&gt;0.01))*('Recurring Items'!$H$15&lt;&gt;"Skip")*(DAY(AB462)='Recurring Items'!$F$15)*IFERROR(N('Recurring Items'!$D$15),0)+(IF(AC462=1,'Debt Tracker'!$P$13&gt;0.01,INDEX('Debt Tracker'!$T$5:$AE$29,9,AC462-1)&gt;0.01))*('Recurring Items'!$H$16&lt;&gt;"Skip")*(DAY(AB462)='Recurring Items'!$F$16)*IFERROR(N('Recurring Items'!$D$16),0)+(IF(AC462=1,'Debt Tracker'!$P$14&gt;0.01,INDEX('Debt Tracker'!$T$5:$AE$29,10,AC462-1)&gt;0.01))*('Recurring Items'!$H$17&lt;&gt;"Skip")*(DAY(AB462)='Recurring Items'!$F$17)*IFERROR(N('Recurring Items'!$D$17),0)+(IF(AC462=1,'Debt Tracker'!$P$15&gt;0.01,INDEX('Debt Tracker'!$T$5:$AE$29,11,AC462-1)&gt;0.01))*('Recurring Items'!$H$18&lt;&gt;"Skip")*(DAY(AB462)='Recurring Items'!$F$18)*IFERROR(N('Recurring Items'!$D$18),0)+(IF(AC462=1,'Debt Tracker'!$P$16&gt;0.01,INDEX('Debt Tracker'!$T$5:$AE$29,12,AC462-1)&gt;0.01))*('Recurring Items'!$H$19&lt;&gt;"Skip")*(DAY(AB462)='Recurring Items'!$F$19)*IFERROR(N('Recurring Items'!$D$19),0)+(IF(AC462=1,'Debt Tracker'!$P$17&gt;0.01,INDEX('Debt Tracker'!$T$5:$AE$29,13,AC462-1)&gt;0.01))*('Recurring Items'!$H$20&lt;&gt;"Skip")*(DAY(AB462)='Recurring Items'!$F$20)*IFERROR(N('Recurring Items'!$D$20),0)+(IF(AC462=1,'Debt Tracker'!$P$18&gt;0.01,INDEX('Debt Tracker'!$T$5:$AE$29,14,AC462-1)&gt;0.01))*('Recurring Items'!$H$21&lt;&gt;"Skip")*(DAY(AB462)='Recurring Items'!$F$21)*IFERROR(N('Recurring Items'!$D$21),0)+(IF(AC462=1,'Debt Tracker'!$P$19&gt;0.01,INDEX('Debt Tracker'!$T$5:$AE$29,15,AC462-1)&gt;0.01))*('Recurring Items'!$H$22&lt;&gt;"Skip")*(DAY(AB462)='Recurring Items'!$F$22)*IFERROR(N('Recurring Items'!$D$22),0)+(IF(AC462=1,'Debt Tracker'!$P$20&gt;0.01,INDEX('Debt Tracker'!$T$5:$AE$29,16,AC462-1)&gt;0.01))*('Recurring Items'!$H$23&lt;&gt;"Skip")*(DAY(AB462)='Recurring Items'!$F$23)*IFERROR(N('Recurring Items'!$D$23),0)+(IF(AC462=1,'Debt Tracker'!$P$21&gt;0.01,INDEX('Debt Tracker'!$T$5:$AE$29,17,AC462-1)&gt;0.01))*('Recurring Items'!$H$24&lt;&gt;"Skip")*(DAY(AB462)='Recurring Items'!$F$24)*IFERROR(N('Recurring Items'!$D$24),0)+(IF(AC462=1,'Debt Tracker'!$P$22&gt;0.01,INDEX('Debt Tracker'!$T$5:$AE$29,18,AC462-1)&gt;0.01))*('Recurring Items'!$H$25&lt;&gt;"Skip")*(DAY(AB462)='Recurring Items'!$F$25)*IFERROR(N('Recurring Items'!$D$25),0)+(IF(AC462=1,'Debt Tracker'!$P$23&gt;0.01,INDEX('Debt Tracker'!$T$5:$AE$29,19,AC462-1)&gt;0.01))*('Recurring Items'!$H$26&lt;&gt;"Skip")*(DAY(AB462)='Recurring Items'!$F$26)*IFERROR(N('Recurring Items'!$D$26),0)+(IF(AC462=1,'Debt Tracker'!$P$24&gt;0.01,INDEX('Debt Tracker'!$T$5:$AE$29,20,AC462-1)&gt;0.01))*('Recurring Items'!$H$27&lt;&gt;"Skip")*(DAY(AB462)='Recurring Items'!$F$27)*IFERROR(N('Recurring Items'!$D$27),0)+(IF(AC462=1,'Debt Tracker'!$P$25&gt;0.01,INDEX('Debt Tracker'!$T$5:$AE$29,21,AC462-1)&gt;0.01))*('Recurring Items'!$H$28&lt;&gt;"Skip")*(DAY(AB462)='Recurring Items'!$F$28)*IFERROR(N('Recurring Items'!$D$28),0)+(IF(AC462=1,'Debt Tracker'!$P$26&gt;0.01,INDEX('Debt Tracker'!$T$5:$AE$29,22,AC462-1)&gt;0.01))*('Recurring Items'!$H$29&lt;&gt;"Skip")*(DAY(AB462)='Recurring Items'!$F$29)*IFERROR(N('Recurring Items'!$D$29),0)+(IF(AC462=1,'Debt Tracker'!$P$27&gt;0.01,INDEX('Debt Tracker'!$T$5:$AE$29,23,AC462-1)&gt;0.01))*('Recurring Items'!$H$30&lt;&gt;"Skip")*(DAY(AB462)='Recurring Items'!$F$30)*IFERROR(N('Recurring Items'!$D$30),0)+(IF(AC462=1,'Debt Tracker'!$P$28&gt;0.01,INDEX('Debt Tracker'!$T$5:$AE$29,24,AC462-1)&gt;0.01))*('Recurring Items'!$H$31&lt;&gt;"Skip")*(DAY(AB462)='Recurring Items'!$F$31)*IFERROR(N('Recurring Items'!$D$31),0)+(IF(AC462=1,'Debt Tracker'!$P$29&gt;0.01,INDEX('Debt Tracker'!$T$5:$AE$29,25,AC462-1)&gt;0.01))*('Recurring Items'!$H$32&lt;&gt;"Skip")*(DAY(AB462)='Recurring Items'!$F$32)*IFERROR(N('Recurring Items'!$D$32),0)</f>
        <v>0</v>
      </c>
      <c r="AG462" s="1" t="n">
        <f aca="false">AD462-AE462-AF462</f>
        <v>0</v>
      </c>
      <c r="AH462" s="1" t="n">
        <f aca="false">AH461+AG462</f>
        <v>16124.12</v>
      </c>
    </row>
    <row r="463" customFormat="false" ht="15" hidden="false" customHeight="true" outlineLevel="0" collapsed="false">
      <c r="AA463" s="1" t="n">
        <v>263</v>
      </c>
      <c r="AB463" s="145" t="n">
        <f aca="false">$D$3+263</f>
        <v>46406</v>
      </c>
      <c r="AC463" s="1" t="n">
        <f aca="false">MIN(12,1+DATEDIF($D$3,AB463,"M"))</f>
        <v>9</v>
      </c>
      <c r="AD463" s="1" t="n">
        <f aca="false">SUMPRODUCT(('Recurring Items'!$C$6:$C$56="Income")*('Recurring Items'!$H$6:$H$56&lt;&gt;"Skip")*IFERROR(N('Recurring Items'!$D$6:$D$56),0)*(('Recurring Items'!$E$6:$E$56="Monthly")*(DAY(AB463)='Recurring Items'!$F$6:$F$56)+('Recurring Items'!$E$6:$E$56="Bi-weekly")*(WEEKDAY(AB463)=IFERROR(WEEKDAY('Recurring Items'!$G$6:$G$56),0))*(MOD(AB463-IFERROR('Recurring Items'!$G$6:$G$56,0),14)=0)*(AB463&gt;=IFERROR('Recurring Items'!$G$6:$G$56,9000000000))+('Recurring Items'!$E$6:$E$56="Weekly")*(WEEKDAY(AB463)=IFERROR(WEEKDAY('Recurring Items'!$G$6:$G$56),0))*(AB463&gt;=IFERROR('Recurring Items'!$G$6:$G$56,9000000000))+('Recurring Items'!$E$6:$E$56="One-time")*(AB463='Recurring Items'!$G$6:$G$56)))</f>
        <v>0</v>
      </c>
      <c r="AE463" s="1" t="n">
        <f aca="false">SUMPRODUCT(('Recurring Items'!$C$6:$C$56="Expense")*('Recurring Items'!$H$6:$H$56&lt;&gt;"Skip")*IFERROR(N('Recurring Items'!$D$6:$D$56),0)*(('Recurring Items'!$E$6:$E$56="Monthly")*(DAY(AB463)='Recurring Items'!$F$6:$F$56)+('Recurring Items'!$E$6:$E$56="Bi-weekly")*(WEEKDAY(AB463)=IFERROR(WEEKDAY('Recurring Items'!$G$6:$G$56),0))*(MOD(AB463-IFERROR('Recurring Items'!$G$6:$G$56,0),14)=0)*(AB463&gt;=IFERROR('Recurring Items'!$G$6:$G$56,9000000000))+('Recurring Items'!$E$6:$E$56="Weekly")*(WEEKDAY(AB463)=IFERROR(WEEKDAY('Recurring Items'!$G$6:$G$56),0))*(AB463&gt;=IFERROR('Recurring Items'!$G$6:$G$56,9000000000))+('Recurring Items'!$E$6:$E$56="One-time")*(AB463='Recurring Items'!$G$6:$G$56)))</f>
        <v>0</v>
      </c>
      <c r="AF463" s="1" t="n">
        <f aca="false">(IF(AC463=1,'Debt Tracker'!$P$5&gt;0.01,INDEX('Debt Tracker'!$T$5:$AE$29,1,AC463-1)&gt;0.01))*('Recurring Items'!$H$8&lt;&gt;"Skip")*(DAY(AB463)='Recurring Items'!$F$8)*IFERROR(N('Recurring Items'!$D$8),0)+(IF(AC463=1,'Debt Tracker'!$P$6&gt;0.01,INDEX('Debt Tracker'!$T$5:$AE$29,2,AC463-1)&gt;0.01))*('Recurring Items'!$H$9&lt;&gt;"Skip")*(DAY(AB463)='Recurring Items'!$F$9)*IFERROR(N('Recurring Items'!$D$9),0)+(IF(AC463=1,'Debt Tracker'!$P$7&gt;0.01,INDEX('Debt Tracker'!$T$5:$AE$29,3,AC463-1)&gt;0.01))*('Recurring Items'!$H$10&lt;&gt;"Skip")*(DAY(AB463)='Recurring Items'!$F$10)*IFERROR(N('Recurring Items'!$D$10),0)+(IF(AC463=1,'Debt Tracker'!$P$8&gt;0.01,INDEX('Debt Tracker'!$T$5:$AE$29,4,AC463-1)&gt;0.01))*('Recurring Items'!$H$11&lt;&gt;"Skip")*(DAY(AB463)='Recurring Items'!$F$11)*IFERROR(N('Recurring Items'!$D$11),0)+(IF(AC463=1,'Debt Tracker'!$P$9&gt;0.01,INDEX('Debt Tracker'!$T$5:$AE$29,5,AC463-1)&gt;0.01))*('Recurring Items'!$H$12&lt;&gt;"Skip")*(DAY(AB463)='Recurring Items'!$F$12)*IFERROR(N('Recurring Items'!$D$12),0)+(IF(AC463=1,'Debt Tracker'!$P$10&gt;0.01,INDEX('Debt Tracker'!$T$5:$AE$29,6,AC463-1)&gt;0.01))*('Recurring Items'!$H$13&lt;&gt;"Skip")*(DAY(AB463)='Recurring Items'!$F$13)*IFERROR(N('Recurring Items'!$D$13),0)+(IF(AC463=1,'Debt Tracker'!$P$11&gt;0.01,INDEX('Debt Tracker'!$T$5:$AE$29,7,AC463-1)&gt;0.01))*('Recurring Items'!$H$14&lt;&gt;"Skip")*(DAY(AB463)='Recurring Items'!$F$14)*IFERROR(N('Recurring Items'!$D$14),0)+(IF(AC463=1,'Debt Tracker'!$P$12&gt;0.01,INDEX('Debt Tracker'!$T$5:$AE$29,8,AC463-1)&gt;0.01))*('Recurring Items'!$H$15&lt;&gt;"Skip")*(DAY(AB463)='Recurring Items'!$F$15)*IFERROR(N('Recurring Items'!$D$15),0)+(IF(AC463=1,'Debt Tracker'!$P$13&gt;0.01,INDEX('Debt Tracker'!$T$5:$AE$29,9,AC463-1)&gt;0.01))*('Recurring Items'!$H$16&lt;&gt;"Skip")*(DAY(AB463)='Recurring Items'!$F$16)*IFERROR(N('Recurring Items'!$D$16),0)+(IF(AC463=1,'Debt Tracker'!$P$14&gt;0.01,INDEX('Debt Tracker'!$T$5:$AE$29,10,AC463-1)&gt;0.01))*('Recurring Items'!$H$17&lt;&gt;"Skip")*(DAY(AB463)='Recurring Items'!$F$17)*IFERROR(N('Recurring Items'!$D$17),0)+(IF(AC463=1,'Debt Tracker'!$P$15&gt;0.01,INDEX('Debt Tracker'!$T$5:$AE$29,11,AC463-1)&gt;0.01))*('Recurring Items'!$H$18&lt;&gt;"Skip")*(DAY(AB463)='Recurring Items'!$F$18)*IFERROR(N('Recurring Items'!$D$18),0)+(IF(AC463=1,'Debt Tracker'!$P$16&gt;0.01,INDEX('Debt Tracker'!$T$5:$AE$29,12,AC463-1)&gt;0.01))*('Recurring Items'!$H$19&lt;&gt;"Skip")*(DAY(AB463)='Recurring Items'!$F$19)*IFERROR(N('Recurring Items'!$D$19),0)+(IF(AC463=1,'Debt Tracker'!$P$17&gt;0.01,INDEX('Debt Tracker'!$T$5:$AE$29,13,AC463-1)&gt;0.01))*('Recurring Items'!$H$20&lt;&gt;"Skip")*(DAY(AB463)='Recurring Items'!$F$20)*IFERROR(N('Recurring Items'!$D$20),0)+(IF(AC463=1,'Debt Tracker'!$P$18&gt;0.01,INDEX('Debt Tracker'!$T$5:$AE$29,14,AC463-1)&gt;0.01))*('Recurring Items'!$H$21&lt;&gt;"Skip")*(DAY(AB463)='Recurring Items'!$F$21)*IFERROR(N('Recurring Items'!$D$21),0)+(IF(AC463=1,'Debt Tracker'!$P$19&gt;0.01,INDEX('Debt Tracker'!$T$5:$AE$29,15,AC463-1)&gt;0.01))*('Recurring Items'!$H$22&lt;&gt;"Skip")*(DAY(AB463)='Recurring Items'!$F$22)*IFERROR(N('Recurring Items'!$D$22),0)+(IF(AC463=1,'Debt Tracker'!$P$20&gt;0.01,INDEX('Debt Tracker'!$T$5:$AE$29,16,AC463-1)&gt;0.01))*('Recurring Items'!$H$23&lt;&gt;"Skip")*(DAY(AB463)='Recurring Items'!$F$23)*IFERROR(N('Recurring Items'!$D$23),0)+(IF(AC463=1,'Debt Tracker'!$P$21&gt;0.01,INDEX('Debt Tracker'!$T$5:$AE$29,17,AC463-1)&gt;0.01))*('Recurring Items'!$H$24&lt;&gt;"Skip")*(DAY(AB463)='Recurring Items'!$F$24)*IFERROR(N('Recurring Items'!$D$24),0)+(IF(AC463=1,'Debt Tracker'!$P$22&gt;0.01,INDEX('Debt Tracker'!$T$5:$AE$29,18,AC463-1)&gt;0.01))*('Recurring Items'!$H$25&lt;&gt;"Skip")*(DAY(AB463)='Recurring Items'!$F$25)*IFERROR(N('Recurring Items'!$D$25),0)+(IF(AC463=1,'Debt Tracker'!$P$23&gt;0.01,INDEX('Debt Tracker'!$T$5:$AE$29,19,AC463-1)&gt;0.01))*('Recurring Items'!$H$26&lt;&gt;"Skip")*(DAY(AB463)='Recurring Items'!$F$26)*IFERROR(N('Recurring Items'!$D$26),0)+(IF(AC463=1,'Debt Tracker'!$P$24&gt;0.01,INDEX('Debt Tracker'!$T$5:$AE$29,20,AC463-1)&gt;0.01))*('Recurring Items'!$H$27&lt;&gt;"Skip")*(DAY(AB463)='Recurring Items'!$F$27)*IFERROR(N('Recurring Items'!$D$27),0)+(IF(AC463=1,'Debt Tracker'!$P$25&gt;0.01,INDEX('Debt Tracker'!$T$5:$AE$29,21,AC463-1)&gt;0.01))*('Recurring Items'!$H$28&lt;&gt;"Skip")*(DAY(AB463)='Recurring Items'!$F$28)*IFERROR(N('Recurring Items'!$D$28),0)+(IF(AC463=1,'Debt Tracker'!$P$26&gt;0.01,INDEX('Debt Tracker'!$T$5:$AE$29,22,AC463-1)&gt;0.01))*('Recurring Items'!$H$29&lt;&gt;"Skip")*(DAY(AB463)='Recurring Items'!$F$29)*IFERROR(N('Recurring Items'!$D$29),0)+(IF(AC463=1,'Debt Tracker'!$P$27&gt;0.01,INDEX('Debt Tracker'!$T$5:$AE$29,23,AC463-1)&gt;0.01))*('Recurring Items'!$H$30&lt;&gt;"Skip")*(DAY(AB463)='Recurring Items'!$F$30)*IFERROR(N('Recurring Items'!$D$30),0)+(IF(AC463=1,'Debt Tracker'!$P$28&gt;0.01,INDEX('Debt Tracker'!$T$5:$AE$29,24,AC463-1)&gt;0.01))*('Recurring Items'!$H$31&lt;&gt;"Skip")*(DAY(AB463)='Recurring Items'!$F$31)*IFERROR(N('Recurring Items'!$D$31),0)+(IF(AC463=1,'Debt Tracker'!$P$29&gt;0.01,INDEX('Debt Tracker'!$T$5:$AE$29,25,AC463-1)&gt;0.01))*('Recurring Items'!$H$32&lt;&gt;"Skip")*(DAY(AB463)='Recurring Items'!$F$32)*IFERROR(N('Recurring Items'!$D$32),0)</f>
        <v>0</v>
      </c>
      <c r="AG463" s="1" t="n">
        <f aca="false">AD463-AE463-AF463</f>
        <v>0</v>
      </c>
      <c r="AH463" s="1" t="n">
        <f aca="false">AH462+AG463</f>
        <v>16124.12</v>
      </c>
    </row>
    <row r="464" customFormat="false" ht="15" hidden="false" customHeight="true" outlineLevel="0" collapsed="false">
      <c r="AA464" s="1" t="n">
        <v>264</v>
      </c>
      <c r="AB464" s="145" t="n">
        <f aca="false">$D$3+264</f>
        <v>46407</v>
      </c>
      <c r="AC464" s="1" t="n">
        <f aca="false">MIN(12,1+DATEDIF($D$3,AB464,"M"))</f>
        <v>9</v>
      </c>
      <c r="AD464" s="1" t="n">
        <f aca="false">SUMPRODUCT(('Recurring Items'!$C$6:$C$56="Income")*('Recurring Items'!$H$6:$H$56&lt;&gt;"Skip")*IFERROR(N('Recurring Items'!$D$6:$D$56),0)*(('Recurring Items'!$E$6:$E$56="Monthly")*(DAY(AB464)='Recurring Items'!$F$6:$F$56)+('Recurring Items'!$E$6:$E$56="Bi-weekly")*(WEEKDAY(AB464)=IFERROR(WEEKDAY('Recurring Items'!$G$6:$G$56),0))*(MOD(AB464-IFERROR('Recurring Items'!$G$6:$G$56,0),14)=0)*(AB464&gt;=IFERROR('Recurring Items'!$G$6:$G$56,9000000000))+('Recurring Items'!$E$6:$E$56="Weekly")*(WEEKDAY(AB464)=IFERROR(WEEKDAY('Recurring Items'!$G$6:$G$56),0))*(AB464&gt;=IFERROR('Recurring Items'!$G$6:$G$56,9000000000))+('Recurring Items'!$E$6:$E$56="One-time")*(AB464='Recurring Items'!$G$6:$G$56)))</f>
        <v>0</v>
      </c>
      <c r="AE464" s="1" t="n">
        <f aca="false">SUMPRODUCT(('Recurring Items'!$C$6:$C$56="Expense")*('Recurring Items'!$H$6:$H$56&lt;&gt;"Skip")*IFERROR(N('Recurring Items'!$D$6:$D$56),0)*(('Recurring Items'!$E$6:$E$56="Monthly")*(DAY(AB464)='Recurring Items'!$F$6:$F$56)+('Recurring Items'!$E$6:$E$56="Bi-weekly")*(WEEKDAY(AB464)=IFERROR(WEEKDAY('Recurring Items'!$G$6:$G$56),0))*(MOD(AB464-IFERROR('Recurring Items'!$G$6:$G$56,0),14)=0)*(AB464&gt;=IFERROR('Recurring Items'!$G$6:$G$56,9000000000))+('Recurring Items'!$E$6:$E$56="Weekly")*(WEEKDAY(AB464)=IFERROR(WEEKDAY('Recurring Items'!$G$6:$G$56),0))*(AB464&gt;=IFERROR('Recurring Items'!$G$6:$G$56,9000000000))+('Recurring Items'!$E$6:$E$56="One-time")*(AB464='Recurring Items'!$G$6:$G$56)))</f>
        <v>0</v>
      </c>
      <c r="AF464" s="1" t="n">
        <f aca="false">(IF(AC464=1,'Debt Tracker'!$P$5&gt;0.01,INDEX('Debt Tracker'!$T$5:$AE$29,1,AC464-1)&gt;0.01))*('Recurring Items'!$H$8&lt;&gt;"Skip")*(DAY(AB464)='Recurring Items'!$F$8)*IFERROR(N('Recurring Items'!$D$8),0)+(IF(AC464=1,'Debt Tracker'!$P$6&gt;0.01,INDEX('Debt Tracker'!$T$5:$AE$29,2,AC464-1)&gt;0.01))*('Recurring Items'!$H$9&lt;&gt;"Skip")*(DAY(AB464)='Recurring Items'!$F$9)*IFERROR(N('Recurring Items'!$D$9),0)+(IF(AC464=1,'Debt Tracker'!$P$7&gt;0.01,INDEX('Debt Tracker'!$T$5:$AE$29,3,AC464-1)&gt;0.01))*('Recurring Items'!$H$10&lt;&gt;"Skip")*(DAY(AB464)='Recurring Items'!$F$10)*IFERROR(N('Recurring Items'!$D$10),0)+(IF(AC464=1,'Debt Tracker'!$P$8&gt;0.01,INDEX('Debt Tracker'!$T$5:$AE$29,4,AC464-1)&gt;0.01))*('Recurring Items'!$H$11&lt;&gt;"Skip")*(DAY(AB464)='Recurring Items'!$F$11)*IFERROR(N('Recurring Items'!$D$11),0)+(IF(AC464=1,'Debt Tracker'!$P$9&gt;0.01,INDEX('Debt Tracker'!$T$5:$AE$29,5,AC464-1)&gt;0.01))*('Recurring Items'!$H$12&lt;&gt;"Skip")*(DAY(AB464)='Recurring Items'!$F$12)*IFERROR(N('Recurring Items'!$D$12),0)+(IF(AC464=1,'Debt Tracker'!$P$10&gt;0.01,INDEX('Debt Tracker'!$T$5:$AE$29,6,AC464-1)&gt;0.01))*('Recurring Items'!$H$13&lt;&gt;"Skip")*(DAY(AB464)='Recurring Items'!$F$13)*IFERROR(N('Recurring Items'!$D$13),0)+(IF(AC464=1,'Debt Tracker'!$P$11&gt;0.01,INDEX('Debt Tracker'!$T$5:$AE$29,7,AC464-1)&gt;0.01))*('Recurring Items'!$H$14&lt;&gt;"Skip")*(DAY(AB464)='Recurring Items'!$F$14)*IFERROR(N('Recurring Items'!$D$14),0)+(IF(AC464=1,'Debt Tracker'!$P$12&gt;0.01,INDEX('Debt Tracker'!$T$5:$AE$29,8,AC464-1)&gt;0.01))*('Recurring Items'!$H$15&lt;&gt;"Skip")*(DAY(AB464)='Recurring Items'!$F$15)*IFERROR(N('Recurring Items'!$D$15),0)+(IF(AC464=1,'Debt Tracker'!$P$13&gt;0.01,INDEX('Debt Tracker'!$T$5:$AE$29,9,AC464-1)&gt;0.01))*('Recurring Items'!$H$16&lt;&gt;"Skip")*(DAY(AB464)='Recurring Items'!$F$16)*IFERROR(N('Recurring Items'!$D$16),0)+(IF(AC464=1,'Debt Tracker'!$P$14&gt;0.01,INDEX('Debt Tracker'!$T$5:$AE$29,10,AC464-1)&gt;0.01))*('Recurring Items'!$H$17&lt;&gt;"Skip")*(DAY(AB464)='Recurring Items'!$F$17)*IFERROR(N('Recurring Items'!$D$17),0)+(IF(AC464=1,'Debt Tracker'!$P$15&gt;0.01,INDEX('Debt Tracker'!$T$5:$AE$29,11,AC464-1)&gt;0.01))*('Recurring Items'!$H$18&lt;&gt;"Skip")*(DAY(AB464)='Recurring Items'!$F$18)*IFERROR(N('Recurring Items'!$D$18),0)+(IF(AC464=1,'Debt Tracker'!$P$16&gt;0.01,INDEX('Debt Tracker'!$T$5:$AE$29,12,AC464-1)&gt;0.01))*('Recurring Items'!$H$19&lt;&gt;"Skip")*(DAY(AB464)='Recurring Items'!$F$19)*IFERROR(N('Recurring Items'!$D$19),0)+(IF(AC464=1,'Debt Tracker'!$P$17&gt;0.01,INDEX('Debt Tracker'!$T$5:$AE$29,13,AC464-1)&gt;0.01))*('Recurring Items'!$H$20&lt;&gt;"Skip")*(DAY(AB464)='Recurring Items'!$F$20)*IFERROR(N('Recurring Items'!$D$20),0)+(IF(AC464=1,'Debt Tracker'!$P$18&gt;0.01,INDEX('Debt Tracker'!$T$5:$AE$29,14,AC464-1)&gt;0.01))*('Recurring Items'!$H$21&lt;&gt;"Skip")*(DAY(AB464)='Recurring Items'!$F$21)*IFERROR(N('Recurring Items'!$D$21),0)+(IF(AC464=1,'Debt Tracker'!$P$19&gt;0.01,INDEX('Debt Tracker'!$T$5:$AE$29,15,AC464-1)&gt;0.01))*('Recurring Items'!$H$22&lt;&gt;"Skip")*(DAY(AB464)='Recurring Items'!$F$22)*IFERROR(N('Recurring Items'!$D$22),0)+(IF(AC464=1,'Debt Tracker'!$P$20&gt;0.01,INDEX('Debt Tracker'!$T$5:$AE$29,16,AC464-1)&gt;0.01))*('Recurring Items'!$H$23&lt;&gt;"Skip")*(DAY(AB464)='Recurring Items'!$F$23)*IFERROR(N('Recurring Items'!$D$23),0)+(IF(AC464=1,'Debt Tracker'!$P$21&gt;0.01,INDEX('Debt Tracker'!$T$5:$AE$29,17,AC464-1)&gt;0.01))*('Recurring Items'!$H$24&lt;&gt;"Skip")*(DAY(AB464)='Recurring Items'!$F$24)*IFERROR(N('Recurring Items'!$D$24),0)+(IF(AC464=1,'Debt Tracker'!$P$22&gt;0.01,INDEX('Debt Tracker'!$T$5:$AE$29,18,AC464-1)&gt;0.01))*('Recurring Items'!$H$25&lt;&gt;"Skip")*(DAY(AB464)='Recurring Items'!$F$25)*IFERROR(N('Recurring Items'!$D$25),0)+(IF(AC464=1,'Debt Tracker'!$P$23&gt;0.01,INDEX('Debt Tracker'!$T$5:$AE$29,19,AC464-1)&gt;0.01))*('Recurring Items'!$H$26&lt;&gt;"Skip")*(DAY(AB464)='Recurring Items'!$F$26)*IFERROR(N('Recurring Items'!$D$26),0)+(IF(AC464=1,'Debt Tracker'!$P$24&gt;0.01,INDEX('Debt Tracker'!$T$5:$AE$29,20,AC464-1)&gt;0.01))*('Recurring Items'!$H$27&lt;&gt;"Skip")*(DAY(AB464)='Recurring Items'!$F$27)*IFERROR(N('Recurring Items'!$D$27),0)+(IF(AC464=1,'Debt Tracker'!$P$25&gt;0.01,INDEX('Debt Tracker'!$T$5:$AE$29,21,AC464-1)&gt;0.01))*('Recurring Items'!$H$28&lt;&gt;"Skip")*(DAY(AB464)='Recurring Items'!$F$28)*IFERROR(N('Recurring Items'!$D$28),0)+(IF(AC464=1,'Debt Tracker'!$P$26&gt;0.01,INDEX('Debt Tracker'!$T$5:$AE$29,22,AC464-1)&gt;0.01))*('Recurring Items'!$H$29&lt;&gt;"Skip")*(DAY(AB464)='Recurring Items'!$F$29)*IFERROR(N('Recurring Items'!$D$29),0)+(IF(AC464=1,'Debt Tracker'!$P$27&gt;0.01,INDEX('Debt Tracker'!$T$5:$AE$29,23,AC464-1)&gt;0.01))*('Recurring Items'!$H$30&lt;&gt;"Skip")*(DAY(AB464)='Recurring Items'!$F$30)*IFERROR(N('Recurring Items'!$D$30),0)+(IF(AC464=1,'Debt Tracker'!$P$28&gt;0.01,INDEX('Debt Tracker'!$T$5:$AE$29,24,AC464-1)&gt;0.01))*('Recurring Items'!$H$31&lt;&gt;"Skip")*(DAY(AB464)='Recurring Items'!$F$31)*IFERROR(N('Recurring Items'!$D$31),0)+(IF(AC464=1,'Debt Tracker'!$P$29&gt;0.01,INDEX('Debt Tracker'!$T$5:$AE$29,25,AC464-1)&gt;0.01))*('Recurring Items'!$H$32&lt;&gt;"Skip")*(DAY(AB464)='Recurring Items'!$F$32)*IFERROR(N('Recurring Items'!$D$32),0)</f>
        <v>18.22</v>
      </c>
      <c r="AG464" s="1" t="n">
        <f aca="false">AD464-AE464-AF464</f>
        <v>-18.22</v>
      </c>
      <c r="AH464" s="1" t="n">
        <f aca="false">AH463+AG464</f>
        <v>16105.9</v>
      </c>
    </row>
    <row r="465" customFormat="false" ht="15" hidden="false" customHeight="true" outlineLevel="0" collapsed="false">
      <c r="AA465" s="1" t="n">
        <v>265</v>
      </c>
      <c r="AB465" s="145" t="n">
        <f aca="false">$D$3+265</f>
        <v>46408</v>
      </c>
      <c r="AC465" s="1" t="n">
        <f aca="false">MIN(12,1+DATEDIF($D$3,AB465,"M"))</f>
        <v>9</v>
      </c>
      <c r="AD465" s="1" t="n">
        <f aca="false">SUMPRODUCT(('Recurring Items'!$C$6:$C$56="Income")*('Recurring Items'!$H$6:$H$56&lt;&gt;"Skip")*IFERROR(N('Recurring Items'!$D$6:$D$56),0)*(('Recurring Items'!$E$6:$E$56="Monthly")*(DAY(AB465)='Recurring Items'!$F$6:$F$56)+('Recurring Items'!$E$6:$E$56="Bi-weekly")*(WEEKDAY(AB465)=IFERROR(WEEKDAY('Recurring Items'!$G$6:$G$56),0))*(MOD(AB465-IFERROR('Recurring Items'!$G$6:$G$56,0),14)=0)*(AB465&gt;=IFERROR('Recurring Items'!$G$6:$G$56,9000000000))+('Recurring Items'!$E$6:$E$56="Weekly")*(WEEKDAY(AB465)=IFERROR(WEEKDAY('Recurring Items'!$G$6:$G$56),0))*(AB465&gt;=IFERROR('Recurring Items'!$G$6:$G$56,9000000000))+('Recurring Items'!$E$6:$E$56="One-time")*(AB465='Recurring Items'!$G$6:$G$56)))</f>
        <v>0</v>
      </c>
      <c r="AE465" s="1" t="n">
        <f aca="false">SUMPRODUCT(('Recurring Items'!$C$6:$C$56="Expense")*('Recurring Items'!$H$6:$H$56&lt;&gt;"Skip")*IFERROR(N('Recurring Items'!$D$6:$D$56),0)*(('Recurring Items'!$E$6:$E$56="Monthly")*(DAY(AB465)='Recurring Items'!$F$6:$F$56)+('Recurring Items'!$E$6:$E$56="Bi-weekly")*(WEEKDAY(AB465)=IFERROR(WEEKDAY('Recurring Items'!$G$6:$G$56),0))*(MOD(AB465-IFERROR('Recurring Items'!$G$6:$G$56,0),14)=0)*(AB465&gt;=IFERROR('Recurring Items'!$G$6:$G$56,9000000000))+('Recurring Items'!$E$6:$E$56="Weekly")*(WEEKDAY(AB465)=IFERROR(WEEKDAY('Recurring Items'!$G$6:$G$56),0))*(AB465&gt;=IFERROR('Recurring Items'!$G$6:$G$56,9000000000))+('Recurring Items'!$E$6:$E$56="One-time")*(AB465='Recurring Items'!$G$6:$G$56)))</f>
        <v>241</v>
      </c>
      <c r="AF465" s="1" t="n">
        <f aca="false">(IF(AC465=1,'Debt Tracker'!$P$5&gt;0.01,INDEX('Debt Tracker'!$T$5:$AE$29,1,AC465-1)&gt;0.01))*('Recurring Items'!$H$8&lt;&gt;"Skip")*(DAY(AB465)='Recurring Items'!$F$8)*IFERROR(N('Recurring Items'!$D$8),0)+(IF(AC465=1,'Debt Tracker'!$P$6&gt;0.01,INDEX('Debt Tracker'!$T$5:$AE$29,2,AC465-1)&gt;0.01))*('Recurring Items'!$H$9&lt;&gt;"Skip")*(DAY(AB465)='Recurring Items'!$F$9)*IFERROR(N('Recurring Items'!$D$9),0)+(IF(AC465=1,'Debt Tracker'!$P$7&gt;0.01,INDEX('Debt Tracker'!$T$5:$AE$29,3,AC465-1)&gt;0.01))*('Recurring Items'!$H$10&lt;&gt;"Skip")*(DAY(AB465)='Recurring Items'!$F$10)*IFERROR(N('Recurring Items'!$D$10),0)+(IF(AC465=1,'Debt Tracker'!$P$8&gt;0.01,INDEX('Debt Tracker'!$T$5:$AE$29,4,AC465-1)&gt;0.01))*('Recurring Items'!$H$11&lt;&gt;"Skip")*(DAY(AB465)='Recurring Items'!$F$11)*IFERROR(N('Recurring Items'!$D$11),0)+(IF(AC465=1,'Debt Tracker'!$P$9&gt;0.01,INDEX('Debt Tracker'!$T$5:$AE$29,5,AC465-1)&gt;0.01))*('Recurring Items'!$H$12&lt;&gt;"Skip")*(DAY(AB465)='Recurring Items'!$F$12)*IFERROR(N('Recurring Items'!$D$12),0)+(IF(AC465=1,'Debt Tracker'!$P$10&gt;0.01,INDEX('Debt Tracker'!$T$5:$AE$29,6,AC465-1)&gt;0.01))*('Recurring Items'!$H$13&lt;&gt;"Skip")*(DAY(AB465)='Recurring Items'!$F$13)*IFERROR(N('Recurring Items'!$D$13),0)+(IF(AC465=1,'Debt Tracker'!$P$11&gt;0.01,INDEX('Debt Tracker'!$T$5:$AE$29,7,AC465-1)&gt;0.01))*('Recurring Items'!$H$14&lt;&gt;"Skip")*(DAY(AB465)='Recurring Items'!$F$14)*IFERROR(N('Recurring Items'!$D$14),0)+(IF(AC465=1,'Debt Tracker'!$P$12&gt;0.01,INDEX('Debt Tracker'!$T$5:$AE$29,8,AC465-1)&gt;0.01))*('Recurring Items'!$H$15&lt;&gt;"Skip")*(DAY(AB465)='Recurring Items'!$F$15)*IFERROR(N('Recurring Items'!$D$15),0)+(IF(AC465=1,'Debt Tracker'!$P$13&gt;0.01,INDEX('Debt Tracker'!$T$5:$AE$29,9,AC465-1)&gt;0.01))*('Recurring Items'!$H$16&lt;&gt;"Skip")*(DAY(AB465)='Recurring Items'!$F$16)*IFERROR(N('Recurring Items'!$D$16),0)+(IF(AC465=1,'Debt Tracker'!$P$14&gt;0.01,INDEX('Debt Tracker'!$T$5:$AE$29,10,AC465-1)&gt;0.01))*('Recurring Items'!$H$17&lt;&gt;"Skip")*(DAY(AB465)='Recurring Items'!$F$17)*IFERROR(N('Recurring Items'!$D$17),0)+(IF(AC465=1,'Debt Tracker'!$P$15&gt;0.01,INDEX('Debt Tracker'!$T$5:$AE$29,11,AC465-1)&gt;0.01))*('Recurring Items'!$H$18&lt;&gt;"Skip")*(DAY(AB465)='Recurring Items'!$F$18)*IFERROR(N('Recurring Items'!$D$18),0)+(IF(AC465=1,'Debt Tracker'!$P$16&gt;0.01,INDEX('Debt Tracker'!$T$5:$AE$29,12,AC465-1)&gt;0.01))*('Recurring Items'!$H$19&lt;&gt;"Skip")*(DAY(AB465)='Recurring Items'!$F$19)*IFERROR(N('Recurring Items'!$D$19),0)+(IF(AC465=1,'Debt Tracker'!$P$17&gt;0.01,INDEX('Debt Tracker'!$T$5:$AE$29,13,AC465-1)&gt;0.01))*('Recurring Items'!$H$20&lt;&gt;"Skip")*(DAY(AB465)='Recurring Items'!$F$20)*IFERROR(N('Recurring Items'!$D$20),0)+(IF(AC465=1,'Debt Tracker'!$P$18&gt;0.01,INDEX('Debt Tracker'!$T$5:$AE$29,14,AC465-1)&gt;0.01))*('Recurring Items'!$H$21&lt;&gt;"Skip")*(DAY(AB465)='Recurring Items'!$F$21)*IFERROR(N('Recurring Items'!$D$21),0)+(IF(AC465=1,'Debt Tracker'!$P$19&gt;0.01,INDEX('Debt Tracker'!$T$5:$AE$29,15,AC465-1)&gt;0.01))*('Recurring Items'!$H$22&lt;&gt;"Skip")*(DAY(AB465)='Recurring Items'!$F$22)*IFERROR(N('Recurring Items'!$D$22),0)+(IF(AC465=1,'Debt Tracker'!$P$20&gt;0.01,INDEX('Debt Tracker'!$T$5:$AE$29,16,AC465-1)&gt;0.01))*('Recurring Items'!$H$23&lt;&gt;"Skip")*(DAY(AB465)='Recurring Items'!$F$23)*IFERROR(N('Recurring Items'!$D$23),0)+(IF(AC465=1,'Debt Tracker'!$P$21&gt;0.01,INDEX('Debt Tracker'!$T$5:$AE$29,17,AC465-1)&gt;0.01))*('Recurring Items'!$H$24&lt;&gt;"Skip")*(DAY(AB465)='Recurring Items'!$F$24)*IFERROR(N('Recurring Items'!$D$24),0)+(IF(AC465=1,'Debt Tracker'!$P$22&gt;0.01,INDEX('Debt Tracker'!$T$5:$AE$29,18,AC465-1)&gt;0.01))*('Recurring Items'!$H$25&lt;&gt;"Skip")*(DAY(AB465)='Recurring Items'!$F$25)*IFERROR(N('Recurring Items'!$D$25),0)+(IF(AC465=1,'Debt Tracker'!$P$23&gt;0.01,INDEX('Debt Tracker'!$T$5:$AE$29,19,AC465-1)&gt;0.01))*('Recurring Items'!$H$26&lt;&gt;"Skip")*(DAY(AB465)='Recurring Items'!$F$26)*IFERROR(N('Recurring Items'!$D$26),0)+(IF(AC465=1,'Debt Tracker'!$P$24&gt;0.01,INDEX('Debt Tracker'!$T$5:$AE$29,20,AC465-1)&gt;0.01))*('Recurring Items'!$H$27&lt;&gt;"Skip")*(DAY(AB465)='Recurring Items'!$F$27)*IFERROR(N('Recurring Items'!$D$27),0)+(IF(AC465=1,'Debt Tracker'!$P$25&gt;0.01,INDEX('Debt Tracker'!$T$5:$AE$29,21,AC465-1)&gt;0.01))*('Recurring Items'!$H$28&lt;&gt;"Skip")*(DAY(AB465)='Recurring Items'!$F$28)*IFERROR(N('Recurring Items'!$D$28),0)+(IF(AC465=1,'Debt Tracker'!$P$26&gt;0.01,INDEX('Debt Tracker'!$T$5:$AE$29,22,AC465-1)&gt;0.01))*('Recurring Items'!$H$29&lt;&gt;"Skip")*(DAY(AB465)='Recurring Items'!$F$29)*IFERROR(N('Recurring Items'!$D$29),0)+(IF(AC465=1,'Debt Tracker'!$P$27&gt;0.01,INDEX('Debt Tracker'!$T$5:$AE$29,23,AC465-1)&gt;0.01))*('Recurring Items'!$H$30&lt;&gt;"Skip")*(DAY(AB465)='Recurring Items'!$F$30)*IFERROR(N('Recurring Items'!$D$30),0)+(IF(AC465=1,'Debt Tracker'!$P$28&gt;0.01,INDEX('Debt Tracker'!$T$5:$AE$29,24,AC465-1)&gt;0.01))*('Recurring Items'!$H$31&lt;&gt;"Skip")*(DAY(AB465)='Recurring Items'!$F$31)*IFERROR(N('Recurring Items'!$D$31),0)+(IF(AC465=1,'Debt Tracker'!$P$29&gt;0.01,INDEX('Debt Tracker'!$T$5:$AE$29,25,AC465-1)&gt;0.01))*('Recurring Items'!$H$32&lt;&gt;"Skip")*(DAY(AB465)='Recurring Items'!$F$32)*IFERROR(N('Recurring Items'!$D$32),0)</f>
        <v>0</v>
      </c>
      <c r="AG465" s="1" t="n">
        <f aca="false">AD465-AE465-AF465</f>
        <v>-241</v>
      </c>
      <c r="AH465" s="1" t="n">
        <f aca="false">AH464+AG465</f>
        <v>15864.9</v>
      </c>
    </row>
    <row r="466" customFormat="false" ht="15" hidden="false" customHeight="true" outlineLevel="0" collapsed="false">
      <c r="AA466" s="1" t="n">
        <v>266</v>
      </c>
      <c r="AB466" s="145" t="n">
        <f aca="false">$D$3+266</f>
        <v>46409</v>
      </c>
      <c r="AC466" s="1" t="n">
        <f aca="false">MIN(12,1+DATEDIF($D$3,AB466,"M"))</f>
        <v>9</v>
      </c>
      <c r="AD466" s="1" t="n">
        <f aca="false">SUMPRODUCT(('Recurring Items'!$C$6:$C$56="Income")*('Recurring Items'!$H$6:$H$56&lt;&gt;"Skip")*IFERROR(N('Recurring Items'!$D$6:$D$56),0)*(('Recurring Items'!$E$6:$E$56="Monthly")*(DAY(AB466)='Recurring Items'!$F$6:$F$56)+('Recurring Items'!$E$6:$E$56="Bi-weekly")*(WEEKDAY(AB466)=IFERROR(WEEKDAY('Recurring Items'!$G$6:$G$56),0))*(MOD(AB466-IFERROR('Recurring Items'!$G$6:$G$56,0),14)=0)*(AB466&gt;=IFERROR('Recurring Items'!$G$6:$G$56,9000000000))+('Recurring Items'!$E$6:$E$56="Weekly")*(WEEKDAY(AB466)=IFERROR(WEEKDAY('Recurring Items'!$G$6:$G$56),0))*(AB466&gt;=IFERROR('Recurring Items'!$G$6:$G$56,9000000000))+('Recurring Items'!$E$6:$E$56="One-time")*(AB466='Recurring Items'!$G$6:$G$56)))</f>
        <v>3819.79</v>
      </c>
      <c r="AE466" s="1" t="n">
        <f aca="false">SUMPRODUCT(('Recurring Items'!$C$6:$C$56="Expense")*('Recurring Items'!$H$6:$H$56&lt;&gt;"Skip")*IFERROR(N('Recurring Items'!$D$6:$D$56),0)*(('Recurring Items'!$E$6:$E$56="Monthly")*(DAY(AB466)='Recurring Items'!$F$6:$F$56)+('Recurring Items'!$E$6:$E$56="Bi-weekly")*(WEEKDAY(AB466)=IFERROR(WEEKDAY('Recurring Items'!$G$6:$G$56),0))*(MOD(AB466-IFERROR('Recurring Items'!$G$6:$G$56,0),14)=0)*(AB466&gt;=IFERROR('Recurring Items'!$G$6:$G$56,9000000000))+('Recurring Items'!$E$6:$E$56="Weekly")*(WEEKDAY(AB466)=IFERROR(WEEKDAY('Recurring Items'!$G$6:$G$56),0))*(AB466&gt;=IFERROR('Recurring Items'!$G$6:$G$56,9000000000))+('Recurring Items'!$E$6:$E$56="One-time")*(AB466='Recurring Items'!$G$6:$G$56)))</f>
        <v>460</v>
      </c>
      <c r="AF466" s="1" t="n">
        <f aca="false">(IF(AC466=1,'Debt Tracker'!$P$5&gt;0.01,INDEX('Debt Tracker'!$T$5:$AE$29,1,AC466-1)&gt;0.01))*('Recurring Items'!$H$8&lt;&gt;"Skip")*(DAY(AB466)='Recurring Items'!$F$8)*IFERROR(N('Recurring Items'!$D$8),0)+(IF(AC466=1,'Debt Tracker'!$P$6&gt;0.01,INDEX('Debt Tracker'!$T$5:$AE$29,2,AC466-1)&gt;0.01))*('Recurring Items'!$H$9&lt;&gt;"Skip")*(DAY(AB466)='Recurring Items'!$F$9)*IFERROR(N('Recurring Items'!$D$9),0)+(IF(AC466=1,'Debt Tracker'!$P$7&gt;0.01,INDEX('Debt Tracker'!$T$5:$AE$29,3,AC466-1)&gt;0.01))*('Recurring Items'!$H$10&lt;&gt;"Skip")*(DAY(AB466)='Recurring Items'!$F$10)*IFERROR(N('Recurring Items'!$D$10),0)+(IF(AC466=1,'Debt Tracker'!$P$8&gt;0.01,INDEX('Debt Tracker'!$T$5:$AE$29,4,AC466-1)&gt;0.01))*('Recurring Items'!$H$11&lt;&gt;"Skip")*(DAY(AB466)='Recurring Items'!$F$11)*IFERROR(N('Recurring Items'!$D$11),0)+(IF(AC466=1,'Debt Tracker'!$P$9&gt;0.01,INDEX('Debt Tracker'!$T$5:$AE$29,5,AC466-1)&gt;0.01))*('Recurring Items'!$H$12&lt;&gt;"Skip")*(DAY(AB466)='Recurring Items'!$F$12)*IFERROR(N('Recurring Items'!$D$12),0)+(IF(AC466=1,'Debt Tracker'!$P$10&gt;0.01,INDEX('Debt Tracker'!$T$5:$AE$29,6,AC466-1)&gt;0.01))*('Recurring Items'!$H$13&lt;&gt;"Skip")*(DAY(AB466)='Recurring Items'!$F$13)*IFERROR(N('Recurring Items'!$D$13),0)+(IF(AC466=1,'Debt Tracker'!$P$11&gt;0.01,INDEX('Debt Tracker'!$T$5:$AE$29,7,AC466-1)&gt;0.01))*('Recurring Items'!$H$14&lt;&gt;"Skip")*(DAY(AB466)='Recurring Items'!$F$14)*IFERROR(N('Recurring Items'!$D$14),0)+(IF(AC466=1,'Debt Tracker'!$P$12&gt;0.01,INDEX('Debt Tracker'!$T$5:$AE$29,8,AC466-1)&gt;0.01))*('Recurring Items'!$H$15&lt;&gt;"Skip")*(DAY(AB466)='Recurring Items'!$F$15)*IFERROR(N('Recurring Items'!$D$15),0)+(IF(AC466=1,'Debt Tracker'!$P$13&gt;0.01,INDEX('Debt Tracker'!$T$5:$AE$29,9,AC466-1)&gt;0.01))*('Recurring Items'!$H$16&lt;&gt;"Skip")*(DAY(AB466)='Recurring Items'!$F$16)*IFERROR(N('Recurring Items'!$D$16),0)+(IF(AC466=1,'Debt Tracker'!$P$14&gt;0.01,INDEX('Debt Tracker'!$T$5:$AE$29,10,AC466-1)&gt;0.01))*('Recurring Items'!$H$17&lt;&gt;"Skip")*(DAY(AB466)='Recurring Items'!$F$17)*IFERROR(N('Recurring Items'!$D$17),0)+(IF(AC466=1,'Debt Tracker'!$P$15&gt;0.01,INDEX('Debt Tracker'!$T$5:$AE$29,11,AC466-1)&gt;0.01))*('Recurring Items'!$H$18&lt;&gt;"Skip")*(DAY(AB466)='Recurring Items'!$F$18)*IFERROR(N('Recurring Items'!$D$18),0)+(IF(AC466=1,'Debt Tracker'!$P$16&gt;0.01,INDEX('Debt Tracker'!$T$5:$AE$29,12,AC466-1)&gt;0.01))*('Recurring Items'!$H$19&lt;&gt;"Skip")*(DAY(AB466)='Recurring Items'!$F$19)*IFERROR(N('Recurring Items'!$D$19),0)+(IF(AC466=1,'Debt Tracker'!$P$17&gt;0.01,INDEX('Debt Tracker'!$T$5:$AE$29,13,AC466-1)&gt;0.01))*('Recurring Items'!$H$20&lt;&gt;"Skip")*(DAY(AB466)='Recurring Items'!$F$20)*IFERROR(N('Recurring Items'!$D$20),0)+(IF(AC466=1,'Debt Tracker'!$P$18&gt;0.01,INDEX('Debt Tracker'!$T$5:$AE$29,14,AC466-1)&gt;0.01))*('Recurring Items'!$H$21&lt;&gt;"Skip")*(DAY(AB466)='Recurring Items'!$F$21)*IFERROR(N('Recurring Items'!$D$21),0)+(IF(AC466=1,'Debt Tracker'!$P$19&gt;0.01,INDEX('Debt Tracker'!$T$5:$AE$29,15,AC466-1)&gt;0.01))*('Recurring Items'!$H$22&lt;&gt;"Skip")*(DAY(AB466)='Recurring Items'!$F$22)*IFERROR(N('Recurring Items'!$D$22),0)+(IF(AC466=1,'Debt Tracker'!$P$20&gt;0.01,INDEX('Debt Tracker'!$T$5:$AE$29,16,AC466-1)&gt;0.01))*('Recurring Items'!$H$23&lt;&gt;"Skip")*(DAY(AB466)='Recurring Items'!$F$23)*IFERROR(N('Recurring Items'!$D$23),0)+(IF(AC466=1,'Debt Tracker'!$P$21&gt;0.01,INDEX('Debt Tracker'!$T$5:$AE$29,17,AC466-1)&gt;0.01))*('Recurring Items'!$H$24&lt;&gt;"Skip")*(DAY(AB466)='Recurring Items'!$F$24)*IFERROR(N('Recurring Items'!$D$24),0)+(IF(AC466=1,'Debt Tracker'!$P$22&gt;0.01,INDEX('Debt Tracker'!$T$5:$AE$29,18,AC466-1)&gt;0.01))*('Recurring Items'!$H$25&lt;&gt;"Skip")*(DAY(AB466)='Recurring Items'!$F$25)*IFERROR(N('Recurring Items'!$D$25),0)+(IF(AC466=1,'Debt Tracker'!$P$23&gt;0.01,INDEX('Debt Tracker'!$T$5:$AE$29,19,AC466-1)&gt;0.01))*('Recurring Items'!$H$26&lt;&gt;"Skip")*(DAY(AB466)='Recurring Items'!$F$26)*IFERROR(N('Recurring Items'!$D$26),0)+(IF(AC466=1,'Debt Tracker'!$P$24&gt;0.01,INDEX('Debt Tracker'!$T$5:$AE$29,20,AC466-1)&gt;0.01))*('Recurring Items'!$H$27&lt;&gt;"Skip")*(DAY(AB466)='Recurring Items'!$F$27)*IFERROR(N('Recurring Items'!$D$27),0)+(IF(AC466=1,'Debt Tracker'!$P$25&gt;0.01,INDEX('Debt Tracker'!$T$5:$AE$29,21,AC466-1)&gt;0.01))*('Recurring Items'!$H$28&lt;&gt;"Skip")*(DAY(AB466)='Recurring Items'!$F$28)*IFERROR(N('Recurring Items'!$D$28),0)+(IF(AC466=1,'Debt Tracker'!$P$26&gt;0.01,INDEX('Debt Tracker'!$T$5:$AE$29,22,AC466-1)&gt;0.01))*('Recurring Items'!$H$29&lt;&gt;"Skip")*(DAY(AB466)='Recurring Items'!$F$29)*IFERROR(N('Recurring Items'!$D$29),0)+(IF(AC466=1,'Debt Tracker'!$P$27&gt;0.01,INDEX('Debt Tracker'!$T$5:$AE$29,23,AC466-1)&gt;0.01))*('Recurring Items'!$H$30&lt;&gt;"Skip")*(DAY(AB466)='Recurring Items'!$F$30)*IFERROR(N('Recurring Items'!$D$30),0)+(IF(AC466=1,'Debt Tracker'!$P$28&gt;0.01,INDEX('Debt Tracker'!$T$5:$AE$29,24,AC466-1)&gt;0.01))*('Recurring Items'!$H$31&lt;&gt;"Skip")*(DAY(AB466)='Recurring Items'!$F$31)*IFERROR(N('Recurring Items'!$D$31),0)+(IF(AC466=1,'Debt Tracker'!$P$29&gt;0.01,INDEX('Debt Tracker'!$T$5:$AE$29,25,AC466-1)&gt;0.01))*('Recurring Items'!$H$32&lt;&gt;"Skip")*(DAY(AB466)='Recurring Items'!$F$32)*IFERROR(N('Recurring Items'!$D$32),0)</f>
        <v>0</v>
      </c>
      <c r="AG466" s="1" t="n">
        <f aca="false">AD466-AE466-AF466</f>
        <v>3359.79</v>
      </c>
      <c r="AH466" s="1" t="n">
        <f aca="false">AH465+AG466</f>
        <v>19224.69</v>
      </c>
    </row>
    <row r="467" customFormat="false" ht="15" hidden="false" customHeight="true" outlineLevel="0" collapsed="false">
      <c r="AA467" s="1" t="n">
        <v>267</v>
      </c>
      <c r="AB467" s="145" t="n">
        <f aca="false">$D$3+267</f>
        <v>46410</v>
      </c>
      <c r="AC467" s="1" t="n">
        <f aca="false">MIN(12,1+DATEDIF($D$3,AB467,"M"))</f>
        <v>9</v>
      </c>
      <c r="AD467" s="1" t="n">
        <f aca="false">SUMPRODUCT(('Recurring Items'!$C$6:$C$56="Income")*('Recurring Items'!$H$6:$H$56&lt;&gt;"Skip")*IFERROR(N('Recurring Items'!$D$6:$D$56),0)*(('Recurring Items'!$E$6:$E$56="Monthly")*(DAY(AB467)='Recurring Items'!$F$6:$F$56)+('Recurring Items'!$E$6:$E$56="Bi-weekly")*(WEEKDAY(AB467)=IFERROR(WEEKDAY('Recurring Items'!$G$6:$G$56),0))*(MOD(AB467-IFERROR('Recurring Items'!$G$6:$G$56,0),14)=0)*(AB467&gt;=IFERROR('Recurring Items'!$G$6:$G$56,9000000000))+('Recurring Items'!$E$6:$E$56="Weekly")*(WEEKDAY(AB467)=IFERROR(WEEKDAY('Recurring Items'!$G$6:$G$56),0))*(AB467&gt;=IFERROR('Recurring Items'!$G$6:$G$56,9000000000))+('Recurring Items'!$E$6:$E$56="One-time")*(AB467='Recurring Items'!$G$6:$G$56)))</f>
        <v>0</v>
      </c>
      <c r="AE467" s="1" t="n">
        <f aca="false">SUMPRODUCT(('Recurring Items'!$C$6:$C$56="Expense")*('Recurring Items'!$H$6:$H$56&lt;&gt;"Skip")*IFERROR(N('Recurring Items'!$D$6:$D$56),0)*(('Recurring Items'!$E$6:$E$56="Monthly")*(DAY(AB467)='Recurring Items'!$F$6:$F$56)+('Recurring Items'!$E$6:$E$56="Bi-weekly")*(WEEKDAY(AB467)=IFERROR(WEEKDAY('Recurring Items'!$G$6:$G$56),0))*(MOD(AB467-IFERROR('Recurring Items'!$G$6:$G$56,0),14)=0)*(AB467&gt;=IFERROR('Recurring Items'!$G$6:$G$56,9000000000))+('Recurring Items'!$E$6:$E$56="Weekly")*(WEEKDAY(AB467)=IFERROR(WEEKDAY('Recurring Items'!$G$6:$G$56),0))*(AB467&gt;=IFERROR('Recurring Items'!$G$6:$G$56,9000000000))+('Recurring Items'!$E$6:$E$56="One-time")*(AB467='Recurring Items'!$G$6:$G$56)))</f>
        <v>0</v>
      </c>
      <c r="AF467" s="1" t="n">
        <f aca="false">(IF(AC467=1,'Debt Tracker'!$P$5&gt;0.01,INDEX('Debt Tracker'!$T$5:$AE$29,1,AC467-1)&gt;0.01))*('Recurring Items'!$H$8&lt;&gt;"Skip")*(DAY(AB467)='Recurring Items'!$F$8)*IFERROR(N('Recurring Items'!$D$8),0)+(IF(AC467=1,'Debt Tracker'!$P$6&gt;0.01,INDEX('Debt Tracker'!$T$5:$AE$29,2,AC467-1)&gt;0.01))*('Recurring Items'!$H$9&lt;&gt;"Skip")*(DAY(AB467)='Recurring Items'!$F$9)*IFERROR(N('Recurring Items'!$D$9),0)+(IF(AC467=1,'Debt Tracker'!$P$7&gt;0.01,INDEX('Debt Tracker'!$T$5:$AE$29,3,AC467-1)&gt;0.01))*('Recurring Items'!$H$10&lt;&gt;"Skip")*(DAY(AB467)='Recurring Items'!$F$10)*IFERROR(N('Recurring Items'!$D$10),0)+(IF(AC467=1,'Debt Tracker'!$P$8&gt;0.01,INDEX('Debt Tracker'!$T$5:$AE$29,4,AC467-1)&gt;0.01))*('Recurring Items'!$H$11&lt;&gt;"Skip")*(DAY(AB467)='Recurring Items'!$F$11)*IFERROR(N('Recurring Items'!$D$11),0)+(IF(AC467=1,'Debt Tracker'!$P$9&gt;0.01,INDEX('Debt Tracker'!$T$5:$AE$29,5,AC467-1)&gt;0.01))*('Recurring Items'!$H$12&lt;&gt;"Skip")*(DAY(AB467)='Recurring Items'!$F$12)*IFERROR(N('Recurring Items'!$D$12),0)+(IF(AC467=1,'Debt Tracker'!$P$10&gt;0.01,INDEX('Debt Tracker'!$T$5:$AE$29,6,AC467-1)&gt;0.01))*('Recurring Items'!$H$13&lt;&gt;"Skip")*(DAY(AB467)='Recurring Items'!$F$13)*IFERROR(N('Recurring Items'!$D$13),0)+(IF(AC467=1,'Debt Tracker'!$P$11&gt;0.01,INDEX('Debt Tracker'!$T$5:$AE$29,7,AC467-1)&gt;0.01))*('Recurring Items'!$H$14&lt;&gt;"Skip")*(DAY(AB467)='Recurring Items'!$F$14)*IFERROR(N('Recurring Items'!$D$14),0)+(IF(AC467=1,'Debt Tracker'!$P$12&gt;0.01,INDEX('Debt Tracker'!$T$5:$AE$29,8,AC467-1)&gt;0.01))*('Recurring Items'!$H$15&lt;&gt;"Skip")*(DAY(AB467)='Recurring Items'!$F$15)*IFERROR(N('Recurring Items'!$D$15),0)+(IF(AC467=1,'Debt Tracker'!$P$13&gt;0.01,INDEX('Debt Tracker'!$T$5:$AE$29,9,AC467-1)&gt;0.01))*('Recurring Items'!$H$16&lt;&gt;"Skip")*(DAY(AB467)='Recurring Items'!$F$16)*IFERROR(N('Recurring Items'!$D$16),0)+(IF(AC467=1,'Debt Tracker'!$P$14&gt;0.01,INDEX('Debt Tracker'!$T$5:$AE$29,10,AC467-1)&gt;0.01))*('Recurring Items'!$H$17&lt;&gt;"Skip")*(DAY(AB467)='Recurring Items'!$F$17)*IFERROR(N('Recurring Items'!$D$17),0)+(IF(AC467=1,'Debt Tracker'!$P$15&gt;0.01,INDEX('Debt Tracker'!$T$5:$AE$29,11,AC467-1)&gt;0.01))*('Recurring Items'!$H$18&lt;&gt;"Skip")*(DAY(AB467)='Recurring Items'!$F$18)*IFERROR(N('Recurring Items'!$D$18),0)+(IF(AC467=1,'Debt Tracker'!$P$16&gt;0.01,INDEX('Debt Tracker'!$T$5:$AE$29,12,AC467-1)&gt;0.01))*('Recurring Items'!$H$19&lt;&gt;"Skip")*(DAY(AB467)='Recurring Items'!$F$19)*IFERROR(N('Recurring Items'!$D$19),0)+(IF(AC467=1,'Debt Tracker'!$P$17&gt;0.01,INDEX('Debt Tracker'!$T$5:$AE$29,13,AC467-1)&gt;0.01))*('Recurring Items'!$H$20&lt;&gt;"Skip")*(DAY(AB467)='Recurring Items'!$F$20)*IFERROR(N('Recurring Items'!$D$20),0)+(IF(AC467=1,'Debt Tracker'!$P$18&gt;0.01,INDEX('Debt Tracker'!$T$5:$AE$29,14,AC467-1)&gt;0.01))*('Recurring Items'!$H$21&lt;&gt;"Skip")*(DAY(AB467)='Recurring Items'!$F$21)*IFERROR(N('Recurring Items'!$D$21),0)+(IF(AC467=1,'Debt Tracker'!$P$19&gt;0.01,INDEX('Debt Tracker'!$T$5:$AE$29,15,AC467-1)&gt;0.01))*('Recurring Items'!$H$22&lt;&gt;"Skip")*(DAY(AB467)='Recurring Items'!$F$22)*IFERROR(N('Recurring Items'!$D$22),0)+(IF(AC467=1,'Debt Tracker'!$P$20&gt;0.01,INDEX('Debt Tracker'!$T$5:$AE$29,16,AC467-1)&gt;0.01))*('Recurring Items'!$H$23&lt;&gt;"Skip")*(DAY(AB467)='Recurring Items'!$F$23)*IFERROR(N('Recurring Items'!$D$23),0)+(IF(AC467=1,'Debt Tracker'!$P$21&gt;0.01,INDEX('Debt Tracker'!$T$5:$AE$29,17,AC467-1)&gt;0.01))*('Recurring Items'!$H$24&lt;&gt;"Skip")*(DAY(AB467)='Recurring Items'!$F$24)*IFERROR(N('Recurring Items'!$D$24),0)+(IF(AC467=1,'Debt Tracker'!$P$22&gt;0.01,INDEX('Debt Tracker'!$T$5:$AE$29,18,AC467-1)&gt;0.01))*('Recurring Items'!$H$25&lt;&gt;"Skip")*(DAY(AB467)='Recurring Items'!$F$25)*IFERROR(N('Recurring Items'!$D$25),0)+(IF(AC467=1,'Debt Tracker'!$P$23&gt;0.01,INDEX('Debt Tracker'!$T$5:$AE$29,19,AC467-1)&gt;0.01))*('Recurring Items'!$H$26&lt;&gt;"Skip")*(DAY(AB467)='Recurring Items'!$F$26)*IFERROR(N('Recurring Items'!$D$26),0)+(IF(AC467=1,'Debt Tracker'!$P$24&gt;0.01,INDEX('Debt Tracker'!$T$5:$AE$29,20,AC467-1)&gt;0.01))*('Recurring Items'!$H$27&lt;&gt;"Skip")*(DAY(AB467)='Recurring Items'!$F$27)*IFERROR(N('Recurring Items'!$D$27),0)+(IF(AC467=1,'Debt Tracker'!$P$25&gt;0.01,INDEX('Debt Tracker'!$T$5:$AE$29,21,AC467-1)&gt;0.01))*('Recurring Items'!$H$28&lt;&gt;"Skip")*(DAY(AB467)='Recurring Items'!$F$28)*IFERROR(N('Recurring Items'!$D$28),0)+(IF(AC467=1,'Debt Tracker'!$P$26&gt;0.01,INDEX('Debt Tracker'!$T$5:$AE$29,22,AC467-1)&gt;0.01))*('Recurring Items'!$H$29&lt;&gt;"Skip")*(DAY(AB467)='Recurring Items'!$F$29)*IFERROR(N('Recurring Items'!$D$29),0)+(IF(AC467=1,'Debt Tracker'!$P$27&gt;0.01,INDEX('Debt Tracker'!$T$5:$AE$29,23,AC467-1)&gt;0.01))*('Recurring Items'!$H$30&lt;&gt;"Skip")*(DAY(AB467)='Recurring Items'!$F$30)*IFERROR(N('Recurring Items'!$D$30),0)+(IF(AC467=1,'Debt Tracker'!$P$28&gt;0.01,INDEX('Debt Tracker'!$T$5:$AE$29,24,AC467-1)&gt;0.01))*('Recurring Items'!$H$31&lt;&gt;"Skip")*(DAY(AB467)='Recurring Items'!$F$31)*IFERROR(N('Recurring Items'!$D$31),0)+(IF(AC467=1,'Debt Tracker'!$P$29&gt;0.01,INDEX('Debt Tracker'!$T$5:$AE$29,25,AC467-1)&gt;0.01))*('Recurring Items'!$H$32&lt;&gt;"Skip")*(DAY(AB467)='Recurring Items'!$F$32)*IFERROR(N('Recurring Items'!$D$32),0)</f>
        <v>0</v>
      </c>
      <c r="AG467" s="1" t="n">
        <f aca="false">AD467-AE467-AF467</f>
        <v>0</v>
      </c>
      <c r="AH467" s="1" t="n">
        <f aca="false">AH466+AG467</f>
        <v>19224.69</v>
      </c>
    </row>
    <row r="468" customFormat="false" ht="15" hidden="false" customHeight="true" outlineLevel="0" collapsed="false">
      <c r="AA468" s="1" t="n">
        <v>268</v>
      </c>
      <c r="AB468" s="145" t="n">
        <f aca="false">$D$3+268</f>
        <v>46411</v>
      </c>
      <c r="AC468" s="1" t="n">
        <f aca="false">MIN(12,1+DATEDIF($D$3,AB468,"M"))</f>
        <v>9</v>
      </c>
      <c r="AD468" s="1" t="n">
        <f aca="false">SUMPRODUCT(('Recurring Items'!$C$6:$C$56="Income")*('Recurring Items'!$H$6:$H$56&lt;&gt;"Skip")*IFERROR(N('Recurring Items'!$D$6:$D$56),0)*(('Recurring Items'!$E$6:$E$56="Monthly")*(DAY(AB468)='Recurring Items'!$F$6:$F$56)+('Recurring Items'!$E$6:$E$56="Bi-weekly")*(WEEKDAY(AB468)=IFERROR(WEEKDAY('Recurring Items'!$G$6:$G$56),0))*(MOD(AB468-IFERROR('Recurring Items'!$G$6:$G$56,0),14)=0)*(AB468&gt;=IFERROR('Recurring Items'!$G$6:$G$56,9000000000))+('Recurring Items'!$E$6:$E$56="Weekly")*(WEEKDAY(AB468)=IFERROR(WEEKDAY('Recurring Items'!$G$6:$G$56),0))*(AB468&gt;=IFERROR('Recurring Items'!$G$6:$G$56,9000000000))+('Recurring Items'!$E$6:$E$56="One-time")*(AB468='Recurring Items'!$G$6:$G$56)))</f>
        <v>0</v>
      </c>
      <c r="AE468" s="1" t="n">
        <f aca="false">SUMPRODUCT(('Recurring Items'!$C$6:$C$56="Expense")*('Recurring Items'!$H$6:$H$56&lt;&gt;"Skip")*IFERROR(N('Recurring Items'!$D$6:$D$56),0)*(('Recurring Items'!$E$6:$E$56="Monthly")*(DAY(AB468)='Recurring Items'!$F$6:$F$56)+('Recurring Items'!$E$6:$E$56="Bi-weekly")*(WEEKDAY(AB468)=IFERROR(WEEKDAY('Recurring Items'!$G$6:$G$56),0))*(MOD(AB468-IFERROR('Recurring Items'!$G$6:$G$56,0),14)=0)*(AB468&gt;=IFERROR('Recurring Items'!$G$6:$G$56,9000000000))+('Recurring Items'!$E$6:$E$56="Weekly")*(WEEKDAY(AB468)=IFERROR(WEEKDAY('Recurring Items'!$G$6:$G$56),0))*(AB468&gt;=IFERROR('Recurring Items'!$G$6:$G$56,9000000000))+('Recurring Items'!$E$6:$E$56="One-time")*(AB468='Recurring Items'!$G$6:$G$56)))</f>
        <v>101.02</v>
      </c>
      <c r="AF468" s="1" t="n">
        <f aca="false">(IF(AC468=1,'Debt Tracker'!$P$5&gt;0.01,INDEX('Debt Tracker'!$T$5:$AE$29,1,AC468-1)&gt;0.01))*('Recurring Items'!$H$8&lt;&gt;"Skip")*(DAY(AB468)='Recurring Items'!$F$8)*IFERROR(N('Recurring Items'!$D$8),0)+(IF(AC468=1,'Debt Tracker'!$P$6&gt;0.01,INDEX('Debt Tracker'!$T$5:$AE$29,2,AC468-1)&gt;0.01))*('Recurring Items'!$H$9&lt;&gt;"Skip")*(DAY(AB468)='Recurring Items'!$F$9)*IFERROR(N('Recurring Items'!$D$9),0)+(IF(AC468=1,'Debt Tracker'!$P$7&gt;0.01,INDEX('Debt Tracker'!$T$5:$AE$29,3,AC468-1)&gt;0.01))*('Recurring Items'!$H$10&lt;&gt;"Skip")*(DAY(AB468)='Recurring Items'!$F$10)*IFERROR(N('Recurring Items'!$D$10),0)+(IF(AC468=1,'Debt Tracker'!$P$8&gt;0.01,INDEX('Debt Tracker'!$T$5:$AE$29,4,AC468-1)&gt;0.01))*('Recurring Items'!$H$11&lt;&gt;"Skip")*(DAY(AB468)='Recurring Items'!$F$11)*IFERROR(N('Recurring Items'!$D$11),0)+(IF(AC468=1,'Debt Tracker'!$P$9&gt;0.01,INDEX('Debt Tracker'!$T$5:$AE$29,5,AC468-1)&gt;0.01))*('Recurring Items'!$H$12&lt;&gt;"Skip")*(DAY(AB468)='Recurring Items'!$F$12)*IFERROR(N('Recurring Items'!$D$12),0)+(IF(AC468=1,'Debt Tracker'!$P$10&gt;0.01,INDEX('Debt Tracker'!$T$5:$AE$29,6,AC468-1)&gt;0.01))*('Recurring Items'!$H$13&lt;&gt;"Skip")*(DAY(AB468)='Recurring Items'!$F$13)*IFERROR(N('Recurring Items'!$D$13),0)+(IF(AC468=1,'Debt Tracker'!$P$11&gt;0.01,INDEX('Debt Tracker'!$T$5:$AE$29,7,AC468-1)&gt;0.01))*('Recurring Items'!$H$14&lt;&gt;"Skip")*(DAY(AB468)='Recurring Items'!$F$14)*IFERROR(N('Recurring Items'!$D$14),0)+(IF(AC468=1,'Debt Tracker'!$P$12&gt;0.01,INDEX('Debt Tracker'!$T$5:$AE$29,8,AC468-1)&gt;0.01))*('Recurring Items'!$H$15&lt;&gt;"Skip")*(DAY(AB468)='Recurring Items'!$F$15)*IFERROR(N('Recurring Items'!$D$15),0)+(IF(AC468=1,'Debt Tracker'!$P$13&gt;0.01,INDEX('Debt Tracker'!$T$5:$AE$29,9,AC468-1)&gt;0.01))*('Recurring Items'!$H$16&lt;&gt;"Skip")*(DAY(AB468)='Recurring Items'!$F$16)*IFERROR(N('Recurring Items'!$D$16),0)+(IF(AC468=1,'Debt Tracker'!$P$14&gt;0.01,INDEX('Debt Tracker'!$T$5:$AE$29,10,AC468-1)&gt;0.01))*('Recurring Items'!$H$17&lt;&gt;"Skip")*(DAY(AB468)='Recurring Items'!$F$17)*IFERROR(N('Recurring Items'!$D$17),0)+(IF(AC468=1,'Debt Tracker'!$P$15&gt;0.01,INDEX('Debt Tracker'!$T$5:$AE$29,11,AC468-1)&gt;0.01))*('Recurring Items'!$H$18&lt;&gt;"Skip")*(DAY(AB468)='Recurring Items'!$F$18)*IFERROR(N('Recurring Items'!$D$18),0)+(IF(AC468=1,'Debt Tracker'!$P$16&gt;0.01,INDEX('Debt Tracker'!$T$5:$AE$29,12,AC468-1)&gt;0.01))*('Recurring Items'!$H$19&lt;&gt;"Skip")*(DAY(AB468)='Recurring Items'!$F$19)*IFERROR(N('Recurring Items'!$D$19),0)+(IF(AC468=1,'Debt Tracker'!$P$17&gt;0.01,INDEX('Debt Tracker'!$T$5:$AE$29,13,AC468-1)&gt;0.01))*('Recurring Items'!$H$20&lt;&gt;"Skip")*(DAY(AB468)='Recurring Items'!$F$20)*IFERROR(N('Recurring Items'!$D$20),0)+(IF(AC468=1,'Debt Tracker'!$P$18&gt;0.01,INDEX('Debt Tracker'!$T$5:$AE$29,14,AC468-1)&gt;0.01))*('Recurring Items'!$H$21&lt;&gt;"Skip")*(DAY(AB468)='Recurring Items'!$F$21)*IFERROR(N('Recurring Items'!$D$21),0)+(IF(AC468=1,'Debt Tracker'!$P$19&gt;0.01,INDEX('Debt Tracker'!$T$5:$AE$29,15,AC468-1)&gt;0.01))*('Recurring Items'!$H$22&lt;&gt;"Skip")*(DAY(AB468)='Recurring Items'!$F$22)*IFERROR(N('Recurring Items'!$D$22),0)+(IF(AC468=1,'Debt Tracker'!$P$20&gt;0.01,INDEX('Debt Tracker'!$T$5:$AE$29,16,AC468-1)&gt;0.01))*('Recurring Items'!$H$23&lt;&gt;"Skip")*(DAY(AB468)='Recurring Items'!$F$23)*IFERROR(N('Recurring Items'!$D$23),0)+(IF(AC468=1,'Debt Tracker'!$P$21&gt;0.01,INDEX('Debt Tracker'!$T$5:$AE$29,17,AC468-1)&gt;0.01))*('Recurring Items'!$H$24&lt;&gt;"Skip")*(DAY(AB468)='Recurring Items'!$F$24)*IFERROR(N('Recurring Items'!$D$24),0)+(IF(AC468=1,'Debt Tracker'!$P$22&gt;0.01,INDEX('Debt Tracker'!$T$5:$AE$29,18,AC468-1)&gt;0.01))*('Recurring Items'!$H$25&lt;&gt;"Skip")*(DAY(AB468)='Recurring Items'!$F$25)*IFERROR(N('Recurring Items'!$D$25),0)+(IF(AC468=1,'Debt Tracker'!$P$23&gt;0.01,INDEX('Debt Tracker'!$T$5:$AE$29,19,AC468-1)&gt;0.01))*('Recurring Items'!$H$26&lt;&gt;"Skip")*(DAY(AB468)='Recurring Items'!$F$26)*IFERROR(N('Recurring Items'!$D$26),0)+(IF(AC468=1,'Debt Tracker'!$P$24&gt;0.01,INDEX('Debt Tracker'!$T$5:$AE$29,20,AC468-1)&gt;0.01))*('Recurring Items'!$H$27&lt;&gt;"Skip")*(DAY(AB468)='Recurring Items'!$F$27)*IFERROR(N('Recurring Items'!$D$27),0)+(IF(AC468=1,'Debt Tracker'!$P$25&gt;0.01,INDEX('Debt Tracker'!$T$5:$AE$29,21,AC468-1)&gt;0.01))*('Recurring Items'!$H$28&lt;&gt;"Skip")*(DAY(AB468)='Recurring Items'!$F$28)*IFERROR(N('Recurring Items'!$D$28),0)+(IF(AC468=1,'Debt Tracker'!$P$26&gt;0.01,INDEX('Debt Tracker'!$T$5:$AE$29,22,AC468-1)&gt;0.01))*('Recurring Items'!$H$29&lt;&gt;"Skip")*(DAY(AB468)='Recurring Items'!$F$29)*IFERROR(N('Recurring Items'!$D$29),0)+(IF(AC468=1,'Debt Tracker'!$P$27&gt;0.01,INDEX('Debt Tracker'!$T$5:$AE$29,23,AC468-1)&gt;0.01))*('Recurring Items'!$H$30&lt;&gt;"Skip")*(DAY(AB468)='Recurring Items'!$F$30)*IFERROR(N('Recurring Items'!$D$30),0)+(IF(AC468=1,'Debt Tracker'!$P$28&gt;0.01,INDEX('Debt Tracker'!$T$5:$AE$29,24,AC468-1)&gt;0.01))*('Recurring Items'!$H$31&lt;&gt;"Skip")*(DAY(AB468)='Recurring Items'!$F$31)*IFERROR(N('Recurring Items'!$D$31),0)+(IF(AC468=1,'Debt Tracker'!$P$29&gt;0.01,INDEX('Debt Tracker'!$T$5:$AE$29,25,AC468-1)&gt;0.01))*('Recurring Items'!$H$32&lt;&gt;"Skip")*(DAY(AB468)='Recurring Items'!$F$32)*IFERROR(N('Recurring Items'!$D$32),0)</f>
        <v>0</v>
      </c>
      <c r="AG468" s="1" t="n">
        <f aca="false">AD468-AE468-AF468</f>
        <v>-101.02</v>
      </c>
      <c r="AH468" s="1" t="n">
        <f aca="false">AH467+AG468</f>
        <v>19123.67</v>
      </c>
    </row>
    <row r="469" customFormat="false" ht="15" hidden="false" customHeight="true" outlineLevel="0" collapsed="false">
      <c r="AA469" s="1" t="n">
        <v>269</v>
      </c>
      <c r="AB469" s="145" t="n">
        <f aca="false">$D$3+269</f>
        <v>46412</v>
      </c>
      <c r="AC469" s="1" t="n">
        <f aca="false">MIN(12,1+DATEDIF($D$3,AB469,"M"))</f>
        <v>9</v>
      </c>
      <c r="AD469" s="1" t="n">
        <f aca="false">SUMPRODUCT(('Recurring Items'!$C$6:$C$56="Income")*('Recurring Items'!$H$6:$H$56&lt;&gt;"Skip")*IFERROR(N('Recurring Items'!$D$6:$D$56),0)*(('Recurring Items'!$E$6:$E$56="Monthly")*(DAY(AB469)='Recurring Items'!$F$6:$F$56)+('Recurring Items'!$E$6:$E$56="Bi-weekly")*(WEEKDAY(AB469)=IFERROR(WEEKDAY('Recurring Items'!$G$6:$G$56),0))*(MOD(AB469-IFERROR('Recurring Items'!$G$6:$G$56,0),14)=0)*(AB469&gt;=IFERROR('Recurring Items'!$G$6:$G$56,9000000000))+('Recurring Items'!$E$6:$E$56="Weekly")*(WEEKDAY(AB469)=IFERROR(WEEKDAY('Recurring Items'!$G$6:$G$56),0))*(AB469&gt;=IFERROR('Recurring Items'!$G$6:$G$56,9000000000))+('Recurring Items'!$E$6:$E$56="One-time")*(AB469='Recurring Items'!$G$6:$G$56)))</f>
        <v>0</v>
      </c>
      <c r="AE469" s="1" t="n">
        <f aca="false">SUMPRODUCT(('Recurring Items'!$C$6:$C$56="Expense")*('Recurring Items'!$H$6:$H$56&lt;&gt;"Skip")*IFERROR(N('Recurring Items'!$D$6:$D$56),0)*(('Recurring Items'!$E$6:$E$56="Monthly")*(DAY(AB469)='Recurring Items'!$F$6:$F$56)+('Recurring Items'!$E$6:$E$56="Bi-weekly")*(WEEKDAY(AB469)=IFERROR(WEEKDAY('Recurring Items'!$G$6:$G$56),0))*(MOD(AB469-IFERROR('Recurring Items'!$G$6:$G$56,0),14)=0)*(AB469&gt;=IFERROR('Recurring Items'!$G$6:$G$56,9000000000))+('Recurring Items'!$E$6:$E$56="Weekly")*(WEEKDAY(AB469)=IFERROR(WEEKDAY('Recurring Items'!$G$6:$G$56),0))*(AB469&gt;=IFERROR('Recurring Items'!$G$6:$G$56,9000000000))+('Recurring Items'!$E$6:$E$56="One-time")*(AB469='Recurring Items'!$G$6:$G$56)))</f>
        <v>0</v>
      </c>
      <c r="AF469" s="1" t="n">
        <f aca="false">(IF(AC469=1,'Debt Tracker'!$P$5&gt;0.01,INDEX('Debt Tracker'!$T$5:$AE$29,1,AC469-1)&gt;0.01))*('Recurring Items'!$H$8&lt;&gt;"Skip")*(DAY(AB469)='Recurring Items'!$F$8)*IFERROR(N('Recurring Items'!$D$8),0)+(IF(AC469=1,'Debt Tracker'!$P$6&gt;0.01,INDEX('Debt Tracker'!$T$5:$AE$29,2,AC469-1)&gt;0.01))*('Recurring Items'!$H$9&lt;&gt;"Skip")*(DAY(AB469)='Recurring Items'!$F$9)*IFERROR(N('Recurring Items'!$D$9),0)+(IF(AC469=1,'Debt Tracker'!$P$7&gt;0.01,INDEX('Debt Tracker'!$T$5:$AE$29,3,AC469-1)&gt;0.01))*('Recurring Items'!$H$10&lt;&gt;"Skip")*(DAY(AB469)='Recurring Items'!$F$10)*IFERROR(N('Recurring Items'!$D$10),0)+(IF(AC469=1,'Debt Tracker'!$P$8&gt;0.01,INDEX('Debt Tracker'!$T$5:$AE$29,4,AC469-1)&gt;0.01))*('Recurring Items'!$H$11&lt;&gt;"Skip")*(DAY(AB469)='Recurring Items'!$F$11)*IFERROR(N('Recurring Items'!$D$11),0)+(IF(AC469=1,'Debt Tracker'!$P$9&gt;0.01,INDEX('Debt Tracker'!$T$5:$AE$29,5,AC469-1)&gt;0.01))*('Recurring Items'!$H$12&lt;&gt;"Skip")*(DAY(AB469)='Recurring Items'!$F$12)*IFERROR(N('Recurring Items'!$D$12),0)+(IF(AC469=1,'Debt Tracker'!$P$10&gt;0.01,INDEX('Debt Tracker'!$T$5:$AE$29,6,AC469-1)&gt;0.01))*('Recurring Items'!$H$13&lt;&gt;"Skip")*(DAY(AB469)='Recurring Items'!$F$13)*IFERROR(N('Recurring Items'!$D$13),0)+(IF(AC469=1,'Debt Tracker'!$P$11&gt;0.01,INDEX('Debt Tracker'!$T$5:$AE$29,7,AC469-1)&gt;0.01))*('Recurring Items'!$H$14&lt;&gt;"Skip")*(DAY(AB469)='Recurring Items'!$F$14)*IFERROR(N('Recurring Items'!$D$14),0)+(IF(AC469=1,'Debt Tracker'!$P$12&gt;0.01,INDEX('Debt Tracker'!$T$5:$AE$29,8,AC469-1)&gt;0.01))*('Recurring Items'!$H$15&lt;&gt;"Skip")*(DAY(AB469)='Recurring Items'!$F$15)*IFERROR(N('Recurring Items'!$D$15),0)+(IF(AC469=1,'Debt Tracker'!$P$13&gt;0.01,INDEX('Debt Tracker'!$T$5:$AE$29,9,AC469-1)&gt;0.01))*('Recurring Items'!$H$16&lt;&gt;"Skip")*(DAY(AB469)='Recurring Items'!$F$16)*IFERROR(N('Recurring Items'!$D$16),0)+(IF(AC469=1,'Debt Tracker'!$P$14&gt;0.01,INDEX('Debt Tracker'!$T$5:$AE$29,10,AC469-1)&gt;0.01))*('Recurring Items'!$H$17&lt;&gt;"Skip")*(DAY(AB469)='Recurring Items'!$F$17)*IFERROR(N('Recurring Items'!$D$17),0)+(IF(AC469=1,'Debt Tracker'!$P$15&gt;0.01,INDEX('Debt Tracker'!$T$5:$AE$29,11,AC469-1)&gt;0.01))*('Recurring Items'!$H$18&lt;&gt;"Skip")*(DAY(AB469)='Recurring Items'!$F$18)*IFERROR(N('Recurring Items'!$D$18),0)+(IF(AC469=1,'Debt Tracker'!$P$16&gt;0.01,INDEX('Debt Tracker'!$T$5:$AE$29,12,AC469-1)&gt;0.01))*('Recurring Items'!$H$19&lt;&gt;"Skip")*(DAY(AB469)='Recurring Items'!$F$19)*IFERROR(N('Recurring Items'!$D$19),0)+(IF(AC469=1,'Debt Tracker'!$P$17&gt;0.01,INDEX('Debt Tracker'!$T$5:$AE$29,13,AC469-1)&gt;0.01))*('Recurring Items'!$H$20&lt;&gt;"Skip")*(DAY(AB469)='Recurring Items'!$F$20)*IFERROR(N('Recurring Items'!$D$20),0)+(IF(AC469=1,'Debt Tracker'!$P$18&gt;0.01,INDEX('Debt Tracker'!$T$5:$AE$29,14,AC469-1)&gt;0.01))*('Recurring Items'!$H$21&lt;&gt;"Skip")*(DAY(AB469)='Recurring Items'!$F$21)*IFERROR(N('Recurring Items'!$D$21),0)+(IF(AC469=1,'Debt Tracker'!$P$19&gt;0.01,INDEX('Debt Tracker'!$T$5:$AE$29,15,AC469-1)&gt;0.01))*('Recurring Items'!$H$22&lt;&gt;"Skip")*(DAY(AB469)='Recurring Items'!$F$22)*IFERROR(N('Recurring Items'!$D$22),0)+(IF(AC469=1,'Debt Tracker'!$P$20&gt;0.01,INDEX('Debt Tracker'!$T$5:$AE$29,16,AC469-1)&gt;0.01))*('Recurring Items'!$H$23&lt;&gt;"Skip")*(DAY(AB469)='Recurring Items'!$F$23)*IFERROR(N('Recurring Items'!$D$23),0)+(IF(AC469=1,'Debt Tracker'!$P$21&gt;0.01,INDEX('Debt Tracker'!$T$5:$AE$29,17,AC469-1)&gt;0.01))*('Recurring Items'!$H$24&lt;&gt;"Skip")*(DAY(AB469)='Recurring Items'!$F$24)*IFERROR(N('Recurring Items'!$D$24),0)+(IF(AC469=1,'Debt Tracker'!$P$22&gt;0.01,INDEX('Debt Tracker'!$T$5:$AE$29,18,AC469-1)&gt;0.01))*('Recurring Items'!$H$25&lt;&gt;"Skip")*(DAY(AB469)='Recurring Items'!$F$25)*IFERROR(N('Recurring Items'!$D$25),0)+(IF(AC469=1,'Debt Tracker'!$P$23&gt;0.01,INDEX('Debt Tracker'!$T$5:$AE$29,19,AC469-1)&gt;0.01))*('Recurring Items'!$H$26&lt;&gt;"Skip")*(DAY(AB469)='Recurring Items'!$F$26)*IFERROR(N('Recurring Items'!$D$26),0)+(IF(AC469=1,'Debt Tracker'!$P$24&gt;0.01,INDEX('Debt Tracker'!$T$5:$AE$29,20,AC469-1)&gt;0.01))*('Recurring Items'!$H$27&lt;&gt;"Skip")*(DAY(AB469)='Recurring Items'!$F$27)*IFERROR(N('Recurring Items'!$D$27),0)+(IF(AC469=1,'Debt Tracker'!$P$25&gt;0.01,INDEX('Debt Tracker'!$T$5:$AE$29,21,AC469-1)&gt;0.01))*('Recurring Items'!$H$28&lt;&gt;"Skip")*(DAY(AB469)='Recurring Items'!$F$28)*IFERROR(N('Recurring Items'!$D$28),0)+(IF(AC469=1,'Debt Tracker'!$P$26&gt;0.01,INDEX('Debt Tracker'!$T$5:$AE$29,22,AC469-1)&gt;0.01))*('Recurring Items'!$H$29&lt;&gt;"Skip")*(DAY(AB469)='Recurring Items'!$F$29)*IFERROR(N('Recurring Items'!$D$29),0)+(IF(AC469=1,'Debt Tracker'!$P$27&gt;0.01,INDEX('Debt Tracker'!$T$5:$AE$29,23,AC469-1)&gt;0.01))*('Recurring Items'!$H$30&lt;&gt;"Skip")*(DAY(AB469)='Recurring Items'!$F$30)*IFERROR(N('Recurring Items'!$D$30),0)+(IF(AC469=1,'Debt Tracker'!$P$28&gt;0.01,INDEX('Debt Tracker'!$T$5:$AE$29,24,AC469-1)&gt;0.01))*('Recurring Items'!$H$31&lt;&gt;"Skip")*(DAY(AB469)='Recurring Items'!$F$31)*IFERROR(N('Recurring Items'!$D$31),0)+(IF(AC469=1,'Debt Tracker'!$P$29&gt;0.01,INDEX('Debt Tracker'!$T$5:$AE$29,25,AC469-1)&gt;0.01))*('Recurring Items'!$H$32&lt;&gt;"Skip")*(DAY(AB469)='Recurring Items'!$F$32)*IFERROR(N('Recurring Items'!$D$32),0)</f>
        <v>0</v>
      </c>
      <c r="AG469" s="1" t="n">
        <f aca="false">AD469-AE469-AF469</f>
        <v>0</v>
      </c>
      <c r="AH469" s="1" t="n">
        <f aca="false">AH468+AG469</f>
        <v>19123.67</v>
      </c>
    </row>
    <row r="470" customFormat="false" ht="15" hidden="false" customHeight="true" outlineLevel="0" collapsed="false">
      <c r="AA470" s="1" t="n">
        <v>270</v>
      </c>
      <c r="AB470" s="145" t="n">
        <f aca="false">$D$3+270</f>
        <v>46413</v>
      </c>
      <c r="AC470" s="1" t="n">
        <f aca="false">MIN(12,1+DATEDIF($D$3,AB470,"M"))</f>
        <v>9</v>
      </c>
      <c r="AD470" s="1" t="n">
        <f aca="false">SUMPRODUCT(('Recurring Items'!$C$6:$C$56="Income")*('Recurring Items'!$H$6:$H$56&lt;&gt;"Skip")*IFERROR(N('Recurring Items'!$D$6:$D$56),0)*(('Recurring Items'!$E$6:$E$56="Monthly")*(DAY(AB470)='Recurring Items'!$F$6:$F$56)+('Recurring Items'!$E$6:$E$56="Bi-weekly")*(WEEKDAY(AB470)=IFERROR(WEEKDAY('Recurring Items'!$G$6:$G$56),0))*(MOD(AB470-IFERROR('Recurring Items'!$G$6:$G$56,0),14)=0)*(AB470&gt;=IFERROR('Recurring Items'!$G$6:$G$56,9000000000))+('Recurring Items'!$E$6:$E$56="Weekly")*(WEEKDAY(AB470)=IFERROR(WEEKDAY('Recurring Items'!$G$6:$G$56),0))*(AB470&gt;=IFERROR('Recurring Items'!$G$6:$G$56,9000000000))+('Recurring Items'!$E$6:$E$56="One-time")*(AB470='Recurring Items'!$G$6:$G$56)))</f>
        <v>0</v>
      </c>
      <c r="AE470" s="1" t="n">
        <f aca="false">SUMPRODUCT(('Recurring Items'!$C$6:$C$56="Expense")*('Recurring Items'!$H$6:$H$56&lt;&gt;"Skip")*IFERROR(N('Recurring Items'!$D$6:$D$56),0)*(('Recurring Items'!$E$6:$E$56="Monthly")*(DAY(AB470)='Recurring Items'!$F$6:$F$56)+('Recurring Items'!$E$6:$E$56="Bi-weekly")*(WEEKDAY(AB470)=IFERROR(WEEKDAY('Recurring Items'!$G$6:$G$56),0))*(MOD(AB470-IFERROR('Recurring Items'!$G$6:$G$56,0),14)=0)*(AB470&gt;=IFERROR('Recurring Items'!$G$6:$G$56,9000000000))+('Recurring Items'!$E$6:$E$56="Weekly")*(WEEKDAY(AB470)=IFERROR(WEEKDAY('Recurring Items'!$G$6:$G$56),0))*(AB470&gt;=IFERROR('Recurring Items'!$G$6:$G$56,9000000000))+('Recurring Items'!$E$6:$E$56="One-time")*(AB470='Recurring Items'!$G$6:$G$56)))</f>
        <v>0</v>
      </c>
      <c r="AF470" s="1" t="n">
        <f aca="false">(IF(AC470=1,'Debt Tracker'!$P$5&gt;0.01,INDEX('Debt Tracker'!$T$5:$AE$29,1,AC470-1)&gt;0.01))*('Recurring Items'!$H$8&lt;&gt;"Skip")*(DAY(AB470)='Recurring Items'!$F$8)*IFERROR(N('Recurring Items'!$D$8),0)+(IF(AC470=1,'Debt Tracker'!$P$6&gt;0.01,INDEX('Debt Tracker'!$T$5:$AE$29,2,AC470-1)&gt;0.01))*('Recurring Items'!$H$9&lt;&gt;"Skip")*(DAY(AB470)='Recurring Items'!$F$9)*IFERROR(N('Recurring Items'!$D$9),0)+(IF(AC470=1,'Debt Tracker'!$P$7&gt;0.01,INDEX('Debt Tracker'!$T$5:$AE$29,3,AC470-1)&gt;0.01))*('Recurring Items'!$H$10&lt;&gt;"Skip")*(DAY(AB470)='Recurring Items'!$F$10)*IFERROR(N('Recurring Items'!$D$10),0)+(IF(AC470=1,'Debt Tracker'!$P$8&gt;0.01,INDEX('Debt Tracker'!$T$5:$AE$29,4,AC470-1)&gt;0.01))*('Recurring Items'!$H$11&lt;&gt;"Skip")*(DAY(AB470)='Recurring Items'!$F$11)*IFERROR(N('Recurring Items'!$D$11),0)+(IF(AC470=1,'Debt Tracker'!$P$9&gt;0.01,INDEX('Debt Tracker'!$T$5:$AE$29,5,AC470-1)&gt;0.01))*('Recurring Items'!$H$12&lt;&gt;"Skip")*(DAY(AB470)='Recurring Items'!$F$12)*IFERROR(N('Recurring Items'!$D$12),0)+(IF(AC470=1,'Debt Tracker'!$P$10&gt;0.01,INDEX('Debt Tracker'!$T$5:$AE$29,6,AC470-1)&gt;0.01))*('Recurring Items'!$H$13&lt;&gt;"Skip")*(DAY(AB470)='Recurring Items'!$F$13)*IFERROR(N('Recurring Items'!$D$13),0)+(IF(AC470=1,'Debt Tracker'!$P$11&gt;0.01,INDEX('Debt Tracker'!$T$5:$AE$29,7,AC470-1)&gt;0.01))*('Recurring Items'!$H$14&lt;&gt;"Skip")*(DAY(AB470)='Recurring Items'!$F$14)*IFERROR(N('Recurring Items'!$D$14),0)+(IF(AC470=1,'Debt Tracker'!$P$12&gt;0.01,INDEX('Debt Tracker'!$T$5:$AE$29,8,AC470-1)&gt;0.01))*('Recurring Items'!$H$15&lt;&gt;"Skip")*(DAY(AB470)='Recurring Items'!$F$15)*IFERROR(N('Recurring Items'!$D$15),0)+(IF(AC470=1,'Debt Tracker'!$P$13&gt;0.01,INDEX('Debt Tracker'!$T$5:$AE$29,9,AC470-1)&gt;0.01))*('Recurring Items'!$H$16&lt;&gt;"Skip")*(DAY(AB470)='Recurring Items'!$F$16)*IFERROR(N('Recurring Items'!$D$16),0)+(IF(AC470=1,'Debt Tracker'!$P$14&gt;0.01,INDEX('Debt Tracker'!$T$5:$AE$29,10,AC470-1)&gt;0.01))*('Recurring Items'!$H$17&lt;&gt;"Skip")*(DAY(AB470)='Recurring Items'!$F$17)*IFERROR(N('Recurring Items'!$D$17),0)+(IF(AC470=1,'Debt Tracker'!$P$15&gt;0.01,INDEX('Debt Tracker'!$T$5:$AE$29,11,AC470-1)&gt;0.01))*('Recurring Items'!$H$18&lt;&gt;"Skip")*(DAY(AB470)='Recurring Items'!$F$18)*IFERROR(N('Recurring Items'!$D$18),0)+(IF(AC470=1,'Debt Tracker'!$P$16&gt;0.01,INDEX('Debt Tracker'!$T$5:$AE$29,12,AC470-1)&gt;0.01))*('Recurring Items'!$H$19&lt;&gt;"Skip")*(DAY(AB470)='Recurring Items'!$F$19)*IFERROR(N('Recurring Items'!$D$19),0)+(IF(AC470=1,'Debt Tracker'!$P$17&gt;0.01,INDEX('Debt Tracker'!$T$5:$AE$29,13,AC470-1)&gt;0.01))*('Recurring Items'!$H$20&lt;&gt;"Skip")*(DAY(AB470)='Recurring Items'!$F$20)*IFERROR(N('Recurring Items'!$D$20),0)+(IF(AC470=1,'Debt Tracker'!$P$18&gt;0.01,INDEX('Debt Tracker'!$T$5:$AE$29,14,AC470-1)&gt;0.01))*('Recurring Items'!$H$21&lt;&gt;"Skip")*(DAY(AB470)='Recurring Items'!$F$21)*IFERROR(N('Recurring Items'!$D$21),0)+(IF(AC470=1,'Debt Tracker'!$P$19&gt;0.01,INDEX('Debt Tracker'!$T$5:$AE$29,15,AC470-1)&gt;0.01))*('Recurring Items'!$H$22&lt;&gt;"Skip")*(DAY(AB470)='Recurring Items'!$F$22)*IFERROR(N('Recurring Items'!$D$22),0)+(IF(AC470=1,'Debt Tracker'!$P$20&gt;0.01,INDEX('Debt Tracker'!$T$5:$AE$29,16,AC470-1)&gt;0.01))*('Recurring Items'!$H$23&lt;&gt;"Skip")*(DAY(AB470)='Recurring Items'!$F$23)*IFERROR(N('Recurring Items'!$D$23),0)+(IF(AC470=1,'Debt Tracker'!$P$21&gt;0.01,INDEX('Debt Tracker'!$T$5:$AE$29,17,AC470-1)&gt;0.01))*('Recurring Items'!$H$24&lt;&gt;"Skip")*(DAY(AB470)='Recurring Items'!$F$24)*IFERROR(N('Recurring Items'!$D$24),0)+(IF(AC470=1,'Debt Tracker'!$P$22&gt;0.01,INDEX('Debt Tracker'!$T$5:$AE$29,18,AC470-1)&gt;0.01))*('Recurring Items'!$H$25&lt;&gt;"Skip")*(DAY(AB470)='Recurring Items'!$F$25)*IFERROR(N('Recurring Items'!$D$25),0)+(IF(AC470=1,'Debt Tracker'!$P$23&gt;0.01,INDEX('Debt Tracker'!$T$5:$AE$29,19,AC470-1)&gt;0.01))*('Recurring Items'!$H$26&lt;&gt;"Skip")*(DAY(AB470)='Recurring Items'!$F$26)*IFERROR(N('Recurring Items'!$D$26),0)+(IF(AC470=1,'Debt Tracker'!$P$24&gt;0.01,INDEX('Debt Tracker'!$T$5:$AE$29,20,AC470-1)&gt;0.01))*('Recurring Items'!$H$27&lt;&gt;"Skip")*(DAY(AB470)='Recurring Items'!$F$27)*IFERROR(N('Recurring Items'!$D$27),0)+(IF(AC470=1,'Debt Tracker'!$P$25&gt;0.01,INDEX('Debt Tracker'!$T$5:$AE$29,21,AC470-1)&gt;0.01))*('Recurring Items'!$H$28&lt;&gt;"Skip")*(DAY(AB470)='Recurring Items'!$F$28)*IFERROR(N('Recurring Items'!$D$28),0)+(IF(AC470=1,'Debt Tracker'!$P$26&gt;0.01,INDEX('Debt Tracker'!$T$5:$AE$29,22,AC470-1)&gt;0.01))*('Recurring Items'!$H$29&lt;&gt;"Skip")*(DAY(AB470)='Recurring Items'!$F$29)*IFERROR(N('Recurring Items'!$D$29),0)+(IF(AC470=1,'Debt Tracker'!$P$27&gt;0.01,INDEX('Debt Tracker'!$T$5:$AE$29,23,AC470-1)&gt;0.01))*('Recurring Items'!$H$30&lt;&gt;"Skip")*(DAY(AB470)='Recurring Items'!$F$30)*IFERROR(N('Recurring Items'!$D$30),0)+(IF(AC470=1,'Debt Tracker'!$P$28&gt;0.01,INDEX('Debt Tracker'!$T$5:$AE$29,24,AC470-1)&gt;0.01))*('Recurring Items'!$H$31&lt;&gt;"Skip")*(DAY(AB470)='Recurring Items'!$F$31)*IFERROR(N('Recurring Items'!$D$31),0)+(IF(AC470=1,'Debt Tracker'!$P$29&gt;0.01,INDEX('Debt Tracker'!$T$5:$AE$29,25,AC470-1)&gt;0.01))*('Recurring Items'!$H$32&lt;&gt;"Skip")*(DAY(AB470)='Recurring Items'!$F$32)*IFERROR(N('Recurring Items'!$D$32),0)</f>
        <v>0</v>
      </c>
      <c r="AG470" s="1" t="n">
        <f aca="false">AD470-AE470-AF470</f>
        <v>0</v>
      </c>
      <c r="AH470" s="1" t="n">
        <f aca="false">AH469+AG470</f>
        <v>19123.67</v>
      </c>
    </row>
    <row r="471" customFormat="false" ht="15" hidden="false" customHeight="true" outlineLevel="0" collapsed="false">
      <c r="AA471" s="1" t="n">
        <v>271</v>
      </c>
      <c r="AB471" s="145" t="n">
        <f aca="false">$D$3+271</f>
        <v>46414</v>
      </c>
      <c r="AC471" s="1" t="n">
        <f aca="false">MIN(12,1+DATEDIF($D$3,AB471,"M"))</f>
        <v>9</v>
      </c>
      <c r="AD471" s="1" t="n">
        <f aca="false">SUMPRODUCT(('Recurring Items'!$C$6:$C$56="Income")*('Recurring Items'!$H$6:$H$56&lt;&gt;"Skip")*IFERROR(N('Recurring Items'!$D$6:$D$56),0)*(('Recurring Items'!$E$6:$E$56="Monthly")*(DAY(AB471)='Recurring Items'!$F$6:$F$56)+('Recurring Items'!$E$6:$E$56="Bi-weekly")*(WEEKDAY(AB471)=IFERROR(WEEKDAY('Recurring Items'!$G$6:$G$56),0))*(MOD(AB471-IFERROR('Recurring Items'!$G$6:$G$56,0),14)=0)*(AB471&gt;=IFERROR('Recurring Items'!$G$6:$G$56,9000000000))+('Recurring Items'!$E$6:$E$56="Weekly")*(WEEKDAY(AB471)=IFERROR(WEEKDAY('Recurring Items'!$G$6:$G$56),0))*(AB471&gt;=IFERROR('Recurring Items'!$G$6:$G$56,9000000000))+('Recurring Items'!$E$6:$E$56="One-time")*(AB471='Recurring Items'!$G$6:$G$56)))</f>
        <v>0</v>
      </c>
      <c r="AE471" s="1" t="n">
        <f aca="false">SUMPRODUCT(('Recurring Items'!$C$6:$C$56="Expense")*('Recurring Items'!$H$6:$H$56&lt;&gt;"Skip")*IFERROR(N('Recurring Items'!$D$6:$D$56),0)*(('Recurring Items'!$E$6:$E$56="Monthly")*(DAY(AB471)='Recurring Items'!$F$6:$F$56)+('Recurring Items'!$E$6:$E$56="Bi-weekly")*(WEEKDAY(AB471)=IFERROR(WEEKDAY('Recurring Items'!$G$6:$G$56),0))*(MOD(AB471-IFERROR('Recurring Items'!$G$6:$G$56,0),14)=0)*(AB471&gt;=IFERROR('Recurring Items'!$G$6:$G$56,9000000000))+('Recurring Items'!$E$6:$E$56="Weekly")*(WEEKDAY(AB471)=IFERROR(WEEKDAY('Recurring Items'!$G$6:$G$56),0))*(AB471&gt;=IFERROR('Recurring Items'!$G$6:$G$56,9000000000))+('Recurring Items'!$E$6:$E$56="One-time")*(AB471='Recurring Items'!$G$6:$G$56)))</f>
        <v>0</v>
      </c>
      <c r="AF471" s="1" t="n">
        <f aca="false">(IF(AC471=1,'Debt Tracker'!$P$5&gt;0.01,INDEX('Debt Tracker'!$T$5:$AE$29,1,AC471-1)&gt;0.01))*('Recurring Items'!$H$8&lt;&gt;"Skip")*(DAY(AB471)='Recurring Items'!$F$8)*IFERROR(N('Recurring Items'!$D$8),0)+(IF(AC471=1,'Debt Tracker'!$P$6&gt;0.01,INDEX('Debt Tracker'!$T$5:$AE$29,2,AC471-1)&gt;0.01))*('Recurring Items'!$H$9&lt;&gt;"Skip")*(DAY(AB471)='Recurring Items'!$F$9)*IFERROR(N('Recurring Items'!$D$9),0)+(IF(AC471=1,'Debt Tracker'!$P$7&gt;0.01,INDEX('Debt Tracker'!$T$5:$AE$29,3,AC471-1)&gt;0.01))*('Recurring Items'!$H$10&lt;&gt;"Skip")*(DAY(AB471)='Recurring Items'!$F$10)*IFERROR(N('Recurring Items'!$D$10),0)+(IF(AC471=1,'Debt Tracker'!$P$8&gt;0.01,INDEX('Debt Tracker'!$T$5:$AE$29,4,AC471-1)&gt;0.01))*('Recurring Items'!$H$11&lt;&gt;"Skip")*(DAY(AB471)='Recurring Items'!$F$11)*IFERROR(N('Recurring Items'!$D$11),0)+(IF(AC471=1,'Debt Tracker'!$P$9&gt;0.01,INDEX('Debt Tracker'!$T$5:$AE$29,5,AC471-1)&gt;0.01))*('Recurring Items'!$H$12&lt;&gt;"Skip")*(DAY(AB471)='Recurring Items'!$F$12)*IFERROR(N('Recurring Items'!$D$12),0)+(IF(AC471=1,'Debt Tracker'!$P$10&gt;0.01,INDEX('Debt Tracker'!$T$5:$AE$29,6,AC471-1)&gt;0.01))*('Recurring Items'!$H$13&lt;&gt;"Skip")*(DAY(AB471)='Recurring Items'!$F$13)*IFERROR(N('Recurring Items'!$D$13),0)+(IF(AC471=1,'Debt Tracker'!$P$11&gt;0.01,INDEX('Debt Tracker'!$T$5:$AE$29,7,AC471-1)&gt;0.01))*('Recurring Items'!$H$14&lt;&gt;"Skip")*(DAY(AB471)='Recurring Items'!$F$14)*IFERROR(N('Recurring Items'!$D$14),0)+(IF(AC471=1,'Debt Tracker'!$P$12&gt;0.01,INDEX('Debt Tracker'!$T$5:$AE$29,8,AC471-1)&gt;0.01))*('Recurring Items'!$H$15&lt;&gt;"Skip")*(DAY(AB471)='Recurring Items'!$F$15)*IFERROR(N('Recurring Items'!$D$15),0)+(IF(AC471=1,'Debt Tracker'!$P$13&gt;0.01,INDEX('Debt Tracker'!$T$5:$AE$29,9,AC471-1)&gt;0.01))*('Recurring Items'!$H$16&lt;&gt;"Skip")*(DAY(AB471)='Recurring Items'!$F$16)*IFERROR(N('Recurring Items'!$D$16),0)+(IF(AC471=1,'Debt Tracker'!$P$14&gt;0.01,INDEX('Debt Tracker'!$T$5:$AE$29,10,AC471-1)&gt;0.01))*('Recurring Items'!$H$17&lt;&gt;"Skip")*(DAY(AB471)='Recurring Items'!$F$17)*IFERROR(N('Recurring Items'!$D$17),0)+(IF(AC471=1,'Debt Tracker'!$P$15&gt;0.01,INDEX('Debt Tracker'!$T$5:$AE$29,11,AC471-1)&gt;0.01))*('Recurring Items'!$H$18&lt;&gt;"Skip")*(DAY(AB471)='Recurring Items'!$F$18)*IFERROR(N('Recurring Items'!$D$18),0)+(IF(AC471=1,'Debt Tracker'!$P$16&gt;0.01,INDEX('Debt Tracker'!$T$5:$AE$29,12,AC471-1)&gt;0.01))*('Recurring Items'!$H$19&lt;&gt;"Skip")*(DAY(AB471)='Recurring Items'!$F$19)*IFERROR(N('Recurring Items'!$D$19),0)+(IF(AC471=1,'Debt Tracker'!$P$17&gt;0.01,INDEX('Debt Tracker'!$T$5:$AE$29,13,AC471-1)&gt;0.01))*('Recurring Items'!$H$20&lt;&gt;"Skip")*(DAY(AB471)='Recurring Items'!$F$20)*IFERROR(N('Recurring Items'!$D$20),0)+(IF(AC471=1,'Debt Tracker'!$P$18&gt;0.01,INDEX('Debt Tracker'!$T$5:$AE$29,14,AC471-1)&gt;0.01))*('Recurring Items'!$H$21&lt;&gt;"Skip")*(DAY(AB471)='Recurring Items'!$F$21)*IFERROR(N('Recurring Items'!$D$21),0)+(IF(AC471=1,'Debt Tracker'!$P$19&gt;0.01,INDEX('Debt Tracker'!$T$5:$AE$29,15,AC471-1)&gt;0.01))*('Recurring Items'!$H$22&lt;&gt;"Skip")*(DAY(AB471)='Recurring Items'!$F$22)*IFERROR(N('Recurring Items'!$D$22),0)+(IF(AC471=1,'Debt Tracker'!$P$20&gt;0.01,INDEX('Debt Tracker'!$T$5:$AE$29,16,AC471-1)&gt;0.01))*('Recurring Items'!$H$23&lt;&gt;"Skip")*(DAY(AB471)='Recurring Items'!$F$23)*IFERROR(N('Recurring Items'!$D$23),0)+(IF(AC471=1,'Debt Tracker'!$P$21&gt;0.01,INDEX('Debt Tracker'!$T$5:$AE$29,17,AC471-1)&gt;0.01))*('Recurring Items'!$H$24&lt;&gt;"Skip")*(DAY(AB471)='Recurring Items'!$F$24)*IFERROR(N('Recurring Items'!$D$24),0)+(IF(AC471=1,'Debt Tracker'!$P$22&gt;0.01,INDEX('Debt Tracker'!$T$5:$AE$29,18,AC471-1)&gt;0.01))*('Recurring Items'!$H$25&lt;&gt;"Skip")*(DAY(AB471)='Recurring Items'!$F$25)*IFERROR(N('Recurring Items'!$D$25),0)+(IF(AC471=1,'Debt Tracker'!$P$23&gt;0.01,INDEX('Debt Tracker'!$T$5:$AE$29,19,AC471-1)&gt;0.01))*('Recurring Items'!$H$26&lt;&gt;"Skip")*(DAY(AB471)='Recurring Items'!$F$26)*IFERROR(N('Recurring Items'!$D$26),0)+(IF(AC471=1,'Debt Tracker'!$P$24&gt;0.01,INDEX('Debt Tracker'!$T$5:$AE$29,20,AC471-1)&gt;0.01))*('Recurring Items'!$H$27&lt;&gt;"Skip")*(DAY(AB471)='Recurring Items'!$F$27)*IFERROR(N('Recurring Items'!$D$27),0)+(IF(AC471=1,'Debt Tracker'!$P$25&gt;0.01,INDEX('Debt Tracker'!$T$5:$AE$29,21,AC471-1)&gt;0.01))*('Recurring Items'!$H$28&lt;&gt;"Skip")*(DAY(AB471)='Recurring Items'!$F$28)*IFERROR(N('Recurring Items'!$D$28),0)+(IF(AC471=1,'Debt Tracker'!$P$26&gt;0.01,INDEX('Debt Tracker'!$T$5:$AE$29,22,AC471-1)&gt;0.01))*('Recurring Items'!$H$29&lt;&gt;"Skip")*(DAY(AB471)='Recurring Items'!$F$29)*IFERROR(N('Recurring Items'!$D$29),0)+(IF(AC471=1,'Debt Tracker'!$P$27&gt;0.01,INDEX('Debt Tracker'!$T$5:$AE$29,23,AC471-1)&gt;0.01))*('Recurring Items'!$H$30&lt;&gt;"Skip")*(DAY(AB471)='Recurring Items'!$F$30)*IFERROR(N('Recurring Items'!$D$30),0)+(IF(AC471=1,'Debt Tracker'!$P$28&gt;0.01,INDEX('Debt Tracker'!$T$5:$AE$29,24,AC471-1)&gt;0.01))*('Recurring Items'!$H$31&lt;&gt;"Skip")*(DAY(AB471)='Recurring Items'!$F$31)*IFERROR(N('Recurring Items'!$D$31),0)+(IF(AC471=1,'Debt Tracker'!$P$29&gt;0.01,INDEX('Debt Tracker'!$T$5:$AE$29,25,AC471-1)&gt;0.01))*('Recurring Items'!$H$32&lt;&gt;"Skip")*(DAY(AB471)='Recurring Items'!$F$32)*IFERROR(N('Recurring Items'!$D$32),0)</f>
        <v>0</v>
      </c>
      <c r="AG471" s="1" t="n">
        <f aca="false">AD471-AE471-AF471</f>
        <v>0</v>
      </c>
      <c r="AH471" s="1" t="n">
        <f aca="false">AH470+AG471</f>
        <v>19123.67</v>
      </c>
    </row>
    <row r="472" customFormat="false" ht="15" hidden="false" customHeight="true" outlineLevel="0" collapsed="false">
      <c r="AA472" s="1" t="n">
        <v>272</v>
      </c>
      <c r="AB472" s="145" t="n">
        <f aca="false">$D$3+272</f>
        <v>46415</v>
      </c>
      <c r="AC472" s="1" t="n">
        <f aca="false">MIN(12,1+DATEDIF($D$3,AB472,"M"))</f>
        <v>9</v>
      </c>
      <c r="AD472" s="1" t="n">
        <f aca="false">SUMPRODUCT(('Recurring Items'!$C$6:$C$56="Income")*('Recurring Items'!$H$6:$H$56&lt;&gt;"Skip")*IFERROR(N('Recurring Items'!$D$6:$D$56),0)*(('Recurring Items'!$E$6:$E$56="Monthly")*(DAY(AB472)='Recurring Items'!$F$6:$F$56)+('Recurring Items'!$E$6:$E$56="Bi-weekly")*(WEEKDAY(AB472)=IFERROR(WEEKDAY('Recurring Items'!$G$6:$G$56),0))*(MOD(AB472-IFERROR('Recurring Items'!$G$6:$G$56,0),14)=0)*(AB472&gt;=IFERROR('Recurring Items'!$G$6:$G$56,9000000000))+('Recurring Items'!$E$6:$E$56="Weekly")*(WEEKDAY(AB472)=IFERROR(WEEKDAY('Recurring Items'!$G$6:$G$56),0))*(AB472&gt;=IFERROR('Recurring Items'!$G$6:$G$56,9000000000))+('Recurring Items'!$E$6:$E$56="One-time")*(AB472='Recurring Items'!$G$6:$G$56)))</f>
        <v>2274.42</v>
      </c>
      <c r="AE472" s="1" t="n">
        <f aca="false">SUMPRODUCT(('Recurring Items'!$C$6:$C$56="Expense")*('Recurring Items'!$H$6:$H$56&lt;&gt;"Skip")*IFERROR(N('Recurring Items'!$D$6:$D$56),0)*(('Recurring Items'!$E$6:$E$56="Monthly")*(DAY(AB472)='Recurring Items'!$F$6:$F$56)+('Recurring Items'!$E$6:$E$56="Bi-weekly")*(WEEKDAY(AB472)=IFERROR(WEEKDAY('Recurring Items'!$G$6:$G$56),0))*(MOD(AB472-IFERROR('Recurring Items'!$G$6:$G$56,0),14)=0)*(AB472&gt;=IFERROR('Recurring Items'!$G$6:$G$56,9000000000))+('Recurring Items'!$E$6:$E$56="Weekly")*(WEEKDAY(AB472)=IFERROR(WEEKDAY('Recurring Items'!$G$6:$G$56),0))*(AB472&gt;=IFERROR('Recurring Items'!$G$6:$G$56,9000000000))+('Recurring Items'!$E$6:$E$56="One-time")*(AB472='Recurring Items'!$G$6:$G$56)))</f>
        <v>0</v>
      </c>
      <c r="AF472" s="1" t="n">
        <f aca="false">(IF(AC472=1,'Debt Tracker'!$P$5&gt;0.01,INDEX('Debt Tracker'!$T$5:$AE$29,1,AC472-1)&gt;0.01))*('Recurring Items'!$H$8&lt;&gt;"Skip")*(DAY(AB472)='Recurring Items'!$F$8)*IFERROR(N('Recurring Items'!$D$8),0)+(IF(AC472=1,'Debt Tracker'!$P$6&gt;0.01,INDEX('Debt Tracker'!$T$5:$AE$29,2,AC472-1)&gt;0.01))*('Recurring Items'!$H$9&lt;&gt;"Skip")*(DAY(AB472)='Recurring Items'!$F$9)*IFERROR(N('Recurring Items'!$D$9),0)+(IF(AC472=1,'Debt Tracker'!$P$7&gt;0.01,INDEX('Debt Tracker'!$T$5:$AE$29,3,AC472-1)&gt;0.01))*('Recurring Items'!$H$10&lt;&gt;"Skip")*(DAY(AB472)='Recurring Items'!$F$10)*IFERROR(N('Recurring Items'!$D$10),0)+(IF(AC472=1,'Debt Tracker'!$P$8&gt;0.01,INDEX('Debt Tracker'!$T$5:$AE$29,4,AC472-1)&gt;0.01))*('Recurring Items'!$H$11&lt;&gt;"Skip")*(DAY(AB472)='Recurring Items'!$F$11)*IFERROR(N('Recurring Items'!$D$11),0)+(IF(AC472=1,'Debt Tracker'!$P$9&gt;0.01,INDEX('Debt Tracker'!$T$5:$AE$29,5,AC472-1)&gt;0.01))*('Recurring Items'!$H$12&lt;&gt;"Skip")*(DAY(AB472)='Recurring Items'!$F$12)*IFERROR(N('Recurring Items'!$D$12),0)+(IF(AC472=1,'Debt Tracker'!$P$10&gt;0.01,INDEX('Debt Tracker'!$T$5:$AE$29,6,AC472-1)&gt;0.01))*('Recurring Items'!$H$13&lt;&gt;"Skip")*(DAY(AB472)='Recurring Items'!$F$13)*IFERROR(N('Recurring Items'!$D$13),0)+(IF(AC472=1,'Debt Tracker'!$P$11&gt;0.01,INDEX('Debt Tracker'!$T$5:$AE$29,7,AC472-1)&gt;0.01))*('Recurring Items'!$H$14&lt;&gt;"Skip")*(DAY(AB472)='Recurring Items'!$F$14)*IFERROR(N('Recurring Items'!$D$14),0)+(IF(AC472=1,'Debt Tracker'!$P$12&gt;0.01,INDEX('Debt Tracker'!$T$5:$AE$29,8,AC472-1)&gt;0.01))*('Recurring Items'!$H$15&lt;&gt;"Skip")*(DAY(AB472)='Recurring Items'!$F$15)*IFERROR(N('Recurring Items'!$D$15),0)+(IF(AC472=1,'Debt Tracker'!$P$13&gt;0.01,INDEX('Debt Tracker'!$T$5:$AE$29,9,AC472-1)&gt;0.01))*('Recurring Items'!$H$16&lt;&gt;"Skip")*(DAY(AB472)='Recurring Items'!$F$16)*IFERROR(N('Recurring Items'!$D$16),0)+(IF(AC472=1,'Debt Tracker'!$P$14&gt;0.01,INDEX('Debt Tracker'!$T$5:$AE$29,10,AC472-1)&gt;0.01))*('Recurring Items'!$H$17&lt;&gt;"Skip")*(DAY(AB472)='Recurring Items'!$F$17)*IFERROR(N('Recurring Items'!$D$17),0)+(IF(AC472=1,'Debt Tracker'!$P$15&gt;0.01,INDEX('Debt Tracker'!$T$5:$AE$29,11,AC472-1)&gt;0.01))*('Recurring Items'!$H$18&lt;&gt;"Skip")*(DAY(AB472)='Recurring Items'!$F$18)*IFERROR(N('Recurring Items'!$D$18),0)+(IF(AC472=1,'Debt Tracker'!$P$16&gt;0.01,INDEX('Debt Tracker'!$T$5:$AE$29,12,AC472-1)&gt;0.01))*('Recurring Items'!$H$19&lt;&gt;"Skip")*(DAY(AB472)='Recurring Items'!$F$19)*IFERROR(N('Recurring Items'!$D$19),0)+(IF(AC472=1,'Debt Tracker'!$P$17&gt;0.01,INDEX('Debt Tracker'!$T$5:$AE$29,13,AC472-1)&gt;0.01))*('Recurring Items'!$H$20&lt;&gt;"Skip")*(DAY(AB472)='Recurring Items'!$F$20)*IFERROR(N('Recurring Items'!$D$20),0)+(IF(AC472=1,'Debt Tracker'!$P$18&gt;0.01,INDEX('Debt Tracker'!$T$5:$AE$29,14,AC472-1)&gt;0.01))*('Recurring Items'!$H$21&lt;&gt;"Skip")*(DAY(AB472)='Recurring Items'!$F$21)*IFERROR(N('Recurring Items'!$D$21),0)+(IF(AC472=1,'Debt Tracker'!$P$19&gt;0.01,INDEX('Debt Tracker'!$T$5:$AE$29,15,AC472-1)&gt;0.01))*('Recurring Items'!$H$22&lt;&gt;"Skip")*(DAY(AB472)='Recurring Items'!$F$22)*IFERROR(N('Recurring Items'!$D$22),0)+(IF(AC472=1,'Debt Tracker'!$P$20&gt;0.01,INDEX('Debt Tracker'!$T$5:$AE$29,16,AC472-1)&gt;0.01))*('Recurring Items'!$H$23&lt;&gt;"Skip")*(DAY(AB472)='Recurring Items'!$F$23)*IFERROR(N('Recurring Items'!$D$23),0)+(IF(AC472=1,'Debt Tracker'!$P$21&gt;0.01,INDEX('Debt Tracker'!$T$5:$AE$29,17,AC472-1)&gt;0.01))*('Recurring Items'!$H$24&lt;&gt;"Skip")*(DAY(AB472)='Recurring Items'!$F$24)*IFERROR(N('Recurring Items'!$D$24),0)+(IF(AC472=1,'Debt Tracker'!$P$22&gt;0.01,INDEX('Debt Tracker'!$T$5:$AE$29,18,AC472-1)&gt;0.01))*('Recurring Items'!$H$25&lt;&gt;"Skip")*(DAY(AB472)='Recurring Items'!$F$25)*IFERROR(N('Recurring Items'!$D$25),0)+(IF(AC472=1,'Debt Tracker'!$P$23&gt;0.01,INDEX('Debt Tracker'!$T$5:$AE$29,19,AC472-1)&gt;0.01))*('Recurring Items'!$H$26&lt;&gt;"Skip")*(DAY(AB472)='Recurring Items'!$F$26)*IFERROR(N('Recurring Items'!$D$26),0)+(IF(AC472=1,'Debt Tracker'!$P$24&gt;0.01,INDEX('Debt Tracker'!$T$5:$AE$29,20,AC472-1)&gt;0.01))*('Recurring Items'!$H$27&lt;&gt;"Skip")*(DAY(AB472)='Recurring Items'!$F$27)*IFERROR(N('Recurring Items'!$D$27),0)+(IF(AC472=1,'Debt Tracker'!$P$25&gt;0.01,INDEX('Debt Tracker'!$T$5:$AE$29,21,AC472-1)&gt;0.01))*('Recurring Items'!$H$28&lt;&gt;"Skip")*(DAY(AB472)='Recurring Items'!$F$28)*IFERROR(N('Recurring Items'!$D$28),0)+(IF(AC472=1,'Debt Tracker'!$P$26&gt;0.01,INDEX('Debt Tracker'!$T$5:$AE$29,22,AC472-1)&gt;0.01))*('Recurring Items'!$H$29&lt;&gt;"Skip")*(DAY(AB472)='Recurring Items'!$F$29)*IFERROR(N('Recurring Items'!$D$29),0)+(IF(AC472=1,'Debt Tracker'!$P$27&gt;0.01,INDEX('Debt Tracker'!$T$5:$AE$29,23,AC472-1)&gt;0.01))*('Recurring Items'!$H$30&lt;&gt;"Skip")*(DAY(AB472)='Recurring Items'!$F$30)*IFERROR(N('Recurring Items'!$D$30),0)+(IF(AC472=1,'Debt Tracker'!$P$28&gt;0.01,INDEX('Debt Tracker'!$T$5:$AE$29,24,AC472-1)&gt;0.01))*('Recurring Items'!$H$31&lt;&gt;"Skip")*(DAY(AB472)='Recurring Items'!$F$31)*IFERROR(N('Recurring Items'!$D$31),0)+(IF(AC472=1,'Debt Tracker'!$P$29&gt;0.01,INDEX('Debt Tracker'!$T$5:$AE$29,25,AC472-1)&gt;0.01))*('Recurring Items'!$H$32&lt;&gt;"Skip")*(DAY(AB472)='Recurring Items'!$F$32)*IFERROR(N('Recurring Items'!$D$32),0)</f>
        <v>0</v>
      </c>
      <c r="AG472" s="1" t="n">
        <f aca="false">AD472-AE472-AF472</f>
        <v>2274.42</v>
      </c>
      <c r="AH472" s="1" t="n">
        <f aca="false">AH471+AG472</f>
        <v>21398.09</v>
      </c>
    </row>
    <row r="473" customFormat="false" ht="15" hidden="false" customHeight="true" outlineLevel="0" collapsed="false">
      <c r="AA473" s="1" t="n">
        <v>273</v>
      </c>
      <c r="AB473" s="145" t="n">
        <f aca="false">$D$3+273</f>
        <v>46416</v>
      </c>
      <c r="AC473" s="1" t="n">
        <f aca="false">MIN(12,1+DATEDIF($D$3,AB473,"M"))</f>
        <v>9</v>
      </c>
      <c r="AD473" s="1" t="n">
        <f aca="false">SUMPRODUCT(('Recurring Items'!$C$6:$C$56="Income")*('Recurring Items'!$H$6:$H$56&lt;&gt;"Skip")*IFERROR(N('Recurring Items'!$D$6:$D$56),0)*(('Recurring Items'!$E$6:$E$56="Monthly")*(DAY(AB473)='Recurring Items'!$F$6:$F$56)+('Recurring Items'!$E$6:$E$56="Bi-weekly")*(WEEKDAY(AB473)=IFERROR(WEEKDAY('Recurring Items'!$G$6:$G$56),0))*(MOD(AB473-IFERROR('Recurring Items'!$G$6:$G$56,0),14)=0)*(AB473&gt;=IFERROR('Recurring Items'!$G$6:$G$56,9000000000))+('Recurring Items'!$E$6:$E$56="Weekly")*(WEEKDAY(AB473)=IFERROR(WEEKDAY('Recurring Items'!$G$6:$G$56),0))*(AB473&gt;=IFERROR('Recurring Items'!$G$6:$G$56,9000000000))+('Recurring Items'!$E$6:$E$56="One-time")*(AB473='Recurring Items'!$G$6:$G$56)))</f>
        <v>0</v>
      </c>
      <c r="AE473" s="1" t="n">
        <f aca="false">SUMPRODUCT(('Recurring Items'!$C$6:$C$56="Expense")*('Recurring Items'!$H$6:$H$56&lt;&gt;"Skip")*IFERROR(N('Recurring Items'!$D$6:$D$56),0)*(('Recurring Items'!$E$6:$E$56="Monthly")*(DAY(AB473)='Recurring Items'!$F$6:$F$56)+('Recurring Items'!$E$6:$E$56="Bi-weekly")*(WEEKDAY(AB473)=IFERROR(WEEKDAY('Recurring Items'!$G$6:$G$56),0))*(MOD(AB473-IFERROR('Recurring Items'!$G$6:$G$56,0),14)=0)*(AB473&gt;=IFERROR('Recurring Items'!$G$6:$G$56,9000000000))+('Recurring Items'!$E$6:$E$56="Weekly")*(WEEKDAY(AB473)=IFERROR(WEEKDAY('Recurring Items'!$G$6:$G$56),0))*(AB473&gt;=IFERROR('Recurring Items'!$G$6:$G$56,9000000000))+('Recurring Items'!$E$6:$E$56="One-time")*(AB473='Recurring Items'!$G$6:$G$56)))</f>
        <v>697.58</v>
      </c>
      <c r="AF473" s="1" t="n">
        <f aca="false">(IF(AC473=1,'Debt Tracker'!$P$5&gt;0.01,INDEX('Debt Tracker'!$T$5:$AE$29,1,AC473-1)&gt;0.01))*('Recurring Items'!$H$8&lt;&gt;"Skip")*(DAY(AB473)='Recurring Items'!$F$8)*IFERROR(N('Recurring Items'!$D$8),0)+(IF(AC473=1,'Debt Tracker'!$P$6&gt;0.01,INDEX('Debt Tracker'!$T$5:$AE$29,2,AC473-1)&gt;0.01))*('Recurring Items'!$H$9&lt;&gt;"Skip")*(DAY(AB473)='Recurring Items'!$F$9)*IFERROR(N('Recurring Items'!$D$9),0)+(IF(AC473=1,'Debt Tracker'!$P$7&gt;0.01,INDEX('Debt Tracker'!$T$5:$AE$29,3,AC473-1)&gt;0.01))*('Recurring Items'!$H$10&lt;&gt;"Skip")*(DAY(AB473)='Recurring Items'!$F$10)*IFERROR(N('Recurring Items'!$D$10),0)+(IF(AC473=1,'Debt Tracker'!$P$8&gt;0.01,INDEX('Debt Tracker'!$T$5:$AE$29,4,AC473-1)&gt;0.01))*('Recurring Items'!$H$11&lt;&gt;"Skip")*(DAY(AB473)='Recurring Items'!$F$11)*IFERROR(N('Recurring Items'!$D$11),0)+(IF(AC473=1,'Debt Tracker'!$P$9&gt;0.01,INDEX('Debt Tracker'!$T$5:$AE$29,5,AC473-1)&gt;0.01))*('Recurring Items'!$H$12&lt;&gt;"Skip")*(DAY(AB473)='Recurring Items'!$F$12)*IFERROR(N('Recurring Items'!$D$12),0)+(IF(AC473=1,'Debt Tracker'!$P$10&gt;0.01,INDEX('Debt Tracker'!$T$5:$AE$29,6,AC473-1)&gt;0.01))*('Recurring Items'!$H$13&lt;&gt;"Skip")*(DAY(AB473)='Recurring Items'!$F$13)*IFERROR(N('Recurring Items'!$D$13),0)+(IF(AC473=1,'Debt Tracker'!$P$11&gt;0.01,INDEX('Debt Tracker'!$T$5:$AE$29,7,AC473-1)&gt;0.01))*('Recurring Items'!$H$14&lt;&gt;"Skip")*(DAY(AB473)='Recurring Items'!$F$14)*IFERROR(N('Recurring Items'!$D$14),0)+(IF(AC473=1,'Debt Tracker'!$P$12&gt;0.01,INDEX('Debt Tracker'!$T$5:$AE$29,8,AC473-1)&gt;0.01))*('Recurring Items'!$H$15&lt;&gt;"Skip")*(DAY(AB473)='Recurring Items'!$F$15)*IFERROR(N('Recurring Items'!$D$15),0)+(IF(AC473=1,'Debt Tracker'!$P$13&gt;0.01,INDEX('Debt Tracker'!$T$5:$AE$29,9,AC473-1)&gt;0.01))*('Recurring Items'!$H$16&lt;&gt;"Skip")*(DAY(AB473)='Recurring Items'!$F$16)*IFERROR(N('Recurring Items'!$D$16),0)+(IF(AC473=1,'Debt Tracker'!$P$14&gt;0.01,INDEX('Debt Tracker'!$T$5:$AE$29,10,AC473-1)&gt;0.01))*('Recurring Items'!$H$17&lt;&gt;"Skip")*(DAY(AB473)='Recurring Items'!$F$17)*IFERROR(N('Recurring Items'!$D$17),0)+(IF(AC473=1,'Debt Tracker'!$P$15&gt;0.01,INDEX('Debt Tracker'!$T$5:$AE$29,11,AC473-1)&gt;0.01))*('Recurring Items'!$H$18&lt;&gt;"Skip")*(DAY(AB473)='Recurring Items'!$F$18)*IFERROR(N('Recurring Items'!$D$18),0)+(IF(AC473=1,'Debt Tracker'!$P$16&gt;0.01,INDEX('Debt Tracker'!$T$5:$AE$29,12,AC473-1)&gt;0.01))*('Recurring Items'!$H$19&lt;&gt;"Skip")*(DAY(AB473)='Recurring Items'!$F$19)*IFERROR(N('Recurring Items'!$D$19),0)+(IF(AC473=1,'Debt Tracker'!$P$17&gt;0.01,INDEX('Debt Tracker'!$T$5:$AE$29,13,AC473-1)&gt;0.01))*('Recurring Items'!$H$20&lt;&gt;"Skip")*(DAY(AB473)='Recurring Items'!$F$20)*IFERROR(N('Recurring Items'!$D$20),0)+(IF(AC473=1,'Debt Tracker'!$P$18&gt;0.01,INDEX('Debt Tracker'!$T$5:$AE$29,14,AC473-1)&gt;0.01))*('Recurring Items'!$H$21&lt;&gt;"Skip")*(DAY(AB473)='Recurring Items'!$F$21)*IFERROR(N('Recurring Items'!$D$21),0)+(IF(AC473=1,'Debt Tracker'!$P$19&gt;0.01,INDEX('Debt Tracker'!$T$5:$AE$29,15,AC473-1)&gt;0.01))*('Recurring Items'!$H$22&lt;&gt;"Skip")*(DAY(AB473)='Recurring Items'!$F$22)*IFERROR(N('Recurring Items'!$D$22),0)+(IF(AC473=1,'Debt Tracker'!$P$20&gt;0.01,INDEX('Debt Tracker'!$T$5:$AE$29,16,AC473-1)&gt;0.01))*('Recurring Items'!$H$23&lt;&gt;"Skip")*(DAY(AB473)='Recurring Items'!$F$23)*IFERROR(N('Recurring Items'!$D$23),0)+(IF(AC473=1,'Debt Tracker'!$P$21&gt;0.01,INDEX('Debt Tracker'!$T$5:$AE$29,17,AC473-1)&gt;0.01))*('Recurring Items'!$H$24&lt;&gt;"Skip")*(DAY(AB473)='Recurring Items'!$F$24)*IFERROR(N('Recurring Items'!$D$24),0)+(IF(AC473=1,'Debt Tracker'!$P$22&gt;0.01,INDEX('Debt Tracker'!$T$5:$AE$29,18,AC473-1)&gt;0.01))*('Recurring Items'!$H$25&lt;&gt;"Skip")*(DAY(AB473)='Recurring Items'!$F$25)*IFERROR(N('Recurring Items'!$D$25),0)+(IF(AC473=1,'Debt Tracker'!$P$23&gt;0.01,INDEX('Debt Tracker'!$T$5:$AE$29,19,AC473-1)&gt;0.01))*('Recurring Items'!$H$26&lt;&gt;"Skip")*(DAY(AB473)='Recurring Items'!$F$26)*IFERROR(N('Recurring Items'!$D$26),0)+(IF(AC473=1,'Debt Tracker'!$P$24&gt;0.01,INDEX('Debt Tracker'!$T$5:$AE$29,20,AC473-1)&gt;0.01))*('Recurring Items'!$H$27&lt;&gt;"Skip")*(DAY(AB473)='Recurring Items'!$F$27)*IFERROR(N('Recurring Items'!$D$27),0)+(IF(AC473=1,'Debt Tracker'!$P$25&gt;0.01,INDEX('Debt Tracker'!$T$5:$AE$29,21,AC473-1)&gt;0.01))*('Recurring Items'!$H$28&lt;&gt;"Skip")*(DAY(AB473)='Recurring Items'!$F$28)*IFERROR(N('Recurring Items'!$D$28),0)+(IF(AC473=1,'Debt Tracker'!$P$26&gt;0.01,INDEX('Debt Tracker'!$T$5:$AE$29,22,AC473-1)&gt;0.01))*('Recurring Items'!$H$29&lt;&gt;"Skip")*(DAY(AB473)='Recurring Items'!$F$29)*IFERROR(N('Recurring Items'!$D$29),0)+(IF(AC473=1,'Debt Tracker'!$P$27&gt;0.01,INDEX('Debt Tracker'!$T$5:$AE$29,23,AC473-1)&gt;0.01))*('Recurring Items'!$H$30&lt;&gt;"Skip")*(DAY(AB473)='Recurring Items'!$F$30)*IFERROR(N('Recurring Items'!$D$30),0)+(IF(AC473=1,'Debt Tracker'!$P$28&gt;0.01,INDEX('Debt Tracker'!$T$5:$AE$29,24,AC473-1)&gt;0.01))*('Recurring Items'!$H$31&lt;&gt;"Skip")*(DAY(AB473)='Recurring Items'!$F$31)*IFERROR(N('Recurring Items'!$D$31),0)+(IF(AC473=1,'Debt Tracker'!$P$29&gt;0.01,INDEX('Debt Tracker'!$T$5:$AE$29,25,AC473-1)&gt;0.01))*('Recurring Items'!$H$32&lt;&gt;"Skip")*(DAY(AB473)='Recurring Items'!$F$32)*IFERROR(N('Recurring Items'!$D$32),0)</f>
        <v>206.43</v>
      </c>
      <c r="AG473" s="1" t="n">
        <f aca="false">AD473-AE473-AF473</f>
        <v>-904.01</v>
      </c>
      <c r="AH473" s="1" t="n">
        <f aca="false">AH472+AG473</f>
        <v>20494.08</v>
      </c>
    </row>
    <row r="474" customFormat="false" ht="15" hidden="false" customHeight="true" outlineLevel="0" collapsed="false">
      <c r="AA474" s="1" t="n">
        <v>274</v>
      </c>
      <c r="AB474" s="145" t="n">
        <f aca="false">$D$3+274</f>
        <v>46417</v>
      </c>
      <c r="AC474" s="1" t="n">
        <f aca="false">MIN(12,1+DATEDIF($D$3,AB474,"M"))</f>
        <v>9</v>
      </c>
      <c r="AD474" s="1" t="n">
        <f aca="false">SUMPRODUCT(('Recurring Items'!$C$6:$C$56="Income")*('Recurring Items'!$H$6:$H$56&lt;&gt;"Skip")*IFERROR(N('Recurring Items'!$D$6:$D$56),0)*(('Recurring Items'!$E$6:$E$56="Monthly")*(DAY(AB474)='Recurring Items'!$F$6:$F$56)+('Recurring Items'!$E$6:$E$56="Bi-weekly")*(WEEKDAY(AB474)=IFERROR(WEEKDAY('Recurring Items'!$G$6:$G$56),0))*(MOD(AB474-IFERROR('Recurring Items'!$G$6:$G$56,0),14)=0)*(AB474&gt;=IFERROR('Recurring Items'!$G$6:$G$56,9000000000))+('Recurring Items'!$E$6:$E$56="Weekly")*(WEEKDAY(AB474)=IFERROR(WEEKDAY('Recurring Items'!$G$6:$G$56),0))*(AB474&gt;=IFERROR('Recurring Items'!$G$6:$G$56,9000000000))+('Recurring Items'!$E$6:$E$56="One-time")*(AB474='Recurring Items'!$G$6:$G$56)))</f>
        <v>0</v>
      </c>
      <c r="AE474" s="1" t="n">
        <f aca="false">SUMPRODUCT(('Recurring Items'!$C$6:$C$56="Expense")*('Recurring Items'!$H$6:$H$56&lt;&gt;"Skip")*IFERROR(N('Recurring Items'!$D$6:$D$56),0)*(('Recurring Items'!$E$6:$E$56="Monthly")*(DAY(AB474)='Recurring Items'!$F$6:$F$56)+('Recurring Items'!$E$6:$E$56="Bi-weekly")*(WEEKDAY(AB474)=IFERROR(WEEKDAY('Recurring Items'!$G$6:$G$56),0))*(MOD(AB474-IFERROR('Recurring Items'!$G$6:$G$56,0),14)=0)*(AB474&gt;=IFERROR('Recurring Items'!$G$6:$G$56,9000000000))+('Recurring Items'!$E$6:$E$56="Weekly")*(WEEKDAY(AB474)=IFERROR(WEEKDAY('Recurring Items'!$G$6:$G$56),0))*(AB474&gt;=IFERROR('Recurring Items'!$G$6:$G$56,9000000000))+('Recurring Items'!$E$6:$E$56="One-time")*(AB474='Recurring Items'!$G$6:$G$56)))</f>
        <v>0</v>
      </c>
      <c r="AF474" s="1" t="n">
        <f aca="false">(IF(AC474=1,'Debt Tracker'!$P$5&gt;0.01,INDEX('Debt Tracker'!$T$5:$AE$29,1,AC474-1)&gt;0.01))*('Recurring Items'!$H$8&lt;&gt;"Skip")*(DAY(AB474)='Recurring Items'!$F$8)*IFERROR(N('Recurring Items'!$D$8),0)+(IF(AC474=1,'Debt Tracker'!$P$6&gt;0.01,INDEX('Debt Tracker'!$T$5:$AE$29,2,AC474-1)&gt;0.01))*('Recurring Items'!$H$9&lt;&gt;"Skip")*(DAY(AB474)='Recurring Items'!$F$9)*IFERROR(N('Recurring Items'!$D$9),0)+(IF(AC474=1,'Debt Tracker'!$P$7&gt;0.01,INDEX('Debt Tracker'!$T$5:$AE$29,3,AC474-1)&gt;0.01))*('Recurring Items'!$H$10&lt;&gt;"Skip")*(DAY(AB474)='Recurring Items'!$F$10)*IFERROR(N('Recurring Items'!$D$10),0)+(IF(AC474=1,'Debt Tracker'!$P$8&gt;0.01,INDEX('Debt Tracker'!$T$5:$AE$29,4,AC474-1)&gt;0.01))*('Recurring Items'!$H$11&lt;&gt;"Skip")*(DAY(AB474)='Recurring Items'!$F$11)*IFERROR(N('Recurring Items'!$D$11),0)+(IF(AC474=1,'Debt Tracker'!$P$9&gt;0.01,INDEX('Debt Tracker'!$T$5:$AE$29,5,AC474-1)&gt;0.01))*('Recurring Items'!$H$12&lt;&gt;"Skip")*(DAY(AB474)='Recurring Items'!$F$12)*IFERROR(N('Recurring Items'!$D$12),0)+(IF(AC474=1,'Debt Tracker'!$P$10&gt;0.01,INDEX('Debt Tracker'!$T$5:$AE$29,6,AC474-1)&gt;0.01))*('Recurring Items'!$H$13&lt;&gt;"Skip")*(DAY(AB474)='Recurring Items'!$F$13)*IFERROR(N('Recurring Items'!$D$13),0)+(IF(AC474=1,'Debt Tracker'!$P$11&gt;0.01,INDEX('Debt Tracker'!$T$5:$AE$29,7,AC474-1)&gt;0.01))*('Recurring Items'!$H$14&lt;&gt;"Skip")*(DAY(AB474)='Recurring Items'!$F$14)*IFERROR(N('Recurring Items'!$D$14),0)+(IF(AC474=1,'Debt Tracker'!$P$12&gt;0.01,INDEX('Debt Tracker'!$T$5:$AE$29,8,AC474-1)&gt;0.01))*('Recurring Items'!$H$15&lt;&gt;"Skip")*(DAY(AB474)='Recurring Items'!$F$15)*IFERROR(N('Recurring Items'!$D$15),0)+(IF(AC474=1,'Debt Tracker'!$P$13&gt;0.01,INDEX('Debt Tracker'!$T$5:$AE$29,9,AC474-1)&gt;0.01))*('Recurring Items'!$H$16&lt;&gt;"Skip")*(DAY(AB474)='Recurring Items'!$F$16)*IFERROR(N('Recurring Items'!$D$16),0)+(IF(AC474=1,'Debt Tracker'!$P$14&gt;0.01,INDEX('Debt Tracker'!$T$5:$AE$29,10,AC474-1)&gt;0.01))*('Recurring Items'!$H$17&lt;&gt;"Skip")*(DAY(AB474)='Recurring Items'!$F$17)*IFERROR(N('Recurring Items'!$D$17),0)+(IF(AC474=1,'Debt Tracker'!$P$15&gt;0.01,INDEX('Debt Tracker'!$T$5:$AE$29,11,AC474-1)&gt;0.01))*('Recurring Items'!$H$18&lt;&gt;"Skip")*(DAY(AB474)='Recurring Items'!$F$18)*IFERROR(N('Recurring Items'!$D$18),0)+(IF(AC474=1,'Debt Tracker'!$P$16&gt;0.01,INDEX('Debt Tracker'!$T$5:$AE$29,12,AC474-1)&gt;0.01))*('Recurring Items'!$H$19&lt;&gt;"Skip")*(DAY(AB474)='Recurring Items'!$F$19)*IFERROR(N('Recurring Items'!$D$19),0)+(IF(AC474=1,'Debt Tracker'!$P$17&gt;0.01,INDEX('Debt Tracker'!$T$5:$AE$29,13,AC474-1)&gt;0.01))*('Recurring Items'!$H$20&lt;&gt;"Skip")*(DAY(AB474)='Recurring Items'!$F$20)*IFERROR(N('Recurring Items'!$D$20),0)+(IF(AC474=1,'Debt Tracker'!$P$18&gt;0.01,INDEX('Debt Tracker'!$T$5:$AE$29,14,AC474-1)&gt;0.01))*('Recurring Items'!$H$21&lt;&gt;"Skip")*(DAY(AB474)='Recurring Items'!$F$21)*IFERROR(N('Recurring Items'!$D$21),0)+(IF(AC474=1,'Debt Tracker'!$P$19&gt;0.01,INDEX('Debt Tracker'!$T$5:$AE$29,15,AC474-1)&gt;0.01))*('Recurring Items'!$H$22&lt;&gt;"Skip")*(DAY(AB474)='Recurring Items'!$F$22)*IFERROR(N('Recurring Items'!$D$22),0)+(IF(AC474=1,'Debt Tracker'!$P$20&gt;0.01,INDEX('Debt Tracker'!$T$5:$AE$29,16,AC474-1)&gt;0.01))*('Recurring Items'!$H$23&lt;&gt;"Skip")*(DAY(AB474)='Recurring Items'!$F$23)*IFERROR(N('Recurring Items'!$D$23),0)+(IF(AC474=1,'Debt Tracker'!$P$21&gt;0.01,INDEX('Debt Tracker'!$T$5:$AE$29,17,AC474-1)&gt;0.01))*('Recurring Items'!$H$24&lt;&gt;"Skip")*(DAY(AB474)='Recurring Items'!$F$24)*IFERROR(N('Recurring Items'!$D$24),0)+(IF(AC474=1,'Debt Tracker'!$P$22&gt;0.01,INDEX('Debt Tracker'!$T$5:$AE$29,18,AC474-1)&gt;0.01))*('Recurring Items'!$H$25&lt;&gt;"Skip")*(DAY(AB474)='Recurring Items'!$F$25)*IFERROR(N('Recurring Items'!$D$25),0)+(IF(AC474=1,'Debt Tracker'!$P$23&gt;0.01,INDEX('Debt Tracker'!$T$5:$AE$29,19,AC474-1)&gt;0.01))*('Recurring Items'!$H$26&lt;&gt;"Skip")*(DAY(AB474)='Recurring Items'!$F$26)*IFERROR(N('Recurring Items'!$D$26),0)+(IF(AC474=1,'Debt Tracker'!$P$24&gt;0.01,INDEX('Debt Tracker'!$T$5:$AE$29,20,AC474-1)&gt;0.01))*('Recurring Items'!$H$27&lt;&gt;"Skip")*(DAY(AB474)='Recurring Items'!$F$27)*IFERROR(N('Recurring Items'!$D$27),0)+(IF(AC474=1,'Debt Tracker'!$P$25&gt;0.01,INDEX('Debt Tracker'!$T$5:$AE$29,21,AC474-1)&gt;0.01))*('Recurring Items'!$H$28&lt;&gt;"Skip")*(DAY(AB474)='Recurring Items'!$F$28)*IFERROR(N('Recurring Items'!$D$28),0)+(IF(AC474=1,'Debt Tracker'!$P$26&gt;0.01,INDEX('Debt Tracker'!$T$5:$AE$29,22,AC474-1)&gt;0.01))*('Recurring Items'!$H$29&lt;&gt;"Skip")*(DAY(AB474)='Recurring Items'!$F$29)*IFERROR(N('Recurring Items'!$D$29),0)+(IF(AC474=1,'Debt Tracker'!$P$27&gt;0.01,INDEX('Debt Tracker'!$T$5:$AE$29,23,AC474-1)&gt;0.01))*('Recurring Items'!$H$30&lt;&gt;"Skip")*(DAY(AB474)='Recurring Items'!$F$30)*IFERROR(N('Recurring Items'!$D$30),0)+(IF(AC474=1,'Debt Tracker'!$P$28&gt;0.01,INDEX('Debt Tracker'!$T$5:$AE$29,24,AC474-1)&gt;0.01))*('Recurring Items'!$H$31&lt;&gt;"Skip")*(DAY(AB474)='Recurring Items'!$F$31)*IFERROR(N('Recurring Items'!$D$31),0)+(IF(AC474=1,'Debt Tracker'!$P$29&gt;0.01,INDEX('Debt Tracker'!$T$5:$AE$29,25,AC474-1)&gt;0.01))*('Recurring Items'!$H$32&lt;&gt;"Skip")*(DAY(AB474)='Recurring Items'!$F$32)*IFERROR(N('Recurring Items'!$D$32),0)</f>
        <v>0</v>
      </c>
      <c r="AG474" s="1" t="n">
        <f aca="false">AD474-AE474-AF474</f>
        <v>0</v>
      </c>
      <c r="AH474" s="1" t="n">
        <f aca="false">AH473+AG474</f>
        <v>20494.08</v>
      </c>
    </row>
    <row r="475" customFormat="false" ht="15" hidden="false" customHeight="true" outlineLevel="0" collapsed="false">
      <c r="AA475" s="1" t="n">
        <v>275</v>
      </c>
      <c r="AB475" s="145" t="n">
        <f aca="false">$D$3+275</f>
        <v>46418</v>
      </c>
      <c r="AC475" s="1" t="n">
        <f aca="false">MIN(12,1+DATEDIF($D$3,AB475,"M"))</f>
        <v>9</v>
      </c>
      <c r="AD475" s="1" t="n">
        <f aca="false">SUMPRODUCT(('Recurring Items'!$C$6:$C$56="Income")*('Recurring Items'!$H$6:$H$56&lt;&gt;"Skip")*IFERROR(N('Recurring Items'!$D$6:$D$56),0)*(('Recurring Items'!$E$6:$E$56="Monthly")*(DAY(AB475)='Recurring Items'!$F$6:$F$56)+('Recurring Items'!$E$6:$E$56="Bi-weekly")*(WEEKDAY(AB475)=IFERROR(WEEKDAY('Recurring Items'!$G$6:$G$56),0))*(MOD(AB475-IFERROR('Recurring Items'!$G$6:$G$56,0),14)=0)*(AB475&gt;=IFERROR('Recurring Items'!$G$6:$G$56,9000000000))+('Recurring Items'!$E$6:$E$56="Weekly")*(WEEKDAY(AB475)=IFERROR(WEEKDAY('Recurring Items'!$G$6:$G$56),0))*(AB475&gt;=IFERROR('Recurring Items'!$G$6:$G$56,9000000000))+('Recurring Items'!$E$6:$E$56="One-time")*(AB475='Recurring Items'!$G$6:$G$56)))</f>
        <v>0</v>
      </c>
      <c r="AE475" s="1" t="n">
        <f aca="false">SUMPRODUCT(('Recurring Items'!$C$6:$C$56="Expense")*('Recurring Items'!$H$6:$H$56&lt;&gt;"Skip")*IFERROR(N('Recurring Items'!$D$6:$D$56),0)*(('Recurring Items'!$E$6:$E$56="Monthly")*(DAY(AB475)='Recurring Items'!$F$6:$F$56)+('Recurring Items'!$E$6:$E$56="Bi-weekly")*(WEEKDAY(AB475)=IFERROR(WEEKDAY('Recurring Items'!$G$6:$G$56),0))*(MOD(AB475-IFERROR('Recurring Items'!$G$6:$G$56,0),14)=0)*(AB475&gt;=IFERROR('Recurring Items'!$G$6:$G$56,9000000000))+('Recurring Items'!$E$6:$E$56="Weekly")*(WEEKDAY(AB475)=IFERROR(WEEKDAY('Recurring Items'!$G$6:$G$56),0))*(AB475&gt;=IFERROR('Recurring Items'!$G$6:$G$56,9000000000))+('Recurring Items'!$E$6:$E$56="One-time")*(AB475='Recurring Items'!$G$6:$G$56)))</f>
        <v>0</v>
      </c>
      <c r="AF475" s="1" t="n">
        <f aca="false">(IF(AC475=1,'Debt Tracker'!$P$5&gt;0.01,INDEX('Debt Tracker'!$T$5:$AE$29,1,AC475-1)&gt;0.01))*('Recurring Items'!$H$8&lt;&gt;"Skip")*(DAY(AB475)='Recurring Items'!$F$8)*IFERROR(N('Recurring Items'!$D$8),0)+(IF(AC475=1,'Debt Tracker'!$P$6&gt;0.01,INDEX('Debt Tracker'!$T$5:$AE$29,2,AC475-1)&gt;0.01))*('Recurring Items'!$H$9&lt;&gt;"Skip")*(DAY(AB475)='Recurring Items'!$F$9)*IFERROR(N('Recurring Items'!$D$9),0)+(IF(AC475=1,'Debt Tracker'!$P$7&gt;0.01,INDEX('Debt Tracker'!$T$5:$AE$29,3,AC475-1)&gt;0.01))*('Recurring Items'!$H$10&lt;&gt;"Skip")*(DAY(AB475)='Recurring Items'!$F$10)*IFERROR(N('Recurring Items'!$D$10),0)+(IF(AC475=1,'Debt Tracker'!$P$8&gt;0.01,INDEX('Debt Tracker'!$T$5:$AE$29,4,AC475-1)&gt;0.01))*('Recurring Items'!$H$11&lt;&gt;"Skip")*(DAY(AB475)='Recurring Items'!$F$11)*IFERROR(N('Recurring Items'!$D$11),0)+(IF(AC475=1,'Debt Tracker'!$P$9&gt;0.01,INDEX('Debt Tracker'!$T$5:$AE$29,5,AC475-1)&gt;0.01))*('Recurring Items'!$H$12&lt;&gt;"Skip")*(DAY(AB475)='Recurring Items'!$F$12)*IFERROR(N('Recurring Items'!$D$12),0)+(IF(AC475=1,'Debt Tracker'!$P$10&gt;0.01,INDEX('Debt Tracker'!$T$5:$AE$29,6,AC475-1)&gt;0.01))*('Recurring Items'!$H$13&lt;&gt;"Skip")*(DAY(AB475)='Recurring Items'!$F$13)*IFERROR(N('Recurring Items'!$D$13),0)+(IF(AC475=1,'Debt Tracker'!$P$11&gt;0.01,INDEX('Debt Tracker'!$T$5:$AE$29,7,AC475-1)&gt;0.01))*('Recurring Items'!$H$14&lt;&gt;"Skip")*(DAY(AB475)='Recurring Items'!$F$14)*IFERROR(N('Recurring Items'!$D$14),0)+(IF(AC475=1,'Debt Tracker'!$P$12&gt;0.01,INDEX('Debt Tracker'!$T$5:$AE$29,8,AC475-1)&gt;0.01))*('Recurring Items'!$H$15&lt;&gt;"Skip")*(DAY(AB475)='Recurring Items'!$F$15)*IFERROR(N('Recurring Items'!$D$15),0)+(IF(AC475=1,'Debt Tracker'!$P$13&gt;0.01,INDEX('Debt Tracker'!$T$5:$AE$29,9,AC475-1)&gt;0.01))*('Recurring Items'!$H$16&lt;&gt;"Skip")*(DAY(AB475)='Recurring Items'!$F$16)*IFERROR(N('Recurring Items'!$D$16),0)+(IF(AC475=1,'Debt Tracker'!$P$14&gt;0.01,INDEX('Debt Tracker'!$T$5:$AE$29,10,AC475-1)&gt;0.01))*('Recurring Items'!$H$17&lt;&gt;"Skip")*(DAY(AB475)='Recurring Items'!$F$17)*IFERROR(N('Recurring Items'!$D$17),0)+(IF(AC475=1,'Debt Tracker'!$P$15&gt;0.01,INDEX('Debt Tracker'!$T$5:$AE$29,11,AC475-1)&gt;0.01))*('Recurring Items'!$H$18&lt;&gt;"Skip")*(DAY(AB475)='Recurring Items'!$F$18)*IFERROR(N('Recurring Items'!$D$18),0)+(IF(AC475=1,'Debt Tracker'!$P$16&gt;0.01,INDEX('Debt Tracker'!$T$5:$AE$29,12,AC475-1)&gt;0.01))*('Recurring Items'!$H$19&lt;&gt;"Skip")*(DAY(AB475)='Recurring Items'!$F$19)*IFERROR(N('Recurring Items'!$D$19),0)+(IF(AC475=1,'Debt Tracker'!$P$17&gt;0.01,INDEX('Debt Tracker'!$T$5:$AE$29,13,AC475-1)&gt;0.01))*('Recurring Items'!$H$20&lt;&gt;"Skip")*(DAY(AB475)='Recurring Items'!$F$20)*IFERROR(N('Recurring Items'!$D$20),0)+(IF(AC475=1,'Debt Tracker'!$P$18&gt;0.01,INDEX('Debt Tracker'!$T$5:$AE$29,14,AC475-1)&gt;0.01))*('Recurring Items'!$H$21&lt;&gt;"Skip")*(DAY(AB475)='Recurring Items'!$F$21)*IFERROR(N('Recurring Items'!$D$21),0)+(IF(AC475=1,'Debt Tracker'!$P$19&gt;0.01,INDEX('Debt Tracker'!$T$5:$AE$29,15,AC475-1)&gt;0.01))*('Recurring Items'!$H$22&lt;&gt;"Skip")*(DAY(AB475)='Recurring Items'!$F$22)*IFERROR(N('Recurring Items'!$D$22),0)+(IF(AC475=1,'Debt Tracker'!$P$20&gt;0.01,INDEX('Debt Tracker'!$T$5:$AE$29,16,AC475-1)&gt;0.01))*('Recurring Items'!$H$23&lt;&gt;"Skip")*(DAY(AB475)='Recurring Items'!$F$23)*IFERROR(N('Recurring Items'!$D$23),0)+(IF(AC475=1,'Debt Tracker'!$P$21&gt;0.01,INDEX('Debt Tracker'!$T$5:$AE$29,17,AC475-1)&gt;0.01))*('Recurring Items'!$H$24&lt;&gt;"Skip")*(DAY(AB475)='Recurring Items'!$F$24)*IFERROR(N('Recurring Items'!$D$24),0)+(IF(AC475=1,'Debt Tracker'!$P$22&gt;0.01,INDEX('Debt Tracker'!$T$5:$AE$29,18,AC475-1)&gt;0.01))*('Recurring Items'!$H$25&lt;&gt;"Skip")*(DAY(AB475)='Recurring Items'!$F$25)*IFERROR(N('Recurring Items'!$D$25),0)+(IF(AC475=1,'Debt Tracker'!$P$23&gt;0.01,INDEX('Debt Tracker'!$T$5:$AE$29,19,AC475-1)&gt;0.01))*('Recurring Items'!$H$26&lt;&gt;"Skip")*(DAY(AB475)='Recurring Items'!$F$26)*IFERROR(N('Recurring Items'!$D$26),0)+(IF(AC475=1,'Debt Tracker'!$P$24&gt;0.01,INDEX('Debt Tracker'!$T$5:$AE$29,20,AC475-1)&gt;0.01))*('Recurring Items'!$H$27&lt;&gt;"Skip")*(DAY(AB475)='Recurring Items'!$F$27)*IFERROR(N('Recurring Items'!$D$27),0)+(IF(AC475=1,'Debt Tracker'!$P$25&gt;0.01,INDEX('Debt Tracker'!$T$5:$AE$29,21,AC475-1)&gt;0.01))*('Recurring Items'!$H$28&lt;&gt;"Skip")*(DAY(AB475)='Recurring Items'!$F$28)*IFERROR(N('Recurring Items'!$D$28),0)+(IF(AC475=1,'Debt Tracker'!$P$26&gt;0.01,INDEX('Debt Tracker'!$T$5:$AE$29,22,AC475-1)&gt;0.01))*('Recurring Items'!$H$29&lt;&gt;"Skip")*(DAY(AB475)='Recurring Items'!$F$29)*IFERROR(N('Recurring Items'!$D$29),0)+(IF(AC475=1,'Debt Tracker'!$P$27&gt;0.01,INDEX('Debt Tracker'!$T$5:$AE$29,23,AC475-1)&gt;0.01))*('Recurring Items'!$H$30&lt;&gt;"Skip")*(DAY(AB475)='Recurring Items'!$F$30)*IFERROR(N('Recurring Items'!$D$30),0)+(IF(AC475=1,'Debt Tracker'!$P$28&gt;0.01,INDEX('Debt Tracker'!$T$5:$AE$29,24,AC475-1)&gt;0.01))*('Recurring Items'!$H$31&lt;&gt;"Skip")*(DAY(AB475)='Recurring Items'!$F$31)*IFERROR(N('Recurring Items'!$D$31),0)+(IF(AC475=1,'Debt Tracker'!$P$29&gt;0.01,INDEX('Debt Tracker'!$T$5:$AE$29,25,AC475-1)&gt;0.01))*('Recurring Items'!$H$32&lt;&gt;"Skip")*(DAY(AB475)='Recurring Items'!$F$32)*IFERROR(N('Recurring Items'!$D$32),0)</f>
        <v>0</v>
      </c>
      <c r="AG475" s="1" t="n">
        <f aca="false">AD475-AE475-AF475</f>
        <v>0</v>
      </c>
      <c r="AH475" s="1" t="n">
        <f aca="false">AH474+AG475</f>
        <v>20494.08</v>
      </c>
    </row>
    <row r="476" customFormat="false" ht="15" hidden="false" customHeight="true" outlineLevel="0" collapsed="false">
      <c r="AA476" s="1" t="n">
        <v>276</v>
      </c>
      <c r="AB476" s="145" t="n">
        <f aca="false">$D$3+276</f>
        <v>46419</v>
      </c>
      <c r="AC476" s="1" t="n">
        <f aca="false">MIN(12,1+DATEDIF($D$3,AB476,"M"))</f>
        <v>10</v>
      </c>
      <c r="AD476" s="1" t="n">
        <f aca="false">SUMPRODUCT(('Recurring Items'!$C$6:$C$56="Income")*('Recurring Items'!$H$6:$H$56&lt;&gt;"Skip")*IFERROR(N('Recurring Items'!$D$6:$D$56),0)*(('Recurring Items'!$E$6:$E$56="Monthly")*(DAY(AB476)='Recurring Items'!$F$6:$F$56)+('Recurring Items'!$E$6:$E$56="Bi-weekly")*(WEEKDAY(AB476)=IFERROR(WEEKDAY('Recurring Items'!$G$6:$G$56),0))*(MOD(AB476-IFERROR('Recurring Items'!$G$6:$G$56,0),14)=0)*(AB476&gt;=IFERROR('Recurring Items'!$G$6:$G$56,9000000000))+('Recurring Items'!$E$6:$E$56="Weekly")*(WEEKDAY(AB476)=IFERROR(WEEKDAY('Recurring Items'!$G$6:$G$56),0))*(AB476&gt;=IFERROR('Recurring Items'!$G$6:$G$56,9000000000))+('Recurring Items'!$E$6:$E$56="One-time")*(AB476='Recurring Items'!$G$6:$G$56)))</f>
        <v>0</v>
      </c>
      <c r="AE476" s="1" t="n">
        <f aca="false">SUMPRODUCT(('Recurring Items'!$C$6:$C$56="Expense")*('Recurring Items'!$H$6:$H$56&lt;&gt;"Skip")*IFERROR(N('Recurring Items'!$D$6:$D$56),0)*(('Recurring Items'!$E$6:$E$56="Monthly")*(DAY(AB476)='Recurring Items'!$F$6:$F$56)+('Recurring Items'!$E$6:$E$56="Bi-weekly")*(WEEKDAY(AB476)=IFERROR(WEEKDAY('Recurring Items'!$G$6:$G$56),0))*(MOD(AB476-IFERROR('Recurring Items'!$G$6:$G$56,0),14)=0)*(AB476&gt;=IFERROR('Recurring Items'!$G$6:$G$56,9000000000))+('Recurring Items'!$E$6:$E$56="Weekly")*(WEEKDAY(AB476)=IFERROR(WEEKDAY('Recurring Items'!$G$6:$G$56),0))*(AB476&gt;=IFERROR('Recurring Items'!$G$6:$G$56,9000000000))+('Recurring Items'!$E$6:$E$56="One-time")*(AB476='Recurring Items'!$G$6:$G$56)))</f>
        <v>141.16</v>
      </c>
      <c r="AF476" s="1" t="n">
        <f aca="false">(IF(AC476=1,'Debt Tracker'!$P$5&gt;0.01,INDEX('Debt Tracker'!$T$5:$AE$29,1,AC476-1)&gt;0.01))*('Recurring Items'!$H$8&lt;&gt;"Skip")*(DAY(AB476)='Recurring Items'!$F$8)*IFERROR(N('Recurring Items'!$D$8),0)+(IF(AC476=1,'Debt Tracker'!$P$6&gt;0.01,INDEX('Debt Tracker'!$T$5:$AE$29,2,AC476-1)&gt;0.01))*('Recurring Items'!$H$9&lt;&gt;"Skip")*(DAY(AB476)='Recurring Items'!$F$9)*IFERROR(N('Recurring Items'!$D$9),0)+(IF(AC476=1,'Debt Tracker'!$P$7&gt;0.01,INDEX('Debt Tracker'!$T$5:$AE$29,3,AC476-1)&gt;0.01))*('Recurring Items'!$H$10&lt;&gt;"Skip")*(DAY(AB476)='Recurring Items'!$F$10)*IFERROR(N('Recurring Items'!$D$10),0)+(IF(AC476=1,'Debt Tracker'!$P$8&gt;0.01,INDEX('Debt Tracker'!$T$5:$AE$29,4,AC476-1)&gt;0.01))*('Recurring Items'!$H$11&lt;&gt;"Skip")*(DAY(AB476)='Recurring Items'!$F$11)*IFERROR(N('Recurring Items'!$D$11),0)+(IF(AC476=1,'Debt Tracker'!$P$9&gt;0.01,INDEX('Debt Tracker'!$T$5:$AE$29,5,AC476-1)&gt;0.01))*('Recurring Items'!$H$12&lt;&gt;"Skip")*(DAY(AB476)='Recurring Items'!$F$12)*IFERROR(N('Recurring Items'!$D$12),0)+(IF(AC476=1,'Debt Tracker'!$P$10&gt;0.01,INDEX('Debt Tracker'!$T$5:$AE$29,6,AC476-1)&gt;0.01))*('Recurring Items'!$H$13&lt;&gt;"Skip")*(DAY(AB476)='Recurring Items'!$F$13)*IFERROR(N('Recurring Items'!$D$13),0)+(IF(AC476=1,'Debt Tracker'!$P$11&gt;0.01,INDEX('Debt Tracker'!$T$5:$AE$29,7,AC476-1)&gt;0.01))*('Recurring Items'!$H$14&lt;&gt;"Skip")*(DAY(AB476)='Recurring Items'!$F$14)*IFERROR(N('Recurring Items'!$D$14),0)+(IF(AC476=1,'Debt Tracker'!$P$12&gt;0.01,INDEX('Debt Tracker'!$T$5:$AE$29,8,AC476-1)&gt;0.01))*('Recurring Items'!$H$15&lt;&gt;"Skip")*(DAY(AB476)='Recurring Items'!$F$15)*IFERROR(N('Recurring Items'!$D$15),0)+(IF(AC476=1,'Debt Tracker'!$P$13&gt;0.01,INDEX('Debt Tracker'!$T$5:$AE$29,9,AC476-1)&gt;0.01))*('Recurring Items'!$H$16&lt;&gt;"Skip")*(DAY(AB476)='Recurring Items'!$F$16)*IFERROR(N('Recurring Items'!$D$16),0)+(IF(AC476=1,'Debt Tracker'!$P$14&gt;0.01,INDEX('Debt Tracker'!$T$5:$AE$29,10,AC476-1)&gt;0.01))*('Recurring Items'!$H$17&lt;&gt;"Skip")*(DAY(AB476)='Recurring Items'!$F$17)*IFERROR(N('Recurring Items'!$D$17),0)+(IF(AC476=1,'Debt Tracker'!$P$15&gt;0.01,INDEX('Debt Tracker'!$T$5:$AE$29,11,AC476-1)&gt;0.01))*('Recurring Items'!$H$18&lt;&gt;"Skip")*(DAY(AB476)='Recurring Items'!$F$18)*IFERROR(N('Recurring Items'!$D$18),0)+(IF(AC476=1,'Debt Tracker'!$P$16&gt;0.01,INDEX('Debt Tracker'!$T$5:$AE$29,12,AC476-1)&gt;0.01))*('Recurring Items'!$H$19&lt;&gt;"Skip")*(DAY(AB476)='Recurring Items'!$F$19)*IFERROR(N('Recurring Items'!$D$19),0)+(IF(AC476=1,'Debt Tracker'!$P$17&gt;0.01,INDEX('Debt Tracker'!$T$5:$AE$29,13,AC476-1)&gt;0.01))*('Recurring Items'!$H$20&lt;&gt;"Skip")*(DAY(AB476)='Recurring Items'!$F$20)*IFERROR(N('Recurring Items'!$D$20),0)+(IF(AC476=1,'Debt Tracker'!$P$18&gt;0.01,INDEX('Debt Tracker'!$T$5:$AE$29,14,AC476-1)&gt;0.01))*('Recurring Items'!$H$21&lt;&gt;"Skip")*(DAY(AB476)='Recurring Items'!$F$21)*IFERROR(N('Recurring Items'!$D$21),0)+(IF(AC476=1,'Debt Tracker'!$P$19&gt;0.01,INDEX('Debt Tracker'!$T$5:$AE$29,15,AC476-1)&gt;0.01))*('Recurring Items'!$H$22&lt;&gt;"Skip")*(DAY(AB476)='Recurring Items'!$F$22)*IFERROR(N('Recurring Items'!$D$22),0)+(IF(AC476=1,'Debt Tracker'!$P$20&gt;0.01,INDEX('Debt Tracker'!$T$5:$AE$29,16,AC476-1)&gt;0.01))*('Recurring Items'!$H$23&lt;&gt;"Skip")*(DAY(AB476)='Recurring Items'!$F$23)*IFERROR(N('Recurring Items'!$D$23),0)+(IF(AC476=1,'Debt Tracker'!$P$21&gt;0.01,INDEX('Debt Tracker'!$T$5:$AE$29,17,AC476-1)&gt;0.01))*('Recurring Items'!$H$24&lt;&gt;"Skip")*(DAY(AB476)='Recurring Items'!$F$24)*IFERROR(N('Recurring Items'!$D$24),0)+(IF(AC476=1,'Debt Tracker'!$P$22&gt;0.01,INDEX('Debt Tracker'!$T$5:$AE$29,18,AC476-1)&gt;0.01))*('Recurring Items'!$H$25&lt;&gt;"Skip")*(DAY(AB476)='Recurring Items'!$F$25)*IFERROR(N('Recurring Items'!$D$25),0)+(IF(AC476=1,'Debt Tracker'!$P$23&gt;0.01,INDEX('Debt Tracker'!$T$5:$AE$29,19,AC476-1)&gt;0.01))*('Recurring Items'!$H$26&lt;&gt;"Skip")*(DAY(AB476)='Recurring Items'!$F$26)*IFERROR(N('Recurring Items'!$D$26),0)+(IF(AC476=1,'Debt Tracker'!$P$24&gt;0.01,INDEX('Debt Tracker'!$T$5:$AE$29,20,AC476-1)&gt;0.01))*('Recurring Items'!$H$27&lt;&gt;"Skip")*(DAY(AB476)='Recurring Items'!$F$27)*IFERROR(N('Recurring Items'!$D$27),0)+(IF(AC476=1,'Debt Tracker'!$P$25&gt;0.01,INDEX('Debt Tracker'!$T$5:$AE$29,21,AC476-1)&gt;0.01))*('Recurring Items'!$H$28&lt;&gt;"Skip")*(DAY(AB476)='Recurring Items'!$F$28)*IFERROR(N('Recurring Items'!$D$28),0)+(IF(AC476=1,'Debt Tracker'!$P$26&gt;0.01,INDEX('Debt Tracker'!$T$5:$AE$29,22,AC476-1)&gt;0.01))*('Recurring Items'!$H$29&lt;&gt;"Skip")*(DAY(AB476)='Recurring Items'!$F$29)*IFERROR(N('Recurring Items'!$D$29),0)+(IF(AC476=1,'Debt Tracker'!$P$27&gt;0.01,INDEX('Debt Tracker'!$T$5:$AE$29,23,AC476-1)&gt;0.01))*('Recurring Items'!$H$30&lt;&gt;"Skip")*(DAY(AB476)='Recurring Items'!$F$30)*IFERROR(N('Recurring Items'!$D$30),0)+(IF(AC476=1,'Debt Tracker'!$P$28&gt;0.01,INDEX('Debt Tracker'!$T$5:$AE$29,24,AC476-1)&gt;0.01))*('Recurring Items'!$H$31&lt;&gt;"Skip")*(DAY(AB476)='Recurring Items'!$F$31)*IFERROR(N('Recurring Items'!$D$31),0)+(IF(AC476=1,'Debt Tracker'!$P$29&gt;0.01,INDEX('Debt Tracker'!$T$5:$AE$29,25,AC476-1)&gt;0.01))*('Recurring Items'!$H$32&lt;&gt;"Skip")*(DAY(AB476)='Recurring Items'!$F$32)*IFERROR(N('Recurring Items'!$D$32),0)</f>
        <v>0</v>
      </c>
      <c r="AG476" s="1" t="n">
        <f aca="false">AD476-AE476-AF476</f>
        <v>-141.16</v>
      </c>
      <c r="AH476" s="1" t="n">
        <f aca="false">AH475+AG476</f>
        <v>20352.92</v>
      </c>
    </row>
    <row r="477" customFormat="false" ht="15" hidden="false" customHeight="true" outlineLevel="0" collapsed="false">
      <c r="AA477" s="1" t="n">
        <v>277</v>
      </c>
      <c r="AB477" s="145" t="n">
        <f aca="false">$D$3+277</f>
        <v>46420</v>
      </c>
      <c r="AC477" s="1" t="n">
        <f aca="false">MIN(12,1+DATEDIF($D$3,AB477,"M"))</f>
        <v>10</v>
      </c>
      <c r="AD477" s="1" t="n">
        <f aca="false">SUMPRODUCT(('Recurring Items'!$C$6:$C$56="Income")*('Recurring Items'!$H$6:$H$56&lt;&gt;"Skip")*IFERROR(N('Recurring Items'!$D$6:$D$56),0)*(('Recurring Items'!$E$6:$E$56="Monthly")*(DAY(AB477)='Recurring Items'!$F$6:$F$56)+('Recurring Items'!$E$6:$E$56="Bi-weekly")*(WEEKDAY(AB477)=IFERROR(WEEKDAY('Recurring Items'!$G$6:$G$56),0))*(MOD(AB477-IFERROR('Recurring Items'!$G$6:$G$56,0),14)=0)*(AB477&gt;=IFERROR('Recurring Items'!$G$6:$G$56,9000000000))+('Recurring Items'!$E$6:$E$56="Weekly")*(WEEKDAY(AB477)=IFERROR(WEEKDAY('Recurring Items'!$G$6:$G$56),0))*(AB477&gt;=IFERROR('Recurring Items'!$G$6:$G$56,9000000000))+('Recurring Items'!$E$6:$E$56="One-time")*(AB477='Recurring Items'!$G$6:$G$56)))</f>
        <v>0</v>
      </c>
      <c r="AE477" s="1" t="n">
        <f aca="false">SUMPRODUCT(('Recurring Items'!$C$6:$C$56="Expense")*('Recurring Items'!$H$6:$H$56&lt;&gt;"Skip")*IFERROR(N('Recurring Items'!$D$6:$D$56),0)*(('Recurring Items'!$E$6:$E$56="Monthly")*(DAY(AB477)='Recurring Items'!$F$6:$F$56)+('Recurring Items'!$E$6:$E$56="Bi-weekly")*(WEEKDAY(AB477)=IFERROR(WEEKDAY('Recurring Items'!$G$6:$G$56),0))*(MOD(AB477-IFERROR('Recurring Items'!$G$6:$G$56,0),14)=0)*(AB477&gt;=IFERROR('Recurring Items'!$G$6:$G$56,9000000000))+('Recurring Items'!$E$6:$E$56="Weekly")*(WEEKDAY(AB477)=IFERROR(WEEKDAY('Recurring Items'!$G$6:$G$56),0))*(AB477&gt;=IFERROR('Recurring Items'!$G$6:$G$56,9000000000))+('Recurring Items'!$E$6:$E$56="One-time")*(AB477='Recurring Items'!$G$6:$G$56)))</f>
        <v>0</v>
      </c>
      <c r="AF477" s="1" t="n">
        <f aca="false">(IF(AC477=1,'Debt Tracker'!$P$5&gt;0.01,INDEX('Debt Tracker'!$T$5:$AE$29,1,AC477-1)&gt;0.01))*('Recurring Items'!$H$8&lt;&gt;"Skip")*(DAY(AB477)='Recurring Items'!$F$8)*IFERROR(N('Recurring Items'!$D$8),0)+(IF(AC477=1,'Debt Tracker'!$P$6&gt;0.01,INDEX('Debt Tracker'!$T$5:$AE$29,2,AC477-1)&gt;0.01))*('Recurring Items'!$H$9&lt;&gt;"Skip")*(DAY(AB477)='Recurring Items'!$F$9)*IFERROR(N('Recurring Items'!$D$9),0)+(IF(AC477=1,'Debt Tracker'!$P$7&gt;0.01,INDEX('Debt Tracker'!$T$5:$AE$29,3,AC477-1)&gt;0.01))*('Recurring Items'!$H$10&lt;&gt;"Skip")*(DAY(AB477)='Recurring Items'!$F$10)*IFERROR(N('Recurring Items'!$D$10),0)+(IF(AC477=1,'Debt Tracker'!$P$8&gt;0.01,INDEX('Debt Tracker'!$T$5:$AE$29,4,AC477-1)&gt;0.01))*('Recurring Items'!$H$11&lt;&gt;"Skip")*(DAY(AB477)='Recurring Items'!$F$11)*IFERROR(N('Recurring Items'!$D$11),0)+(IF(AC477=1,'Debt Tracker'!$P$9&gt;0.01,INDEX('Debt Tracker'!$T$5:$AE$29,5,AC477-1)&gt;0.01))*('Recurring Items'!$H$12&lt;&gt;"Skip")*(DAY(AB477)='Recurring Items'!$F$12)*IFERROR(N('Recurring Items'!$D$12),0)+(IF(AC477=1,'Debt Tracker'!$P$10&gt;0.01,INDEX('Debt Tracker'!$T$5:$AE$29,6,AC477-1)&gt;0.01))*('Recurring Items'!$H$13&lt;&gt;"Skip")*(DAY(AB477)='Recurring Items'!$F$13)*IFERROR(N('Recurring Items'!$D$13),0)+(IF(AC477=1,'Debt Tracker'!$P$11&gt;0.01,INDEX('Debt Tracker'!$T$5:$AE$29,7,AC477-1)&gt;0.01))*('Recurring Items'!$H$14&lt;&gt;"Skip")*(DAY(AB477)='Recurring Items'!$F$14)*IFERROR(N('Recurring Items'!$D$14),0)+(IF(AC477=1,'Debt Tracker'!$P$12&gt;0.01,INDEX('Debt Tracker'!$T$5:$AE$29,8,AC477-1)&gt;0.01))*('Recurring Items'!$H$15&lt;&gt;"Skip")*(DAY(AB477)='Recurring Items'!$F$15)*IFERROR(N('Recurring Items'!$D$15),0)+(IF(AC477=1,'Debt Tracker'!$P$13&gt;0.01,INDEX('Debt Tracker'!$T$5:$AE$29,9,AC477-1)&gt;0.01))*('Recurring Items'!$H$16&lt;&gt;"Skip")*(DAY(AB477)='Recurring Items'!$F$16)*IFERROR(N('Recurring Items'!$D$16),0)+(IF(AC477=1,'Debt Tracker'!$P$14&gt;0.01,INDEX('Debt Tracker'!$T$5:$AE$29,10,AC477-1)&gt;0.01))*('Recurring Items'!$H$17&lt;&gt;"Skip")*(DAY(AB477)='Recurring Items'!$F$17)*IFERROR(N('Recurring Items'!$D$17),0)+(IF(AC477=1,'Debt Tracker'!$P$15&gt;0.01,INDEX('Debt Tracker'!$T$5:$AE$29,11,AC477-1)&gt;0.01))*('Recurring Items'!$H$18&lt;&gt;"Skip")*(DAY(AB477)='Recurring Items'!$F$18)*IFERROR(N('Recurring Items'!$D$18),0)+(IF(AC477=1,'Debt Tracker'!$P$16&gt;0.01,INDEX('Debt Tracker'!$T$5:$AE$29,12,AC477-1)&gt;0.01))*('Recurring Items'!$H$19&lt;&gt;"Skip")*(DAY(AB477)='Recurring Items'!$F$19)*IFERROR(N('Recurring Items'!$D$19),0)+(IF(AC477=1,'Debt Tracker'!$P$17&gt;0.01,INDEX('Debt Tracker'!$T$5:$AE$29,13,AC477-1)&gt;0.01))*('Recurring Items'!$H$20&lt;&gt;"Skip")*(DAY(AB477)='Recurring Items'!$F$20)*IFERROR(N('Recurring Items'!$D$20),0)+(IF(AC477=1,'Debt Tracker'!$P$18&gt;0.01,INDEX('Debt Tracker'!$T$5:$AE$29,14,AC477-1)&gt;0.01))*('Recurring Items'!$H$21&lt;&gt;"Skip")*(DAY(AB477)='Recurring Items'!$F$21)*IFERROR(N('Recurring Items'!$D$21),0)+(IF(AC477=1,'Debt Tracker'!$P$19&gt;0.01,INDEX('Debt Tracker'!$T$5:$AE$29,15,AC477-1)&gt;0.01))*('Recurring Items'!$H$22&lt;&gt;"Skip")*(DAY(AB477)='Recurring Items'!$F$22)*IFERROR(N('Recurring Items'!$D$22),0)+(IF(AC477=1,'Debt Tracker'!$P$20&gt;0.01,INDEX('Debt Tracker'!$T$5:$AE$29,16,AC477-1)&gt;0.01))*('Recurring Items'!$H$23&lt;&gt;"Skip")*(DAY(AB477)='Recurring Items'!$F$23)*IFERROR(N('Recurring Items'!$D$23),0)+(IF(AC477=1,'Debt Tracker'!$P$21&gt;0.01,INDEX('Debt Tracker'!$T$5:$AE$29,17,AC477-1)&gt;0.01))*('Recurring Items'!$H$24&lt;&gt;"Skip")*(DAY(AB477)='Recurring Items'!$F$24)*IFERROR(N('Recurring Items'!$D$24),0)+(IF(AC477=1,'Debt Tracker'!$P$22&gt;0.01,INDEX('Debt Tracker'!$T$5:$AE$29,18,AC477-1)&gt;0.01))*('Recurring Items'!$H$25&lt;&gt;"Skip")*(DAY(AB477)='Recurring Items'!$F$25)*IFERROR(N('Recurring Items'!$D$25),0)+(IF(AC477=1,'Debt Tracker'!$P$23&gt;0.01,INDEX('Debt Tracker'!$T$5:$AE$29,19,AC477-1)&gt;0.01))*('Recurring Items'!$H$26&lt;&gt;"Skip")*(DAY(AB477)='Recurring Items'!$F$26)*IFERROR(N('Recurring Items'!$D$26),0)+(IF(AC477=1,'Debt Tracker'!$P$24&gt;0.01,INDEX('Debt Tracker'!$T$5:$AE$29,20,AC477-1)&gt;0.01))*('Recurring Items'!$H$27&lt;&gt;"Skip")*(DAY(AB477)='Recurring Items'!$F$27)*IFERROR(N('Recurring Items'!$D$27),0)+(IF(AC477=1,'Debt Tracker'!$P$25&gt;0.01,INDEX('Debt Tracker'!$T$5:$AE$29,21,AC477-1)&gt;0.01))*('Recurring Items'!$H$28&lt;&gt;"Skip")*(DAY(AB477)='Recurring Items'!$F$28)*IFERROR(N('Recurring Items'!$D$28),0)+(IF(AC477=1,'Debt Tracker'!$P$26&gt;0.01,INDEX('Debt Tracker'!$T$5:$AE$29,22,AC477-1)&gt;0.01))*('Recurring Items'!$H$29&lt;&gt;"Skip")*(DAY(AB477)='Recurring Items'!$F$29)*IFERROR(N('Recurring Items'!$D$29),0)+(IF(AC477=1,'Debt Tracker'!$P$27&gt;0.01,INDEX('Debt Tracker'!$T$5:$AE$29,23,AC477-1)&gt;0.01))*('Recurring Items'!$H$30&lt;&gt;"Skip")*(DAY(AB477)='Recurring Items'!$F$30)*IFERROR(N('Recurring Items'!$D$30),0)+(IF(AC477=1,'Debt Tracker'!$P$28&gt;0.01,INDEX('Debt Tracker'!$T$5:$AE$29,24,AC477-1)&gt;0.01))*('Recurring Items'!$H$31&lt;&gt;"Skip")*(DAY(AB477)='Recurring Items'!$F$31)*IFERROR(N('Recurring Items'!$D$31),0)+(IF(AC477=1,'Debt Tracker'!$P$29&gt;0.01,INDEX('Debt Tracker'!$T$5:$AE$29,25,AC477-1)&gt;0.01))*('Recurring Items'!$H$32&lt;&gt;"Skip")*(DAY(AB477)='Recurring Items'!$F$32)*IFERROR(N('Recurring Items'!$D$32),0)</f>
        <v>1309.17</v>
      </c>
      <c r="AG477" s="1" t="n">
        <f aca="false">AD477-AE477-AF477</f>
        <v>-1309.17</v>
      </c>
      <c r="AH477" s="1" t="n">
        <f aca="false">AH476+AG477</f>
        <v>19043.75</v>
      </c>
    </row>
    <row r="478" customFormat="false" ht="15" hidden="false" customHeight="true" outlineLevel="0" collapsed="false">
      <c r="AA478" s="1" t="n">
        <v>278</v>
      </c>
      <c r="AB478" s="145" t="n">
        <f aca="false">$D$3+278</f>
        <v>46421</v>
      </c>
      <c r="AC478" s="1" t="n">
        <f aca="false">MIN(12,1+DATEDIF($D$3,AB478,"M"))</f>
        <v>10</v>
      </c>
      <c r="AD478" s="1" t="n">
        <f aca="false">SUMPRODUCT(('Recurring Items'!$C$6:$C$56="Income")*('Recurring Items'!$H$6:$H$56&lt;&gt;"Skip")*IFERROR(N('Recurring Items'!$D$6:$D$56),0)*(('Recurring Items'!$E$6:$E$56="Monthly")*(DAY(AB478)='Recurring Items'!$F$6:$F$56)+('Recurring Items'!$E$6:$E$56="Bi-weekly")*(WEEKDAY(AB478)=IFERROR(WEEKDAY('Recurring Items'!$G$6:$G$56),0))*(MOD(AB478-IFERROR('Recurring Items'!$G$6:$G$56,0),14)=0)*(AB478&gt;=IFERROR('Recurring Items'!$G$6:$G$56,9000000000))+('Recurring Items'!$E$6:$E$56="Weekly")*(WEEKDAY(AB478)=IFERROR(WEEKDAY('Recurring Items'!$G$6:$G$56),0))*(AB478&gt;=IFERROR('Recurring Items'!$G$6:$G$56,9000000000))+('Recurring Items'!$E$6:$E$56="One-time")*(AB478='Recurring Items'!$G$6:$G$56)))</f>
        <v>0</v>
      </c>
      <c r="AE478" s="1" t="n">
        <f aca="false">SUMPRODUCT(('Recurring Items'!$C$6:$C$56="Expense")*('Recurring Items'!$H$6:$H$56&lt;&gt;"Skip")*IFERROR(N('Recurring Items'!$D$6:$D$56),0)*(('Recurring Items'!$E$6:$E$56="Monthly")*(DAY(AB478)='Recurring Items'!$F$6:$F$56)+('Recurring Items'!$E$6:$E$56="Bi-weekly")*(WEEKDAY(AB478)=IFERROR(WEEKDAY('Recurring Items'!$G$6:$G$56),0))*(MOD(AB478-IFERROR('Recurring Items'!$G$6:$G$56,0),14)=0)*(AB478&gt;=IFERROR('Recurring Items'!$G$6:$G$56,9000000000))+('Recurring Items'!$E$6:$E$56="Weekly")*(WEEKDAY(AB478)=IFERROR(WEEKDAY('Recurring Items'!$G$6:$G$56),0))*(AB478&gt;=IFERROR('Recurring Items'!$G$6:$G$56,9000000000))+('Recurring Items'!$E$6:$E$56="One-time")*(AB478='Recurring Items'!$G$6:$G$56)))</f>
        <v>927.53</v>
      </c>
      <c r="AF478" s="1" t="n">
        <f aca="false">(IF(AC478=1,'Debt Tracker'!$P$5&gt;0.01,INDEX('Debt Tracker'!$T$5:$AE$29,1,AC478-1)&gt;0.01))*('Recurring Items'!$H$8&lt;&gt;"Skip")*(DAY(AB478)='Recurring Items'!$F$8)*IFERROR(N('Recurring Items'!$D$8),0)+(IF(AC478=1,'Debt Tracker'!$P$6&gt;0.01,INDEX('Debt Tracker'!$T$5:$AE$29,2,AC478-1)&gt;0.01))*('Recurring Items'!$H$9&lt;&gt;"Skip")*(DAY(AB478)='Recurring Items'!$F$9)*IFERROR(N('Recurring Items'!$D$9),0)+(IF(AC478=1,'Debt Tracker'!$P$7&gt;0.01,INDEX('Debt Tracker'!$T$5:$AE$29,3,AC478-1)&gt;0.01))*('Recurring Items'!$H$10&lt;&gt;"Skip")*(DAY(AB478)='Recurring Items'!$F$10)*IFERROR(N('Recurring Items'!$D$10),0)+(IF(AC478=1,'Debt Tracker'!$P$8&gt;0.01,INDEX('Debt Tracker'!$T$5:$AE$29,4,AC478-1)&gt;0.01))*('Recurring Items'!$H$11&lt;&gt;"Skip")*(DAY(AB478)='Recurring Items'!$F$11)*IFERROR(N('Recurring Items'!$D$11),0)+(IF(AC478=1,'Debt Tracker'!$P$9&gt;0.01,INDEX('Debt Tracker'!$T$5:$AE$29,5,AC478-1)&gt;0.01))*('Recurring Items'!$H$12&lt;&gt;"Skip")*(DAY(AB478)='Recurring Items'!$F$12)*IFERROR(N('Recurring Items'!$D$12),0)+(IF(AC478=1,'Debt Tracker'!$P$10&gt;0.01,INDEX('Debt Tracker'!$T$5:$AE$29,6,AC478-1)&gt;0.01))*('Recurring Items'!$H$13&lt;&gt;"Skip")*(DAY(AB478)='Recurring Items'!$F$13)*IFERROR(N('Recurring Items'!$D$13),0)+(IF(AC478=1,'Debt Tracker'!$P$11&gt;0.01,INDEX('Debt Tracker'!$T$5:$AE$29,7,AC478-1)&gt;0.01))*('Recurring Items'!$H$14&lt;&gt;"Skip")*(DAY(AB478)='Recurring Items'!$F$14)*IFERROR(N('Recurring Items'!$D$14),0)+(IF(AC478=1,'Debt Tracker'!$P$12&gt;0.01,INDEX('Debt Tracker'!$T$5:$AE$29,8,AC478-1)&gt;0.01))*('Recurring Items'!$H$15&lt;&gt;"Skip")*(DAY(AB478)='Recurring Items'!$F$15)*IFERROR(N('Recurring Items'!$D$15),0)+(IF(AC478=1,'Debt Tracker'!$P$13&gt;0.01,INDEX('Debt Tracker'!$T$5:$AE$29,9,AC478-1)&gt;0.01))*('Recurring Items'!$H$16&lt;&gt;"Skip")*(DAY(AB478)='Recurring Items'!$F$16)*IFERROR(N('Recurring Items'!$D$16),0)+(IF(AC478=1,'Debt Tracker'!$P$14&gt;0.01,INDEX('Debt Tracker'!$T$5:$AE$29,10,AC478-1)&gt;0.01))*('Recurring Items'!$H$17&lt;&gt;"Skip")*(DAY(AB478)='Recurring Items'!$F$17)*IFERROR(N('Recurring Items'!$D$17),0)+(IF(AC478=1,'Debt Tracker'!$P$15&gt;0.01,INDEX('Debt Tracker'!$T$5:$AE$29,11,AC478-1)&gt;0.01))*('Recurring Items'!$H$18&lt;&gt;"Skip")*(DAY(AB478)='Recurring Items'!$F$18)*IFERROR(N('Recurring Items'!$D$18),0)+(IF(AC478=1,'Debt Tracker'!$P$16&gt;0.01,INDEX('Debt Tracker'!$T$5:$AE$29,12,AC478-1)&gt;0.01))*('Recurring Items'!$H$19&lt;&gt;"Skip")*(DAY(AB478)='Recurring Items'!$F$19)*IFERROR(N('Recurring Items'!$D$19),0)+(IF(AC478=1,'Debt Tracker'!$P$17&gt;0.01,INDEX('Debt Tracker'!$T$5:$AE$29,13,AC478-1)&gt;0.01))*('Recurring Items'!$H$20&lt;&gt;"Skip")*(DAY(AB478)='Recurring Items'!$F$20)*IFERROR(N('Recurring Items'!$D$20),0)+(IF(AC478=1,'Debt Tracker'!$P$18&gt;0.01,INDEX('Debt Tracker'!$T$5:$AE$29,14,AC478-1)&gt;0.01))*('Recurring Items'!$H$21&lt;&gt;"Skip")*(DAY(AB478)='Recurring Items'!$F$21)*IFERROR(N('Recurring Items'!$D$21),0)+(IF(AC478=1,'Debt Tracker'!$P$19&gt;0.01,INDEX('Debt Tracker'!$T$5:$AE$29,15,AC478-1)&gt;0.01))*('Recurring Items'!$H$22&lt;&gt;"Skip")*(DAY(AB478)='Recurring Items'!$F$22)*IFERROR(N('Recurring Items'!$D$22),0)+(IF(AC478=1,'Debt Tracker'!$P$20&gt;0.01,INDEX('Debt Tracker'!$T$5:$AE$29,16,AC478-1)&gt;0.01))*('Recurring Items'!$H$23&lt;&gt;"Skip")*(DAY(AB478)='Recurring Items'!$F$23)*IFERROR(N('Recurring Items'!$D$23),0)+(IF(AC478=1,'Debt Tracker'!$P$21&gt;0.01,INDEX('Debt Tracker'!$T$5:$AE$29,17,AC478-1)&gt;0.01))*('Recurring Items'!$H$24&lt;&gt;"Skip")*(DAY(AB478)='Recurring Items'!$F$24)*IFERROR(N('Recurring Items'!$D$24),0)+(IF(AC478=1,'Debt Tracker'!$P$22&gt;0.01,INDEX('Debt Tracker'!$T$5:$AE$29,18,AC478-1)&gt;0.01))*('Recurring Items'!$H$25&lt;&gt;"Skip")*(DAY(AB478)='Recurring Items'!$F$25)*IFERROR(N('Recurring Items'!$D$25),0)+(IF(AC478=1,'Debt Tracker'!$P$23&gt;0.01,INDEX('Debt Tracker'!$T$5:$AE$29,19,AC478-1)&gt;0.01))*('Recurring Items'!$H$26&lt;&gt;"Skip")*(DAY(AB478)='Recurring Items'!$F$26)*IFERROR(N('Recurring Items'!$D$26),0)+(IF(AC478=1,'Debt Tracker'!$P$24&gt;0.01,INDEX('Debt Tracker'!$T$5:$AE$29,20,AC478-1)&gt;0.01))*('Recurring Items'!$H$27&lt;&gt;"Skip")*(DAY(AB478)='Recurring Items'!$F$27)*IFERROR(N('Recurring Items'!$D$27),0)+(IF(AC478=1,'Debt Tracker'!$P$25&gt;0.01,INDEX('Debt Tracker'!$T$5:$AE$29,21,AC478-1)&gt;0.01))*('Recurring Items'!$H$28&lt;&gt;"Skip")*(DAY(AB478)='Recurring Items'!$F$28)*IFERROR(N('Recurring Items'!$D$28),0)+(IF(AC478=1,'Debt Tracker'!$P$26&gt;0.01,INDEX('Debt Tracker'!$T$5:$AE$29,22,AC478-1)&gt;0.01))*('Recurring Items'!$H$29&lt;&gt;"Skip")*(DAY(AB478)='Recurring Items'!$F$29)*IFERROR(N('Recurring Items'!$D$29),0)+(IF(AC478=1,'Debt Tracker'!$P$27&gt;0.01,INDEX('Debt Tracker'!$T$5:$AE$29,23,AC478-1)&gt;0.01))*('Recurring Items'!$H$30&lt;&gt;"Skip")*(DAY(AB478)='Recurring Items'!$F$30)*IFERROR(N('Recurring Items'!$D$30),0)+(IF(AC478=1,'Debt Tracker'!$P$28&gt;0.01,INDEX('Debt Tracker'!$T$5:$AE$29,24,AC478-1)&gt;0.01))*('Recurring Items'!$H$31&lt;&gt;"Skip")*(DAY(AB478)='Recurring Items'!$F$31)*IFERROR(N('Recurring Items'!$D$31),0)+(IF(AC478=1,'Debt Tracker'!$P$29&gt;0.01,INDEX('Debt Tracker'!$T$5:$AE$29,25,AC478-1)&gt;0.01))*('Recurring Items'!$H$32&lt;&gt;"Skip")*(DAY(AB478)='Recurring Items'!$F$32)*IFERROR(N('Recurring Items'!$D$32),0)</f>
        <v>0</v>
      </c>
      <c r="AG478" s="1" t="n">
        <f aca="false">AD478-AE478-AF478</f>
        <v>-927.53</v>
      </c>
      <c r="AH478" s="1" t="n">
        <f aca="false">AH477+AG478</f>
        <v>18116.22</v>
      </c>
    </row>
    <row r="479" customFormat="false" ht="15" hidden="false" customHeight="true" outlineLevel="0" collapsed="false">
      <c r="AA479" s="1" t="n">
        <v>279</v>
      </c>
      <c r="AB479" s="145" t="n">
        <f aca="false">$D$3+279</f>
        <v>46422</v>
      </c>
      <c r="AC479" s="1" t="n">
        <f aca="false">MIN(12,1+DATEDIF($D$3,AB479,"M"))</f>
        <v>10</v>
      </c>
      <c r="AD479" s="1" t="n">
        <f aca="false">SUMPRODUCT(('Recurring Items'!$C$6:$C$56="Income")*('Recurring Items'!$H$6:$H$56&lt;&gt;"Skip")*IFERROR(N('Recurring Items'!$D$6:$D$56),0)*(('Recurring Items'!$E$6:$E$56="Monthly")*(DAY(AB479)='Recurring Items'!$F$6:$F$56)+('Recurring Items'!$E$6:$E$56="Bi-weekly")*(WEEKDAY(AB479)=IFERROR(WEEKDAY('Recurring Items'!$G$6:$G$56),0))*(MOD(AB479-IFERROR('Recurring Items'!$G$6:$G$56,0),14)=0)*(AB479&gt;=IFERROR('Recurring Items'!$G$6:$G$56,9000000000))+('Recurring Items'!$E$6:$E$56="Weekly")*(WEEKDAY(AB479)=IFERROR(WEEKDAY('Recurring Items'!$G$6:$G$56),0))*(AB479&gt;=IFERROR('Recurring Items'!$G$6:$G$56,9000000000))+('Recurring Items'!$E$6:$E$56="One-time")*(AB479='Recurring Items'!$G$6:$G$56)))</f>
        <v>0</v>
      </c>
      <c r="AE479" s="1" t="n">
        <f aca="false">SUMPRODUCT(('Recurring Items'!$C$6:$C$56="Expense")*('Recurring Items'!$H$6:$H$56&lt;&gt;"Skip")*IFERROR(N('Recurring Items'!$D$6:$D$56),0)*(('Recurring Items'!$E$6:$E$56="Monthly")*(DAY(AB479)='Recurring Items'!$F$6:$F$56)+('Recurring Items'!$E$6:$E$56="Bi-weekly")*(WEEKDAY(AB479)=IFERROR(WEEKDAY('Recurring Items'!$G$6:$G$56),0))*(MOD(AB479-IFERROR('Recurring Items'!$G$6:$G$56,0),14)=0)*(AB479&gt;=IFERROR('Recurring Items'!$G$6:$G$56,9000000000))+('Recurring Items'!$E$6:$E$56="Weekly")*(WEEKDAY(AB479)=IFERROR(WEEKDAY('Recurring Items'!$G$6:$G$56),0))*(AB479&gt;=IFERROR('Recurring Items'!$G$6:$G$56,9000000000))+('Recurring Items'!$E$6:$E$56="One-time")*(AB479='Recurring Items'!$G$6:$G$56)))</f>
        <v>0</v>
      </c>
      <c r="AF479" s="1" t="n">
        <f aca="false">(IF(AC479=1,'Debt Tracker'!$P$5&gt;0.01,INDEX('Debt Tracker'!$T$5:$AE$29,1,AC479-1)&gt;0.01))*('Recurring Items'!$H$8&lt;&gt;"Skip")*(DAY(AB479)='Recurring Items'!$F$8)*IFERROR(N('Recurring Items'!$D$8),0)+(IF(AC479=1,'Debt Tracker'!$P$6&gt;0.01,INDEX('Debt Tracker'!$T$5:$AE$29,2,AC479-1)&gt;0.01))*('Recurring Items'!$H$9&lt;&gt;"Skip")*(DAY(AB479)='Recurring Items'!$F$9)*IFERROR(N('Recurring Items'!$D$9),0)+(IF(AC479=1,'Debt Tracker'!$P$7&gt;0.01,INDEX('Debt Tracker'!$T$5:$AE$29,3,AC479-1)&gt;0.01))*('Recurring Items'!$H$10&lt;&gt;"Skip")*(DAY(AB479)='Recurring Items'!$F$10)*IFERROR(N('Recurring Items'!$D$10),0)+(IF(AC479=1,'Debt Tracker'!$P$8&gt;0.01,INDEX('Debt Tracker'!$T$5:$AE$29,4,AC479-1)&gt;0.01))*('Recurring Items'!$H$11&lt;&gt;"Skip")*(DAY(AB479)='Recurring Items'!$F$11)*IFERROR(N('Recurring Items'!$D$11),0)+(IF(AC479=1,'Debt Tracker'!$P$9&gt;0.01,INDEX('Debt Tracker'!$T$5:$AE$29,5,AC479-1)&gt;0.01))*('Recurring Items'!$H$12&lt;&gt;"Skip")*(DAY(AB479)='Recurring Items'!$F$12)*IFERROR(N('Recurring Items'!$D$12),0)+(IF(AC479=1,'Debt Tracker'!$P$10&gt;0.01,INDEX('Debt Tracker'!$T$5:$AE$29,6,AC479-1)&gt;0.01))*('Recurring Items'!$H$13&lt;&gt;"Skip")*(DAY(AB479)='Recurring Items'!$F$13)*IFERROR(N('Recurring Items'!$D$13),0)+(IF(AC479=1,'Debt Tracker'!$P$11&gt;0.01,INDEX('Debt Tracker'!$T$5:$AE$29,7,AC479-1)&gt;0.01))*('Recurring Items'!$H$14&lt;&gt;"Skip")*(DAY(AB479)='Recurring Items'!$F$14)*IFERROR(N('Recurring Items'!$D$14),0)+(IF(AC479=1,'Debt Tracker'!$P$12&gt;0.01,INDEX('Debt Tracker'!$T$5:$AE$29,8,AC479-1)&gt;0.01))*('Recurring Items'!$H$15&lt;&gt;"Skip")*(DAY(AB479)='Recurring Items'!$F$15)*IFERROR(N('Recurring Items'!$D$15),0)+(IF(AC479=1,'Debt Tracker'!$P$13&gt;0.01,INDEX('Debt Tracker'!$T$5:$AE$29,9,AC479-1)&gt;0.01))*('Recurring Items'!$H$16&lt;&gt;"Skip")*(DAY(AB479)='Recurring Items'!$F$16)*IFERROR(N('Recurring Items'!$D$16),0)+(IF(AC479=1,'Debt Tracker'!$P$14&gt;0.01,INDEX('Debt Tracker'!$T$5:$AE$29,10,AC479-1)&gt;0.01))*('Recurring Items'!$H$17&lt;&gt;"Skip")*(DAY(AB479)='Recurring Items'!$F$17)*IFERROR(N('Recurring Items'!$D$17),0)+(IF(AC479=1,'Debt Tracker'!$P$15&gt;0.01,INDEX('Debt Tracker'!$T$5:$AE$29,11,AC479-1)&gt;0.01))*('Recurring Items'!$H$18&lt;&gt;"Skip")*(DAY(AB479)='Recurring Items'!$F$18)*IFERROR(N('Recurring Items'!$D$18),0)+(IF(AC479=1,'Debt Tracker'!$P$16&gt;0.01,INDEX('Debt Tracker'!$T$5:$AE$29,12,AC479-1)&gt;0.01))*('Recurring Items'!$H$19&lt;&gt;"Skip")*(DAY(AB479)='Recurring Items'!$F$19)*IFERROR(N('Recurring Items'!$D$19),0)+(IF(AC479=1,'Debt Tracker'!$P$17&gt;0.01,INDEX('Debt Tracker'!$T$5:$AE$29,13,AC479-1)&gt;0.01))*('Recurring Items'!$H$20&lt;&gt;"Skip")*(DAY(AB479)='Recurring Items'!$F$20)*IFERROR(N('Recurring Items'!$D$20),0)+(IF(AC479=1,'Debt Tracker'!$P$18&gt;0.01,INDEX('Debt Tracker'!$T$5:$AE$29,14,AC479-1)&gt;0.01))*('Recurring Items'!$H$21&lt;&gt;"Skip")*(DAY(AB479)='Recurring Items'!$F$21)*IFERROR(N('Recurring Items'!$D$21),0)+(IF(AC479=1,'Debt Tracker'!$P$19&gt;0.01,INDEX('Debt Tracker'!$T$5:$AE$29,15,AC479-1)&gt;0.01))*('Recurring Items'!$H$22&lt;&gt;"Skip")*(DAY(AB479)='Recurring Items'!$F$22)*IFERROR(N('Recurring Items'!$D$22),0)+(IF(AC479=1,'Debt Tracker'!$P$20&gt;0.01,INDEX('Debt Tracker'!$T$5:$AE$29,16,AC479-1)&gt;0.01))*('Recurring Items'!$H$23&lt;&gt;"Skip")*(DAY(AB479)='Recurring Items'!$F$23)*IFERROR(N('Recurring Items'!$D$23),0)+(IF(AC479=1,'Debt Tracker'!$P$21&gt;0.01,INDEX('Debt Tracker'!$T$5:$AE$29,17,AC479-1)&gt;0.01))*('Recurring Items'!$H$24&lt;&gt;"Skip")*(DAY(AB479)='Recurring Items'!$F$24)*IFERROR(N('Recurring Items'!$D$24),0)+(IF(AC479=1,'Debt Tracker'!$P$22&gt;0.01,INDEX('Debt Tracker'!$T$5:$AE$29,18,AC479-1)&gt;0.01))*('Recurring Items'!$H$25&lt;&gt;"Skip")*(DAY(AB479)='Recurring Items'!$F$25)*IFERROR(N('Recurring Items'!$D$25),0)+(IF(AC479=1,'Debt Tracker'!$P$23&gt;0.01,INDEX('Debt Tracker'!$T$5:$AE$29,19,AC479-1)&gt;0.01))*('Recurring Items'!$H$26&lt;&gt;"Skip")*(DAY(AB479)='Recurring Items'!$F$26)*IFERROR(N('Recurring Items'!$D$26),0)+(IF(AC479=1,'Debt Tracker'!$P$24&gt;0.01,INDEX('Debt Tracker'!$T$5:$AE$29,20,AC479-1)&gt;0.01))*('Recurring Items'!$H$27&lt;&gt;"Skip")*(DAY(AB479)='Recurring Items'!$F$27)*IFERROR(N('Recurring Items'!$D$27),0)+(IF(AC479=1,'Debt Tracker'!$P$25&gt;0.01,INDEX('Debt Tracker'!$T$5:$AE$29,21,AC479-1)&gt;0.01))*('Recurring Items'!$H$28&lt;&gt;"Skip")*(DAY(AB479)='Recurring Items'!$F$28)*IFERROR(N('Recurring Items'!$D$28),0)+(IF(AC479=1,'Debt Tracker'!$P$26&gt;0.01,INDEX('Debt Tracker'!$T$5:$AE$29,22,AC479-1)&gt;0.01))*('Recurring Items'!$H$29&lt;&gt;"Skip")*(DAY(AB479)='Recurring Items'!$F$29)*IFERROR(N('Recurring Items'!$D$29),0)+(IF(AC479=1,'Debt Tracker'!$P$27&gt;0.01,INDEX('Debt Tracker'!$T$5:$AE$29,23,AC479-1)&gt;0.01))*('Recurring Items'!$H$30&lt;&gt;"Skip")*(DAY(AB479)='Recurring Items'!$F$30)*IFERROR(N('Recurring Items'!$D$30),0)+(IF(AC479=1,'Debt Tracker'!$P$28&gt;0.01,INDEX('Debt Tracker'!$T$5:$AE$29,24,AC479-1)&gt;0.01))*('Recurring Items'!$H$31&lt;&gt;"Skip")*(DAY(AB479)='Recurring Items'!$F$31)*IFERROR(N('Recurring Items'!$D$31),0)+(IF(AC479=1,'Debt Tracker'!$P$29&gt;0.01,INDEX('Debt Tracker'!$T$5:$AE$29,25,AC479-1)&gt;0.01))*('Recurring Items'!$H$32&lt;&gt;"Skip")*(DAY(AB479)='Recurring Items'!$F$32)*IFERROR(N('Recurring Items'!$D$32),0)</f>
        <v>0</v>
      </c>
      <c r="AG479" s="1" t="n">
        <f aca="false">AD479-AE479-AF479</f>
        <v>0</v>
      </c>
      <c r="AH479" s="1" t="n">
        <f aca="false">AH478+AG479</f>
        <v>18116.22</v>
      </c>
    </row>
    <row r="480" customFormat="false" ht="15" hidden="false" customHeight="true" outlineLevel="0" collapsed="false">
      <c r="AA480" s="1" t="n">
        <v>280</v>
      </c>
      <c r="AB480" s="145" t="n">
        <f aca="false">$D$3+280</f>
        <v>46423</v>
      </c>
      <c r="AC480" s="1" t="n">
        <f aca="false">MIN(12,1+DATEDIF($D$3,AB480,"M"))</f>
        <v>10</v>
      </c>
      <c r="AD480" s="1" t="n">
        <f aca="false">SUMPRODUCT(('Recurring Items'!$C$6:$C$56="Income")*('Recurring Items'!$H$6:$H$56&lt;&gt;"Skip")*IFERROR(N('Recurring Items'!$D$6:$D$56),0)*(('Recurring Items'!$E$6:$E$56="Monthly")*(DAY(AB480)='Recurring Items'!$F$6:$F$56)+('Recurring Items'!$E$6:$E$56="Bi-weekly")*(WEEKDAY(AB480)=IFERROR(WEEKDAY('Recurring Items'!$G$6:$G$56),0))*(MOD(AB480-IFERROR('Recurring Items'!$G$6:$G$56,0),14)=0)*(AB480&gt;=IFERROR('Recurring Items'!$G$6:$G$56,9000000000))+('Recurring Items'!$E$6:$E$56="Weekly")*(WEEKDAY(AB480)=IFERROR(WEEKDAY('Recurring Items'!$G$6:$G$56),0))*(AB480&gt;=IFERROR('Recurring Items'!$G$6:$G$56,9000000000))+('Recurring Items'!$E$6:$E$56="One-time")*(AB480='Recurring Items'!$G$6:$G$56)))</f>
        <v>3819.79</v>
      </c>
      <c r="AE480" s="1" t="n">
        <f aca="false">SUMPRODUCT(('Recurring Items'!$C$6:$C$56="Expense")*('Recurring Items'!$H$6:$H$56&lt;&gt;"Skip")*IFERROR(N('Recurring Items'!$D$6:$D$56),0)*(('Recurring Items'!$E$6:$E$56="Monthly")*(DAY(AB480)='Recurring Items'!$F$6:$F$56)+('Recurring Items'!$E$6:$E$56="Bi-weekly")*(WEEKDAY(AB480)=IFERROR(WEEKDAY('Recurring Items'!$G$6:$G$56),0))*(MOD(AB480-IFERROR('Recurring Items'!$G$6:$G$56,0),14)=0)*(AB480&gt;=IFERROR('Recurring Items'!$G$6:$G$56,9000000000))+('Recurring Items'!$E$6:$E$56="Weekly")*(WEEKDAY(AB480)=IFERROR(WEEKDAY('Recurring Items'!$G$6:$G$56),0))*(AB480&gt;=IFERROR('Recurring Items'!$G$6:$G$56,9000000000))+('Recurring Items'!$E$6:$E$56="One-time")*(AB480='Recurring Items'!$G$6:$G$56)))</f>
        <v>511.01</v>
      </c>
      <c r="AF480" s="1" t="n">
        <f aca="false">(IF(AC480=1,'Debt Tracker'!$P$5&gt;0.01,INDEX('Debt Tracker'!$T$5:$AE$29,1,AC480-1)&gt;0.01))*('Recurring Items'!$H$8&lt;&gt;"Skip")*(DAY(AB480)='Recurring Items'!$F$8)*IFERROR(N('Recurring Items'!$D$8),0)+(IF(AC480=1,'Debt Tracker'!$P$6&gt;0.01,INDEX('Debt Tracker'!$T$5:$AE$29,2,AC480-1)&gt;0.01))*('Recurring Items'!$H$9&lt;&gt;"Skip")*(DAY(AB480)='Recurring Items'!$F$9)*IFERROR(N('Recurring Items'!$D$9),0)+(IF(AC480=1,'Debt Tracker'!$P$7&gt;0.01,INDEX('Debt Tracker'!$T$5:$AE$29,3,AC480-1)&gt;0.01))*('Recurring Items'!$H$10&lt;&gt;"Skip")*(DAY(AB480)='Recurring Items'!$F$10)*IFERROR(N('Recurring Items'!$D$10),0)+(IF(AC480=1,'Debt Tracker'!$P$8&gt;0.01,INDEX('Debt Tracker'!$T$5:$AE$29,4,AC480-1)&gt;0.01))*('Recurring Items'!$H$11&lt;&gt;"Skip")*(DAY(AB480)='Recurring Items'!$F$11)*IFERROR(N('Recurring Items'!$D$11),0)+(IF(AC480=1,'Debt Tracker'!$P$9&gt;0.01,INDEX('Debt Tracker'!$T$5:$AE$29,5,AC480-1)&gt;0.01))*('Recurring Items'!$H$12&lt;&gt;"Skip")*(DAY(AB480)='Recurring Items'!$F$12)*IFERROR(N('Recurring Items'!$D$12),0)+(IF(AC480=1,'Debt Tracker'!$P$10&gt;0.01,INDEX('Debt Tracker'!$T$5:$AE$29,6,AC480-1)&gt;0.01))*('Recurring Items'!$H$13&lt;&gt;"Skip")*(DAY(AB480)='Recurring Items'!$F$13)*IFERROR(N('Recurring Items'!$D$13),0)+(IF(AC480=1,'Debt Tracker'!$P$11&gt;0.01,INDEX('Debt Tracker'!$T$5:$AE$29,7,AC480-1)&gt;0.01))*('Recurring Items'!$H$14&lt;&gt;"Skip")*(DAY(AB480)='Recurring Items'!$F$14)*IFERROR(N('Recurring Items'!$D$14),0)+(IF(AC480=1,'Debt Tracker'!$P$12&gt;0.01,INDEX('Debt Tracker'!$T$5:$AE$29,8,AC480-1)&gt;0.01))*('Recurring Items'!$H$15&lt;&gt;"Skip")*(DAY(AB480)='Recurring Items'!$F$15)*IFERROR(N('Recurring Items'!$D$15),0)+(IF(AC480=1,'Debt Tracker'!$P$13&gt;0.01,INDEX('Debt Tracker'!$T$5:$AE$29,9,AC480-1)&gt;0.01))*('Recurring Items'!$H$16&lt;&gt;"Skip")*(DAY(AB480)='Recurring Items'!$F$16)*IFERROR(N('Recurring Items'!$D$16),0)+(IF(AC480=1,'Debt Tracker'!$P$14&gt;0.01,INDEX('Debt Tracker'!$T$5:$AE$29,10,AC480-1)&gt;0.01))*('Recurring Items'!$H$17&lt;&gt;"Skip")*(DAY(AB480)='Recurring Items'!$F$17)*IFERROR(N('Recurring Items'!$D$17),0)+(IF(AC480=1,'Debt Tracker'!$P$15&gt;0.01,INDEX('Debt Tracker'!$T$5:$AE$29,11,AC480-1)&gt;0.01))*('Recurring Items'!$H$18&lt;&gt;"Skip")*(DAY(AB480)='Recurring Items'!$F$18)*IFERROR(N('Recurring Items'!$D$18),0)+(IF(AC480=1,'Debt Tracker'!$P$16&gt;0.01,INDEX('Debt Tracker'!$T$5:$AE$29,12,AC480-1)&gt;0.01))*('Recurring Items'!$H$19&lt;&gt;"Skip")*(DAY(AB480)='Recurring Items'!$F$19)*IFERROR(N('Recurring Items'!$D$19),0)+(IF(AC480=1,'Debt Tracker'!$P$17&gt;0.01,INDEX('Debt Tracker'!$T$5:$AE$29,13,AC480-1)&gt;0.01))*('Recurring Items'!$H$20&lt;&gt;"Skip")*(DAY(AB480)='Recurring Items'!$F$20)*IFERROR(N('Recurring Items'!$D$20),0)+(IF(AC480=1,'Debt Tracker'!$P$18&gt;0.01,INDEX('Debt Tracker'!$T$5:$AE$29,14,AC480-1)&gt;0.01))*('Recurring Items'!$H$21&lt;&gt;"Skip")*(DAY(AB480)='Recurring Items'!$F$21)*IFERROR(N('Recurring Items'!$D$21),0)+(IF(AC480=1,'Debt Tracker'!$P$19&gt;0.01,INDEX('Debt Tracker'!$T$5:$AE$29,15,AC480-1)&gt;0.01))*('Recurring Items'!$H$22&lt;&gt;"Skip")*(DAY(AB480)='Recurring Items'!$F$22)*IFERROR(N('Recurring Items'!$D$22),0)+(IF(AC480=1,'Debt Tracker'!$P$20&gt;0.01,INDEX('Debt Tracker'!$T$5:$AE$29,16,AC480-1)&gt;0.01))*('Recurring Items'!$H$23&lt;&gt;"Skip")*(DAY(AB480)='Recurring Items'!$F$23)*IFERROR(N('Recurring Items'!$D$23),0)+(IF(AC480=1,'Debt Tracker'!$P$21&gt;0.01,INDEX('Debt Tracker'!$T$5:$AE$29,17,AC480-1)&gt;0.01))*('Recurring Items'!$H$24&lt;&gt;"Skip")*(DAY(AB480)='Recurring Items'!$F$24)*IFERROR(N('Recurring Items'!$D$24),0)+(IF(AC480=1,'Debt Tracker'!$P$22&gt;0.01,INDEX('Debt Tracker'!$T$5:$AE$29,18,AC480-1)&gt;0.01))*('Recurring Items'!$H$25&lt;&gt;"Skip")*(DAY(AB480)='Recurring Items'!$F$25)*IFERROR(N('Recurring Items'!$D$25),0)+(IF(AC480=1,'Debt Tracker'!$P$23&gt;0.01,INDEX('Debt Tracker'!$T$5:$AE$29,19,AC480-1)&gt;0.01))*('Recurring Items'!$H$26&lt;&gt;"Skip")*(DAY(AB480)='Recurring Items'!$F$26)*IFERROR(N('Recurring Items'!$D$26),0)+(IF(AC480=1,'Debt Tracker'!$P$24&gt;0.01,INDEX('Debt Tracker'!$T$5:$AE$29,20,AC480-1)&gt;0.01))*('Recurring Items'!$H$27&lt;&gt;"Skip")*(DAY(AB480)='Recurring Items'!$F$27)*IFERROR(N('Recurring Items'!$D$27),0)+(IF(AC480=1,'Debt Tracker'!$P$25&gt;0.01,INDEX('Debt Tracker'!$T$5:$AE$29,21,AC480-1)&gt;0.01))*('Recurring Items'!$H$28&lt;&gt;"Skip")*(DAY(AB480)='Recurring Items'!$F$28)*IFERROR(N('Recurring Items'!$D$28),0)+(IF(AC480=1,'Debt Tracker'!$P$26&gt;0.01,INDEX('Debt Tracker'!$T$5:$AE$29,22,AC480-1)&gt;0.01))*('Recurring Items'!$H$29&lt;&gt;"Skip")*(DAY(AB480)='Recurring Items'!$F$29)*IFERROR(N('Recurring Items'!$D$29),0)+(IF(AC480=1,'Debt Tracker'!$P$27&gt;0.01,INDEX('Debt Tracker'!$T$5:$AE$29,23,AC480-1)&gt;0.01))*('Recurring Items'!$H$30&lt;&gt;"Skip")*(DAY(AB480)='Recurring Items'!$F$30)*IFERROR(N('Recurring Items'!$D$30),0)+(IF(AC480=1,'Debt Tracker'!$P$28&gt;0.01,INDEX('Debt Tracker'!$T$5:$AE$29,24,AC480-1)&gt;0.01))*('Recurring Items'!$H$31&lt;&gt;"Skip")*(DAY(AB480)='Recurring Items'!$F$31)*IFERROR(N('Recurring Items'!$D$31),0)+(IF(AC480=1,'Debt Tracker'!$P$29&gt;0.01,INDEX('Debt Tracker'!$T$5:$AE$29,25,AC480-1)&gt;0.01))*('Recurring Items'!$H$32&lt;&gt;"Skip")*(DAY(AB480)='Recurring Items'!$F$32)*IFERROR(N('Recurring Items'!$D$32),0)</f>
        <v>0</v>
      </c>
      <c r="AG480" s="1" t="n">
        <f aca="false">AD480-AE480-AF480</f>
        <v>3308.78</v>
      </c>
      <c r="AH480" s="1" t="n">
        <f aca="false">AH479+AG480</f>
        <v>21425</v>
      </c>
    </row>
    <row r="481" customFormat="false" ht="15" hidden="false" customHeight="true" outlineLevel="0" collapsed="false">
      <c r="AA481" s="1" t="n">
        <v>281</v>
      </c>
      <c r="AB481" s="145" t="n">
        <f aca="false">$D$3+281</f>
        <v>46424</v>
      </c>
      <c r="AC481" s="1" t="n">
        <f aca="false">MIN(12,1+DATEDIF($D$3,AB481,"M"))</f>
        <v>10</v>
      </c>
      <c r="AD481" s="1" t="n">
        <f aca="false">SUMPRODUCT(('Recurring Items'!$C$6:$C$56="Income")*('Recurring Items'!$H$6:$H$56&lt;&gt;"Skip")*IFERROR(N('Recurring Items'!$D$6:$D$56),0)*(('Recurring Items'!$E$6:$E$56="Monthly")*(DAY(AB481)='Recurring Items'!$F$6:$F$56)+('Recurring Items'!$E$6:$E$56="Bi-weekly")*(WEEKDAY(AB481)=IFERROR(WEEKDAY('Recurring Items'!$G$6:$G$56),0))*(MOD(AB481-IFERROR('Recurring Items'!$G$6:$G$56,0),14)=0)*(AB481&gt;=IFERROR('Recurring Items'!$G$6:$G$56,9000000000))+('Recurring Items'!$E$6:$E$56="Weekly")*(WEEKDAY(AB481)=IFERROR(WEEKDAY('Recurring Items'!$G$6:$G$56),0))*(AB481&gt;=IFERROR('Recurring Items'!$G$6:$G$56,9000000000))+('Recurring Items'!$E$6:$E$56="One-time")*(AB481='Recurring Items'!$G$6:$G$56)))</f>
        <v>0</v>
      </c>
      <c r="AE481" s="1" t="n">
        <f aca="false">SUMPRODUCT(('Recurring Items'!$C$6:$C$56="Expense")*('Recurring Items'!$H$6:$H$56&lt;&gt;"Skip")*IFERROR(N('Recurring Items'!$D$6:$D$56),0)*(('Recurring Items'!$E$6:$E$56="Monthly")*(DAY(AB481)='Recurring Items'!$F$6:$F$56)+('Recurring Items'!$E$6:$E$56="Bi-weekly")*(WEEKDAY(AB481)=IFERROR(WEEKDAY('Recurring Items'!$G$6:$G$56),0))*(MOD(AB481-IFERROR('Recurring Items'!$G$6:$G$56,0),14)=0)*(AB481&gt;=IFERROR('Recurring Items'!$G$6:$G$56,9000000000))+('Recurring Items'!$E$6:$E$56="Weekly")*(WEEKDAY(AB481)=IFERROR(WEEKDAY('Recurring Items'!$G$6:$G$56),0))*(AB481&gt;=IFERROR('Recurring Items'!$G$6:$G$56,9000000000))+('Recurring Items'!$E$6:$E$56="One-time")*(AB481='Recurring Items'!$G$6:$G$56)))</f>
        <v>651.55</v>
      </c>
      <c r="AF481" s="1" t="n">
        <f aca="false">(IF(AC481=1,'Debt Tracker'!$P$5&gt;0.01,INDEX('Debt Tracker'!$T$5:$AE$29,1,AC481-1)&gt;0.01))*('Recurring Items'!$H$8&lt;&gt;"Skip")*(DAY(AB481)='Recurring Items'!$F$8)*IFERROR(N('Recurring Items'!$D$8),0)+(IF(AC481=1,'Debt Tracker'!$P$6&gt;0.01,INDEX('Debt Tracker'!$T$5:$AE$29,2,AC481-1)&gt;0.01))*('Recurring Items'!$H$9&lt;&gt;"Skip")*(DAY(AB481)='Recurring Items'!$F$9)*IFERROR(N('Recurring Items'!$D$9),0)+(IF(AC481=1,'Debt Tracker'!$P$7&gt;0.01,INDEX('Debt Tracker'!$T$5:$AE$29,3,AC481-1)&gt;0.01))*('Recurring Items'!$H$10&lt;&gt;"Skip")*(DAY(AB481)='Recurring Items'!$F$10)*IFERROR(N('Recurring Items'!$D$10),0)+(IF(AC481=1,'Debt Tracker'!$P$8&gt;0.01,INDEX('Debt Tracker'!$T$5:$AE$29,4,AC481-1)&gt;0.01))*('Recurring Items'!$H$11&lt;&gt;"Skip")*(DAY(AB481)='Recurring Items'!$F$11)*IFERROR(N('Recurring Items'!$D$11),0)+(IF(AC481=1,'Debt Tracker'!$P$9&gt;0.01,INDEX('Debt Tracker'!$T$5:$AE$29,5,AC481-1)&gt;0.01))*('Recurring Items'!$H$12&lt;&gt;"Skip")*(DAY(AB481)='Recurring Items'!$F$12)*IFERROR(N('Recurring Items'!$D$12),0)+(IF(AC481=1,'Debt Tracker'!$P$10&gt;0.01,INDEX('Debt Tracker'!$T$5:$AE$29,6,AC481-1)&gt;0.01))*('Recurring Items'!$H$13&lt;&gt;"Skip")*(DAY(AB481)='Recurring Items'!$F$13)*IFERROR(N('Recurring Items'!$D$13),0)+(IF(AC481=1,'Debt Tracker'!$P$11&gt;0.01,INDEX('Debt Tracker'!$T$5:$AE$29,7,AC481-1)&gt;0.01))*('Recurring Items'!$H$14&lt;&gt;"Skip")*(DAY(AB481)='Recurring Items'!$F$14)*IFERROR(N('Recurring Items'!$D$14),0)+(IF(AC481=1,'Debt Tracker'!$P$12&gt;0.01,INDEX('Debt Tracker'!$T$5:$AE$29,8,AC481-1)&gt;0.01))*('Recurring Items'!$H$15&lt;&gt;"Skip")*(DAY(AB481)='Recurring Items'!$F$15)*IFERROR(N('Recurring Items'!$D$15),0)+(IF(AC481=1,'Debt Tracker'!$P$13&gt;0.01,INDEX('Debt Tracker'!$T$5:$AE$29,9,AC481-1)&gt;0.01))*('Recurring Items'!$H$16&lt;&gt;"Skip")*(DAY(AB481)='Recurring Items'!$F$16)*IFERROR(N('Recurring Items'!$D$16),0)+(IF(AC481=1,'Debt Tracker'!$P$14&gt;0.01,INDEX('Debt Tracker'!$T$5:$AE$29,10,AC481-1)&gt;0.01))*('Recurring Items'!$H$17&lt;&gt;"Skip")*(DAY(AB481)='Recurring Items'!$F$17)*IFERROR(N('Recurring Items'!$D$17),0)+(IF(AC481=1,'Debt Tracker'!$P$15&gt;0.01,INDEX('Debt Tracker'!$T$5:$AE$29,11,AC481-1)&gt;0.01))*('Recurring Items'!$H$18&lt;&gt;"Skip")*(DAY(AB481)='Recurring Items'!$F$18)*IFERROR(N('Recurring Items'!$D$18),0)+(IF(AC481=1,'Debt Tracker'!$P$16&gt;0.01,INDEX('Debt Tracker'!$T$5:$AE$29,12,AC481-1)&gt;0.01))*('Recurring Items'!$H$19&lt;&gt;"Skip")*(DAY(AB481)='Recurring Items'!$F$19)*IFERROR(N('Recurring Items'!$D$19),0)+(IF(AC481=1,'Debt Tracker'!$P$17&gt;0.01,INDEX('Debt Tracker'!$T$5:$AE$29,13,AC481-1)&gt;0.01))*('Recurring Items'!$H$20&lt;&gt;"Skip")*(DAY(AB481)='Recurring Items'!$F$20)*IFERROR(N('Recurring Items'!$D$20),0)+(IF(AC481=1,'Debt Tracker'!$P$18&gt;0.01,INDEX('Debt Tracker'!$T$5:$AE$29,14,AC481-1)&gt;0.01))*('Recurring Items'!$H$21&lt;&gt;"Skip")*(DAY(AB481)='Recurring Items'!$F$21)*IFERROR(N('Recurring Items'!$D$21),0)+(IF(AC481=1,'Debt Tracker'!$P$19&gt;0.01,INDEX('Debt Tracker'!$T$5:$AE$29,15,AC481-1)&gt;0.01))*('Recurring Items'!$H$22&lt;&gt;"Skip")*(DAY(AB481)='Recurring Items'!$F$22)*IFERROR(N('Recurring Items'!$D$22),0)+(IF(AC481=1,'Debt Tracker'!$P$20&gt;0.01,INDEX('Debt Tracker'!$T$5:$AE$29,16,AC481-1)&gt;0.01))*('Recurring Items'!$H$23&lt;&gt;"Skip")*(DAY(AB481)='Recurring Items'!$F$23)*IFERROR(N('Recurring Items'!$D$23),0)+(IF(AC481=1,'Debt Tracker'!$P$21&gt;0.01,INDEX('Debt Tracker'!$T$5:$AE$29,17,AC481-1)&gt;0.01))*('Recurring Items'!$H$24&lt;&gt;"Skip")*(DAY(AB481)='Recurring Items'!$F$24)*IFERROR(N('Recurring Items'!$D$24),0)+(IF(AC481=1,'Debt Tracker'!$P$22&gt;0.01,INDEX('Debt Tracker'!$T$5:$AE$29,18,AC481-1)&gt;0.01))*('Recurring Items'!$H$25&lt;&gt;"Skip")*(DAY(AB481)='Recurring Items'!$F$25)*IFERROR(N('Recurring Items'!$D$25),0)+(IF(AC481=1,'Debt Tracker'!$P$23&gt;0.01,INDEX('Debt Tracker'!$T$5:$AE$29,19,AC481-1)&gt;0.01))*('Recurring Items'!$H$26&lt;&gt;"Skip")*(DAY(AB481)='Recurring Items'!$F$26)*IFERROR(N('Recurring Items'!$D$26),0)+(IF(AC481=1,'Debt Tracker'!$P$24&gt;0.01,INDEX('Debt Tracker'!$T$5:$AE$29,20,AC481-1)&gt;0.01))*('Recurring Items'!$H$27&lt;&gt;"Skip")*(DAY(AB481)='Recurring Items'!$F$27)*IFERROR(N('Recurring Items'!$D$27),0)+(IF(AC481=1,'Debt Tracker'!$P$25&gt;0.01,INDEX('Debt Tracker'!$T$5:$AE$29,21,AC481-1)&gt;0.01))*('Recurring Items'!$H$28&lt;&gt;"Skip")*(DAY(AB481)='Recurring Items'!$F$28)*IFERROR(N('Recurring Items'!$D$28),0)+(IF(AC481=1,'Debt Tracker'!$P$26&gt;0.01,INDEX('Debt Tracker'!$T$5:$AE$29,22,AC481-1)&gt;0.01))*('Recurring Items'!$H$29&lt;&gt;"Skip")*(DAY(AB481)='Recurring Items'!$F$29)*IFERROR(N('Recurring Items'!$D$29),0)+(IF(AC481=1,'Debt Tracker'!$P$27&gt;0.01,INDEX('Debt Tracker'!$T$5:$AE$29,23,AC481-1)&gt;0.01))*('Recurring Items'!$H$30&lt;&gt;"Skip")*(DAY(AB481)='Recurring Items'!$F$30)*IFERROR(N('Recurring Items'!$D$30),0)+(IF(AC481=1,'Debt Tracker'!$P$28&gt;0.01,INDEX('Debt Tracker'!$T$5:$AE$29,24,AC481-1)&gt;0.01))*('Recurring Items'!$H$31&lt;&gt;"Skip")*(DAY(AB481)='Recurring Items'!$F$31)*IFERROR(N('Recurring Items'!$D$31),0)+(IF(AC481=1,'Debt Tracker'!$P$29&gt;0.01,INDEX('Debt Tracker'!$T$5:$AE$29,25,AC481-1)&gt;0.01))*('Recurring Items'!$H$32&lt;&gt;"Skip")*(DAY(AB481)='Recurring Items'!$F$32)*IFERROR(N('Recurring Items'!$D$32),0)</f>
        <v>0</v>
      </c>
      <c r="AG481" s="1" t="n">
        <f aca="false">AD481-AE481-AF481</f>
        <v>-651.55</v>
      </c>
      <c r="AH481" s="1" t="n">
        <f aca="false">AH480+AG481</f>
        <v>20773.45</v>
      </c>
    </row>
    <row r="482" customFormat="false" ht="15" hidden="false" customHeight="true" outlineLevel="0" collapsed="false">
      <c r="AA482" s="1" t="n">
        <v>282</v>
      </c>
      <c r="AB482" s="145" t="n">
        <f aca="false">$D$3+282</f>
        <v>46425</v>
      </c>
      <c r="AC482" s="1" t="n">
        <f aca="false">MIN(12,1+DATEDIF($D$3,AB482,"M"))</f>
        <v>10</v>
      </c>
      <c r="AD482" s="1" t="n">
        <f aca="false">SUMPRODUCT(('Recurring Items'!$C$6:$C$56="Income")*('Recurring Items'!$H$6:$H$56&lt;&gt;"Skip")*IFERROR(N('Recurring Items'!$D$6:$D$56),0)*(('Recurring Items'!$E$6:$E$56="Monthly")*(DAY(AB482)='Recurring Items'!$F$6:$F$56)+('Recurring Items'!$E$6:$E$56="Bi-weekly")*(WEEKDAY(AB482)=IFERROR(WEEKDAY('Recurring Items'!$G$6:$G$56),0))*(MOD(AB482-IFERROR('Recurring Items'!$G$6:$G$56,0),14)=0)*(AB482&gt;=IFERROR('Recurring Items'!$G$6:$G$56,9000000000))+('Recurring Items'!$E$6:$E$56="Weekly")*(WEEKDAY(AB482)=IFERROR(WEEKDAY('Recurring Items'!$G$6:$G$56),0))*(AB482&gt;=IFERROR('Recurring Items'!$G$6:$G$56,9000000000))+('Recurring Items'!$E$6:$E$56="One-time")*(AB482='Recurring Items'!$G$6:$G$56)))</f>
        <v>0</v>
      </c>
      <c r="AE482" s="1" t="n">
        <f aca="false">SUMPRODUCT(('Recurring Items'!$C$6:$C$56="Expense")*('Recurring Items'!$H$6:$H$56&lt;&gt;"Skip")*IFERROR(N('Recurring Items'!$D$6:$D$56),0)*(('Recurring Items'!$E$6:$E$56="Monthly")*(DAY(AB482)='Recurring Items'!$F$6:$F$56)+('Recurring Items'!$E$6:$E$56="Bi-weekly")*(WEEKDAY(AB482)=IFERROR(WEEKDAY('Recurring Items'!$G$6:$G$56),0))*(MOD(AB482-IFERROR('Recurring Items'!$G$6:$G$56,0),14)=0)*(AB482&gt;=IFERROR('Recurring Items'!$G$6:$G$56,9000000000))+('Recurring Items'!$E$6:$E$56="Weekly")*(WEEKDAY(AB482)=IFERROR(WEEKDAY('Recurring Items'!$G$6:$G$56),0))*(AB482&gt;=IFERROR('Recurring Items'!$G$6:$G$56,9000000000))+('Recurring Items'!$E$6:$E$56="One-time")*(AB482='Recurring Items'!$G$6:$G$56)))</f>
        <v>672.8</v>
      </c>
      <c r="AF482" s="1" t="n">
        <f aca="false">(IF(AC482=1,'Debt Tracker'!$P$5&gt;0.01,INDEX('Debt Tracker'!$T$5:$AE$29,1,AC482-1)&gt;0.01))*('Recurring Items'!$H$8&lt;&gt;"Skip")*(DAY(AB482)='Recurring Items'!$F$8)*IFERROR(N('Recurring Items'!$D$8),0)+(IF(AC482=1,'Debt Tracker'!$P$6&gt;0.01,INDEX('Debt Tracker'!$T$5:$AE$29,2,AC482-1)&gt;0.01))*('Recurring Items'!$H$9&lt;&gt;"Skip")*(DAY(AB482)='Recurring Items'!$F$9)*IFERROR(N('Recurring Items'!$D$9),0)+(IF(AC482=1,'Debt Tracker'!$P$7&gt;0.01,INDEX('Debt Tracker'!$T$5:$AE$29,3,AC482-1)&gt;0.01))*('Recurring Items'!$H$10&lt;&gt;"Skip")*(DAY(AB482)='Recurring Items'!$F$10)*IFERROR(N('Recurring Items'!$D$10),0)+(IF(AC482=1,'Debt Tracker'!$P$8&gt;0.01,INDEX('Debt Tracker'!$T$5:$AE$29,4,AC482-1)&gt;0.01))*('Recurring Items'!$H$11&lt;&gt;"Skip")*(DAY(AB482)='Recurring Items'!$F$11)*IFERROR(N('Recurring Items'!$D$11),0)+(IF(AC482=1,'Debt Tracker'!$P$9&gt;0.01,INDEX('Debt Tracker'!$T$5:$AE$29,5,AC482-1)&gt;0.01))*('Recurring Items'!$H$12&lt;&gt;"Skip")*(DAY(AB482)='Recurring Items'!$F$12)*IFERROR(N('Recurring Items'!$D$12),0)+(IF(AC482=1,'Debt Tracker'!$P$10&gt;0.01,INDEX('Debt Tracker'!$T$5:$AE$29,6,AC482-1)&gt;0.01))*('Recurring Items'!$H$13&lt;&gt;"Skip")*(DAY(AB482)='Recurring Items'!$F$13)*IFERROR(N('Recurring Items'!$D$13),0)+(IF(AC482=1,'Debt Tracker'!$P$11&gt;0.01,INDEX('Debt Tracker'!$T$5:$AE$29,7,AC482-1)&gt;0.01))*('Recurring Items'!$H$14&lt;&gt;"Skip")*(DAY(AB482)='Recurring Items'!$F$14)*IFERROR(N('Recurring Items'!$D$14),0)+(IF(AC482=1,'Debt Tracker'!$P$12&gt;0.01,INDEX('Debt Tracker'!$T$5:$AE$29,8,AC482-1)&gt;0.01))*('Recurring Items'!$H$15&lt;&gt;"Skip")*(DAY(AB482)='Recurring Items'!$F$15)*IFERROR(N('Recurring Items'!$D$15),0)+(IF(AC482=1,'Debt Tracker'!$P$13&gt;0.01,INDEX('Debt Tracker'!$T$5:$AE$29,9,AC482-1)&gt;0.01))*('Recurring Items'!$H$16&lt;&gt;"Skip")*(DAY(AB482)='Recurring Items'!$F$16)*IFERROR(N('Recurring Items'!$D$16),0)+(IF(AC482=1,'Debt Tracker'!$P$14&gt;0.01,INDEX('Debt Tracker'!$T$5:$AE$29,10,AC482-1)&gt;0.01))*('Recurring Items'!$H$17&lt;&gt;"Skip")*(DAY(AB482)='Recurring Items'!$F$17)*IFERROR(N('Recurring Items'!$D$17),0)+(IF(AC482=1,'Debt Tracker'!$P$15&gt;0.01,INDEX('Debt Tracker'!$T$5:$AE$29,11,AC482-1)&gt;0.01))*('Recurring Items'!$H$18&lt;&gt;"Skip")*(DAY(AB482)='Recurring Items'!$F$18)*IFERROR(N('Recurring Items'!$D$18),0)+(IF(AC482=1,'Debt Tracker'!$P$16&gt;0.01,INDEX('Debt Tracker'!$T$5:$AE$29,12,AC482-1)&gt;0.01))*('Recurring Items'!$H$19&lt;&gt;"Skip")*(DAY(AB482)='Recurring Items'!$F$19)*IFERROR(N('Recurring Items'!$D$19),0)+(IF(AC482=1,'Debt Tracker'!$P$17&gt;0.01,INDEX('Debt Tracker'!$T$5:$AE$29,13,AC482-1)&gt;0.01))*('Recurring Items'!$H$20&lt;&gt;"Skip")*(DAY(AB482)='Recurring Items'!$F$20)*IFERROR(N('Recurring Items'!$D$20),0)+(IF(AC482=1,'Debt Tracker'!$P$18&gt;0.01,INDEX('Debt Tracker'!$T$5:$AE$29,14,AC482-1)&gt;0.01))*('Recurring Items'!$H$21&lt;&gt;"Skip")*(DAY(AB482)='Recurring Items'!$F$21)*IFERROR(N('Recurring Items'!$D$21),0)+(IF(AC482=1,'Debt Tracker'!$P$19&gt;0.01,INDEX('Debt Tracker'!$T$5:$AE$29,15,AC482-1)&gt;0.01))*('Recurring Items'!$H$22&lt;&gt;"Skip")*(DAY(AB482)='Recurring Items'!$F$22)*IFERROR(N('Recurring Items'!$D$22),0)+(IF(AC482=1,'Debt Tracker'!$P$20&gt;0.01,INDEX('Debt Tracker'!$T$5:$AE$29,16,AC482-1)&gt;0.01))*('Recurring Items'!$H$23&lt;&gt;"Skip")*(DAY(AB482)='Recurring Items'!$F$23)*IFERROR(N('Recurring Items'!$D$23),0)+(IF(AC482=1,'Debt Tracker'!$P$21&gt;0.01,INDEX('Debt Tracker'!$T$5:$AE$29,17,AC482-1)&gt;0.01))*('Recurring Items'!$H$24&lt;&gt;"Skip")*(DAY(AB482)='Recurring Items'!$F$24)*IFERROR(N('Recurring Items'!$D$24),0)+(IF(AC482=1,'Debt Tracker'!$P$22&gt;0.01,INDEX('Debt Tracker'!$T$5:$AE$29,18,AC482-1)&gt;0.01))*('Recurring Items'!$H$25&lt;&gt;"Skip")*(DAY(AB482)='Recurring Items'!$F$25)*IFERROR(N('Recurring Items'!$D$25),0)+(IF(AC482=1,'Debt Tracker'!$P$23&gt;0.01,INDEX('Debt Tracker'!$T$5:$AE$29,19,AC482-1)&gt;0.01))*('Recurring Items'!$H$26&lt;&gt;"Skip")*(DAY(AB482)='Recurring Items'!$F$26)*IFERROR(N('Recurring Items'!$D$26),0)+(IF(AC482=1,'Debt Tracker'!$P$24&gt;0.01,INDEX('Debt Tracker'!$T$5:$AE$29,20,AC482-1)&gt;0.01))*('Recurring Items'!$H$27&lt;&gt;"Skip")*(DAY(AB482)='Recurring Items'!$F$27)*IFERROR(N('Recurring Items'!$D$27),0)+(IF(AC482=1,'Debt Tracker'!$P$25&gt;0.01,INDEX('Debt Tracker'!$T$5:$AE$29,21,AC482-1)&gt;0.01))*('Recurring Items'!$H$28&lt;&gt;"Skip")*(DAY(AB482)='Recurring Items'!$F$28)*IFERROR(N('Recurring Items'!$D$28),0)+(IF(AC482=1,'Debt Tracker'!$P$26&gt;0.01,INDEX('Debt Tracker'!$T$5:$AE$29,22,AC482-1)&gt;0.01))*('Recurring Items'!$H$29&lt;&gt;"Skip")*(DAY(AB482)='Recurring Items'!$F$29)*IFERROR(N('Recurring Items'!$D$29),0)+(IF(AC482=1,'Debt Tracker'!$P$27&gt;0.01,INDEX('Debt Tracker'!$T$5:$AE$29,23,AC482-1)&gt;0.01))*('Recurring Items'!$H$30&lt;&gt;"Skip")*(DAY(AB482)='Recurring Items'!$F$30)*IFERROR(N('Recurring Items'!$D$30),0)+(IF(AC482=1,'Debt Tracker'!$P$28&gt;0.01,INDEX('Debt Tracker'!$T$5:$AE$29,24,AC482-1)&gt;0.01))*('Recurring Items'!$H$31&lt;&gt;"Skip")*(DAY(AB482)='Recurring Items'!$F$31)*IFERROR(N('Recurring Items'!$D$31),0)+(IF(AC482=1,'Debt Tracker'!$P$29&gt;0.01,INDEX('Debt Tracker'!$T$5:$AE$29,25,AC482-1)&gt;0.01))*('Recurring Items'!$H$32&lt;&gt;"Skip")*(DAY(AB482)='Recurring Items'!$F$32)*IFERROR(N('Recurring Items'!$D$32),0)</f>
        <v>0</v>
      </c>
      <c r="AG482" s="1" t="n">
        <f aca="false">AD482-AE482-AF482</f>
        <v>-672.8</v>
      </c>
      <c r="AH482" s="1" t="n">
        <f aca="false">AH481+AG482</f>
        <v>20100.65</v>
      </c>
    </row>
    <row r="483" customFormat="false" ht="15" hidden="false" customHeight="true" outlineLevel="0" collapsed="false">
      <c r="AA483" s="1" t="n">
        <v>283</v>
      </c>
      <c r="AB483" s="145" t="n">
        <f aca="false">$D$3+283</f>
        <v>46426</v>
      </c>
      <c r="AC483" s="1" t="n">
        <f aca="false">MIN(12,1+DATEDIF($D$3,AB483,"M"))</f>
        <v>10</v>
      </c>
      <c r="AD483" s="1" t="n">
        <f aca="false">SUMPRODUCT(('Recurring Items'!$C$6:$C$56="Income")*('Recurring Items'!$H$6:$H$56&lt;&gt;"Skip")*IFERROR(N('Recurring Items'!$D$6:$D$56),0)*(('Recurring Items'!$E$6:$E$56="Monthly")*(DAY(AB483)='Recurring Items'!$F$6:$F$56)+('Recurring Items'!$E$6:$E$56="Bi-weekly")*(WEEKDAY(AB483)=IFERROR(WEEKDAY('Recurring Items'!$G$6:$G$56),0))*(MOD(AB483-IFERROR('Recurring Items'!$G$6:$G$56,0),14)=0)*(AB483&gt;=IFERROR('Recurring Items'!$G$6:$G$56,9000000000))+('Recurring Items'!$E$6:$E$56="Weekly")*(WEEKDAY(AB483)=IFERROR(WEEKDAY('Recurring Items'!$G$6:$G$56),0))*(AB483&gt;=IFERROR('Recurring Items'!$G$6:$G$56,9000000000))+('Recurring Items'!$E$6:$E$56="One-time")*(AB483='Recurring Items'!$G$6:$G$56)))</f>
        <v>0</v>
      </c>
      <c r="AE483" s="1" t="n">
        <f aca="false">SUMPRODUCT(('Recurring Items'!$C$6:$C$56="Expense")*('Recurring Items'!$H$6:$H$56&lt;&gt;"Skip")*IFERROR(N('Recurring Items'!$D$6:$D$56),0)*(('Recurring Items'!$E$6:$E$56="Monthly")*(DAY(AB483)='Recurring Items'!$F$6:$F$56)+('Recurring Items'!$E$6:$E$56="Bi-weekly")*(WEEKDAY(AB483)=IFERROR(WEEKDAY('Recurring Items'!$G$6:$G$56),0))*(MOD(AB483-IFERROR('Recurring Items'!$G$6:$G$56,0),14)=0)*(AB483&gt;=IFERROR('Recurring Items'!$G$6:$G$56,9000000000))+('Recurring Items'!$E$6:$E$56="Weekly")*(WEEKDAY(AB483)=IFERROR(WEEKDAY('Recurring Items'!$G$6:$G$56),0))*(AB483&gt;=IFERROR('Recurring Items'!$G$6:$G$56,9000000000))+('Recurring Items'!$E$6:$E$56="One-time")*(AB483='Recurring Items'!$G$6:$G$56)))</f>
        <v>53.85</v>
      </c>
      <c r="AF483" s="1" t="n">
        <f aca="false">(IF(AC483=1,'Debt Tracker'!$P$5&gt;0.01,INDEX('Debt Tracker'!$T$5:$AE$29,1,AC483-1)&gt;0.01))*('Recurring Items'!$H$8&lt;&gt;"Skip")*(DAY(AB483)='Recurring Items'!$F$8)*IFERROR(N('Recurring Items'!$D$8),0)+(IF(AC483=1,'Debt Tracker'!$P$6&gt;0.01,INDEX('Debt Tracker'!$T$5:$AE$29,2,AC483-1)&gt;0.01))*('Recurring Items'!$H$9&lt;&gt;"Skip")*(DAY(AB483)='Recurring Items'!$F$9)*IFERROR(N('Recurring Items'!$D$9),0)+(IF(AC483=1,'Debt Tracker'!$P$7&gt;0.01,INDEX('Debt Tracker'!$T$5:$AE$29,3,AC483-1)&gt;0.01))*('Recurring Items'!$H$10&lt;&gt;"Skip")*(DAY(AB483)='Recurring Items'!$F$10)*IFERROR(N('Recurring Items'!$D$10),0)+(IF(AC483=1,'Debt Tracker'!$P$8&gt;0.01,INDEX('Debt Tracker'!$T$5:$AE$29,4,AC483-1)&gt;0.01))*('Recurring Items'!$H$11&lt;&gt;"Skip")*(DAY(AB483)='Recurring Items'!$F$11)*IFERROR(N('Recurring Items'!$D$11),0)+(IF(AC483=1,'Debt Tracker'!$P$9&gt;0.01,INDEX('Debt Tracker'!$T$5:$AE$29,5,AC483-1)&gt;0.01))*('Recurring Items'!$H$12&lt;&gt;"Skip")*(DAY(AB483)='Recurring Items'!$F$12)*IFERROR(N('Recurring Items'!$D$12),0)+(IF(AC483=1,'Debt Tracker'!$P$10&gt;0.01,INDEX('Debt Tracker'!$T$5:$AE$29,6,AC483-1)&gt;0.01))*('Recurring Items'!$H$13&lt;&gt;"Skip")*(DAY(AB483)='Recurring Items'!$F$13)*IFERROR(N('Recurring Items'!$D$13),0)+(IF(AC483=1,'Debt Tracker'!$P$11&gt;0.01,INDEX('Debt Tracker'!$T$5:$AE$29,7,AC483-1)&gt;0.01))*('Recurring Items'!$H$14&lt;&gt;"Skip")*(DAY(AB483)='Recurring Items'!$F$14)*IFERROR(N('Recurring Items'!$D$14),0)+(IF(AC483=1,'Debt Tracker'!$P$12&gt;0.01,INDEX('Debt Tracker'!$T$5:$AE$29,8,AC483-1)&gt;0.01))*('Recurring Items'!$H$15&lt;&gt;"Skip")*(DAY(AB483)='Recurring Items'!$F$15)*IFERROR(N('Recurring Items'!$D$15),0)+(IF(AC483=1,'Debt Tracker'!$P$13&gt;0.01,INDEX('Debt Tracker'!$T$5:$AE$29,9,AC483-1)&gt;0.01))*('Recurring Items'!$H$16&lt;&gt;"Skip")*(DAY(AB483)='Recurring Items'!$F$16)*IFERROR(N('Recurring Items'!$D$16),0)+(IF(AC483=1,'Debt Tracker'!$P$14&gt;0.01,INDEX('Debt Tracker'!$T$5:$AE$29,10,AC483-1)&gt;0.01))*('Recurring Items'!$H$17&lt;&gt;"Skip")*(DAY(AB483)='Recurring Items'!$F$17)*IFERROR(N('Recurring Items'!$D$17),0)+(IF(AC483=1,'Debt Tracker'!$P$15&gt;0.01,INDEX('Debt Tracker'!$T$5:$AE$29,11,AC483-1)&gt;0.01))*('Recurring Items'!$H$18&lt;&gt;"Skip")*(DAY(AB483)='Recurring Items'!$F$18)*IFERROR(N('Recurring Items'!$D$18),0)+(IF(AC483=1,'Debt Tracker'!$P$16&gt;0.01,INDEX('Debt Tracker'!$T$5:$AE$29,12,AC483-1)&gt;0.01))*('Recurring Items'!$H$19&lt;&gt;"Skip")*(DAY(AB483)='Recurring Items'!$F$19)*IFERROR(N('Recurring Items'!$D$19),0)+(IF(AC483=1,'Debt Tracker'!$P$17&gt;0.01,INDEX('Debt Tracker'!$T$5:$AE$29,13,AC483-1)&gt;0.01))*('Recurring Items'!$H$20&lt;&gt;"Skip")*(DAY(AB483)='Recurring Items'!$F$20)*IFERROR(N('Recurring Items'!$D$20),0)+(IF(AC483=1,'Debt Tracker'!$P$18&gt;0.01,INDEX('Debt Tracker'!$T$5:$AE$29,14,AC483-1)&gt;0.01))*('Recurring Items'!$H$21&lt;&gt;"Skip")*(DAY(AB483)='Recurring Items'!$F$21)*IFERROR(N('Recurring Items'!$D$21),0)+(IF(AC483=1,'Debt Tracker'!$P$19&gt;0.01,INDEX('Debt Tracker'!$T$5:$AE$29,15,AC483-1)&gt;0.01))*('Recurring Items'!$H$22&lt;&gt;"Skip")*(DAY(AB483)='Recurring Items'!$F$22)*IFERROR(N('Recurring Items'!$D$22),0)+(IF(AC483=1,'Debt Tracker'!$P$20&gt;0.01,INDEX('Debt Tracker'!$T$5:$AE$29,16,AC483-1)&gt;0.01))*('Recurring Items'!$H$23&lt;&gt;"Skip")*(DAY(AB483)='Recurring Items'!$F$23)*IFERROR(N('Recurring Items'!$D$23),0)+(IF(AC483=1,'Debt Tracker'!$P$21&gt;0.01,INDEX('Debt Tracker'!$T$5:$AE$29,17,AC483-1)&gt;0.01))*('Recurring Items'!$H$24&lt;&gt;"Skip")*(DAY(AB483)='Recurring Items'!$F$24)*IFERROR(N('Recurring Items'!$D$24),0)+(IF(AC483=1,'Debt Tracker'!$P$22&gt;0.01,INDEX('Debt Tracker'!$T$5:$AE$29,18,AC483-1)&gt;0.01))*('Recurring Items'!$H$25&lt;&gt;"Skip")*(DAY(AB483)='Recurring Items'!$F$25)*IFERROR(N('Recurring Items'!$D$25),0)+(IF(AC483=1,'Debt Tracker'!$P$23&gt;0.01,INDEX('Debt Tracker'!$T$5:$AE$29,19,AC483-1)&gt;0.01))*('Recurring Items'!$H$26&lt;&gt;"Skip")*(DAY(AB483)='Recurring Items'!$F$26)*IFERROR(N('Recurring Items'!$D$26),0)+(IF(AC483=1,'Debt Tracker'!$P$24&gt;0.01,INDEX('Debt Tracker'!$T$5:$AE$29,20,AC483-1)&gt;0.01))*('Recurring Items'!$H$27&lt;&gt;"Skip")*(DAY(AB483)='Recurring Items'!$F$27)*IFERROR(N('Recurring Items'!$D$27),0)+(IF(AC483=1,'Debt Tracker'!$P$25&gt;0.01,INDEX('Debt Tracker'!$T$5:$AE$29,21,AC483-1)&gt;0.01))*('Recurring Items'!$H$28&lt;&gt;"Skip")*(DAY(AB483)='Recurring Items'!$F$28)*IFERROR(N('Recurring Items'!$D$28),0)+(IF(AC483=1,'Debt Tracker'!$P$26&gt;0.01,INDEX('Debt Tracker'!$T$5:$AE$29,22,AC483-1)&gt;0.01))*('Recurring Items'!$H$29&lt;&gt;"Skip")*(DAY(AB483)='Recurring Items'!$F$29)*IFERROR(N('Recurring Items'!$D$29),0)+(IF(AC483=1,'Debt Tracker'!$P$27&gt;0.01,INDEX('Debt Tracker'!$T$5:$AE$29,23,AC483-1)&gt;0.01))*('Recurring Items'!$H$30&lt;&gt;"Skip")*(DAY(AB483)='Recurring Items'!$F$30)*IFERROR(N('Recurring Items'!$D$30),0)+(IF(AC483=1,'Debt Tracker'!$P$28&gt;0.01,INDEX('Debt Tracker'!$T$5:$AE$29,24,AC483-1)&gt;0.01))*('Recurring Items'!$H$31&lt;&gt;"Skip")*(DAY(AB483)='Recurring Items'!$F$31)*IFERROR(N('Recurring Items'!$D$31),0)+(IF(AC483=1,'Debt Tracker'!$P$29&gt;0.01,INDEX('Debt Tracker'!$T$5:$AE$29,25,AC483-1)&gt;0.01))*('Recurring Items'!$H$32&lt;&gt;"Skip")*(DAY(AB483)='Recurring Items'!$F$32)*IFERROR(N('Recurring Items'!$D$32),0)</f>
        <v>0</v>
      </c>
      <c r="AG483" s="1" t="n">
        <f aca="false">AD483-AE483-AF483</f>
        <v>-53.85</v>
      </c>
      <c r="AH483" s="1" t="n">
        <f aca="false">AH482+AG483</f>
        <v>20046.8</v>
      </c>
    </row>
    <row r="484" customFormat="false" ht="15" hidden="false" customHeight="true" outlineLevel="0" collapsed="false">
      <c r="AA484" s="1" t="n">
        <v>284</v>
      </c>
      <c r="AB484" s="145" t="n">
        <f aca="false">$D$3+284</f>
        <v>46427</v>
      </c>
      <c r="AC484" s="1" t="n">
        <f aca="false">MIN(12,1+DATEDIF($D$3,AB484,"M"))</f>
        <v>10</v>
      </c>
      <c r="AD484" s="1" t="n">
        <f aca="false">SUMPRODUCT(('Recurring Items'!$C$6:$C$56="Income")*('Recurring Items'!$H$6:$H$56&lt;&gt;"Skip")*IFERROR(N('Recurring Items'!$D$6:$D$56),0)*(('Recurring Items'!$E$6:$E$56="Monthly")*(DAY(AB484)='Recurring Items'!$F$6:$F$56)+('Recurring Items'!$E$6:$E$56="Bi-weekly")*(WEEKDAY(AB484)=IFERROR(WEEKDAY('Recurring Items'!$G$6:$G$56),0))*(MOD(AB484-IFERROR('Recurring Items'!$G$6:$G$56,0),14)=0)*(AB484&gt;=IFERROR('Recurring Items'!$G$6:$G$56,9000000000))+('Recurring Items'!$E$6:$E$56="Weekly")*(WEEKDAY(AB484)=IFERROR(WEEKDAY('Recurring Items'!$G$6:$G$56),0))*(AB484&gt;=IFERROR('Recurring Items'!$G$6:$G$56,9000000000))+('Recurring Items'!$E$6:$E$56="One-time")*(AB484='Recurring Items'!$G$6:$G$56)))</f>
        <v>0</v>
      </c>
      <c r="AE484" s="1" t="n">
        <f aca="false">SUMPRODUCT(('Recurring Items'!$C$6:$C$56="Expense")*('Recurring Items'!$H$6:$H$56&lt;&gt;"Skip")*IFERROR(N('Recurring Items'!$D$6:$D$56),0)*(('Recurring Items'!$E$6:$E$56="Monthly")*(DAY(AB484)='Recurring Items'!$F$6:$F$56)+('Recurring Items'!$E$6:$E$56="Bi-weekly")*(WEEKDAY(AB484)=IFERROR(WEEKDAY('Recurring Items'!$G$6:$G$56),0))*(MOD(AB484-IFERROR('Recurring Items'!$G$6:$G$56,0),14)=0)*(AB484&gt;=IFERROR('Recurring Items'!$G$6:$G$56,9000000000))+('Recurring Items'!$E$6:$E$56="Weekly")*(WEEKDAY(AB484)=IFERROR(WEEKDAY('Recurring Items'!$G$6:$G$56),0))*(AB484&gt;=IFERROR('Recurring Items'!$G$6:$G$56,9000000000))+('Recurring Items'!$E$6:$E$56="One-time")*(AB484='Recurring Items'!$G$6:$G$56)))</f>
        <v>0</v>
      </c>
      <c r="AF484" s="1" t="n">
        <f aca="false">(IF(AC484=1,'Debt Tracker'!$P$5&gt;0.01,INDEX('Debt Tracker'!$T$5:$AE$29,1,AC484-1)&gt;0.01))*('Recurring Items'!$H$8&lt;&gt;"Skip")*(DAY(AB484)='Recurring Items'!$F$8)*IFERROR(N('Recurring Items'!$D$8),0)+(IF(AC484=1,'Debt Tracker'!$P$6&gt;0.01,INDEX('Debt Tracker'!$T$5:$AE$29,2,AC484-1)&gt;0.01))*('Recurring Items'!$H$9&lt;&gt;"Skip")*(DAY(AB484)='Recurring Items'!$F$9)*IFERROR(N('Recurring Items'!$D$9),0)+(IF(AC484=1,'Debt Tracker'!$P$7&gt;0.01,INDEX('Debt Tracker'!$T$5:$AE$29,3,AC484-1)&gt;0.01))*('Recurring Items'!$H$10&lt;&gt;"Skip")*(DAY(AB484)='Recurring Items'!$F$10)*IFERROR(N('Recurring Items'!$D$10),0)+(IF(AC484=1,'Debt Tracker'!$P$8&gt;0.01,INDEX('Debt Tracker'!$T$5:$AE$29,4,AC484-1)&gt;0.01))*('Recurring Items'!$H$11&lt;&gt;"Skip")*(DAY(AB484)='Recurring Items'!$F$11)*IFERROR(N('Recurring Items'!$D$11),0)+(IF(AC484=1,'Debt Tracker'!$P$9&gt;0.01,INDEX('Debt Tracker'!$T$5:$AE$29,5,AC484-1)&gt;0.01))*('Recurring Items'!$H$12&lt;&gt;"Skip")*(DAY(AB484)='Recurring Items'!$F$12)*IFERROR(N('Recurring Items'!$D$12),0)+(IF(AC484=1,'Debt Tracker'!$P$10&gt;0.01,INDEX('Debt Tracker'!$T$5:$AE$29,6,AC484-1)&gt;0.01))*('Recurring Items'!$H$13&lt;&gt;"Skip")*(DAY(AB484)='Recurring Items'!$F$13)*IFERROR(N('Recurring Items'!$D$13),0)+(IF(AC484=1,'Debt Tracker'!$P$11&gt;0.01,INDEX('Debt Tracker'!$T$5:$AE$29,7,AC484-1)&gt;0.01))*('Recurring Items'!$H$14&lt;&gt;"Skip")*(DAY(AB484)='Recurring Items'!$F$14)*IFERROR(N('Recurring Items'!$D$14),0)+(IF(AC484=1,'Debt Tracker'!$P$12&gt;0.01,INDEX('Debt Tracker'!$T$5:$AE$29,8,AC484-1)&gt;0.01))*('Recurring Items'!$H$15&lt;&gt;"Skip")*(DAY(AB484)='Recurring Items'!$F$15)*IFERROR(N('Recurring Items'!$D$15),0)+(IF(AC484=1,'Debt Tracker'!$P$13&gt;0.01,INDEX('Debt Tracker'!$T$5:$AE$29,9,AC484-1)&gt;0.01))*('Recurring Items'!$H$16&lt;&gt;"Skip")*(DAY(AB484)='Recurring Items'!$F$16)*IFERROR(N('Recurring Items'!$D$16),0)+(IF(AC484=1,'Debt Tracker'!$P$14&gt;0.01,INDEX('Debt Tracker'!$T$5:$AE$29,10,AC484-1)&gt;0.01))*('Recurring Items'!$H$17&lt;&gt;"Skip")*(DAY(AB484)='Recurring Items'!$F$17)*IFERROR(N('Recurring Items'!$D$17),0)+(IF(AC484=1,'Debt Tracker'!$P$15&gt;0.01,INDEX('Debt Tracker'!$T$5:$AE$29,11,AC484-1)&gt;0.01))*('Recurring Items'!$H$18&lt;&gt;"Skip")*(DAY(AB484)='Recurring Items'!$F$18)*IFERROR(N('Recurring Items'!$D$18),0)+(IF(AC484=1,'Debt Tracker'!$P$16&gt;0.01,INDEX('Debt Tracker'!$T$5:$AE$29,12,AC484-1)&gt;0.01))*('Recurring Items'!$H$19&lt;&gt;"Skip")*(DAY(AB484)='Recurring Items'!$F$19)*IFERROR(N('Recurring Items'!$D$19),0)+(IF(AC484=1,'Debt Tracker'!$P$17&gt;0.01,INDEX('Debt Tracker'!$T$5:$AE$29,13,AC484-1)&gt;0.01))*('Recurring Items'!$H$20&lt;&gt;"Skip")*(DAY(AB484)='Recurring Items'!$F$20)*IFERROR(N('Recurring Items'!$D$20),0)+(IF(AC484=1,'Debt Tracker'!$P$18&gt;0.01,INDEX('Debt Tracker'!$T$5:$AE$29,14,AC484-1)&gt;0.01))*('Recurring Items'!$H$21&lt;&gt;"Skip")*(DAY(AB484)='Recurring Items'!$F$21)*IFERROR(N('Recurring Items'!$D$21),0)+(IF(AC484=1,'Debt Tracker'!$P$19&gt;0.01,INDEX('Debt Tracker'!$T$5:$AE$29,15,AC484-1)&gt;0.01))*('Recurring Items'!$H$22&lt;&gt;"Skip")*(DAY(AB484)='Recurring Items'!$F$22)*IFERROR(N('Recurring Items'!$D$22),0)+(IF(AC484=1,'Debt Tracker'!$P$20&gt;0.01,INDEX('Debt Tracker'!$T$5:$AE$29,16,AC484-1)&gt;0.01))*('Recurring Items'!$H$23&lt;&gt;"Skip")*(DAY(AB484)='Recurring Items'!$F$23)*IFERROR(N('Recurring Items'!$D$23),0)+(IF(AC484=1,'Debt Tracker'!$P$21&gt;0.01,INDEX('Debt Tracker'!$T$5:$AE$29,17,AC484-1)&gt;0.01))*('Recurring Items'!$H$24&lt;&gt;"Skip")*(DAY(AB484)='Recurring Items'!$F$24)*IFERROR(N('Recurring Items'!$D$24),0)+(IF(AC484=1,'Debt Tracker'!$P$22&gt;0.01,INDEX('Debt Tracker'!$T$5:$AE$29,18,AC484-1)&gt;0.01))*('Recurring Items'!$H$25&lt;&gt;"Skip")*(DAY(AB484)='Recurring Items'!$F$25)*IFERROR(N('Recurring Items'!$D$25),0)+(IF(AC484=1,'Debt Tracker'!$P$23&gt;0.01,INDEX('Debt Tracker'!$T$5:$AE$29,19,AC484-1)&gt;0.01))*('Recurring Items'!$H$26&lt;&gt;"Skip")*(DAY(AB484)='Recurring Items'!$F$26)*IFERROR(N('Recurring Items'!$D$26),0)+(IF(AC484=1,'Debt Tracker'!$P$24&gt;0.01,INDEX('Debt Tracker'!$T$5:$AE$29,20,AC484-1)&gt;0.01))*('Recurring Items'!$H$27&lt;&gt;"Skip")*(DAY(AB484)='Recurring Items'!$F$27)*IFERROR(N('Recurring Items'!$D$27),0)+(IF(AC484=1,'Debt Tracker'!$P$25&gt;0.01,INDEX('Debt Tracker'!$T$5:$AE$29,21,AC484-1)&gt;0.01))*('Recurring Items'!$H$28&lt;&gt;"Skip")*(DAY(AB484)='Recurring Items'!$F$28)*IFERROR(N('Recurring Items'!$D$28),0)+(IF(AC484=1,'Debt Tracker'!$P$26&gt;0.01,INDEX('Debt Tracker'!$T$5:$AE$29,22,AC484-1)&gt;0.01))*('Recurring Items'!$H$29&lt;&gt;"Skip")*(DAY(AB484)='Recurring Items'!$F$29)*IFERROR(N('Recurring Items'!$D$29),0)+(IF(AC484=1,'Debt Tracker'!$P$27&gt;0.01,INDEX('Debt Tracker'!$T$5:$AE$29,23,AC484-1)&gt;0.01))*('Recurring Items'!$H$30&lt;&gt;"Skip")*(DAY(AB484)='Recurring Items'!$F$30)*IFERROR(N('Recurring Items'!$D$30),0)+(IF(AC484=1,'Debt Tracker'!$P$28&gt;0.01,INDEX('Debt Tracker'!$T$5:$AE$29,24,AC484-1)&gt;0.01))*('Recurring Items'!$H$31&lt;&gt;"Skip")*(DAY(AB484)='Recurring Items'!$F$31)*IFERROR(N('Recurring Items'!$D$31),0)+(IF(AC484=1,'Debt Tracker'!$P$29&gt;0.01,INDEX('Debt Tracker'!$T$5:$AE$29,25,AC484-1)&gt;0.01))*('Recurring Items'!$H$32&lt;&gt;"Skip")*(DAY(AB484)='Recurring Items'!$F$32)*IFERROR(N('Recurring Items'!$D$32),0)</f>
        <v>0</v>
      </c>
      <c r="AG484" s="1" t="n">
        <f aca="false">AD484-AE484-AF484</f>
        <v>0</v>
      </c>
      <c r="AH484" s="1" t="n">
        <f aca="false">AH483+AG484</f>
        <v>20046.8</v>
      </c>
    </row>
    <row r="485" customFormat="false" ht="15" hidden="false" customHeight="true" outlineLevel="0" collapsed="false">
      <c r="AA485" s="1" t="n">
        <v>285</v>
      </c>
      <c r="AB485" s="145" t="n">
        <f aca="false">$D$3+285</f>
        <v>46428</v>
      </c>
      <c r="AC485" s="1" t="n">
        <f aca="false">MIN(12,1+DATEDIF($D$3,AB485,"M"))</f>
        <v>10</v>
      </c>
      <c r="AD485" s="1" t="n">
        <f aca="false">SUMPRODUCT(('Recurring Items'!$C$6:$C$56="Income")*('Recurring Items'!$H$6:$H$56&lt;&gt;"Skip")*IFERROR(N('Recurring Items'!$D$6:$D$56),0)*(('Recurring Items'!$E$6:$E$56="Monthly")*(DAY(AB485)='Recurring Items'!$F$6:$F$56)+('Recurring Items'!$E$6:$E$56="Bi-weekly")*(WEEKDAY(AB485)=IFERROR(WEEKDAY('Recurring Items'!$G$6:$G$56),0))*(MOD(AB485-IFERROR('Recurring Items'!$G$6:$G$56,0),14)=0)*(AB485&gt;=IFERROR('Recurring Items'!$G$6:$G$56,9000000000))+('Recurring Items'!$E$6:$E$56="Weekly")*(WEEKDAY(AB485)=IFERROR(WEEKDAY('Recurring Items'!$G$6:$G$56),0))*(AB485&gt;=IFERROR('Recurring Items'!$G$6:$G$56,9000000000))+('Recurring Items'!$E$6:$E$56="One-time")*(AB485='Recurring Items'!$G$6:$G$56)))</f>
        <v>0</v>
      </c>
      <c r="AE485" s="1" t="n">
        <f aca="false">SUMPRODUCT(('Recurring Items'!$C$6:$C$56="Expense")*('Recurring Items'!$H$6:$H$56&lt;&gt;"Skip")*IFERROR(N('Recurring Items'!$D$6:$D$56),0)*(('Recurring Items'!$E$6:$E$56="Monthly")*(DAY(AB485)='Recurring Items'!$F$6:$F$56)+('Recurring Items'!$E$6:$E$56="Bi-weekly")*(WEEKDAY(AB485)=IFERROR(WEEKDAY('Recurring Items'!$G$6:$G$56),0))*(MOD(AB485-IFERROR('Recurring Items'!$G$6:$G$56,0),14)=0)*(AB485&gt;=IFERROR('Recurring Items'!$G$6:$G$56,9000000000))+('Recurring Items'!$E$6:$E$56="Weekly")*(WEEKDAY(AB485)=IFERROR(WEEKDAY('Recurring Items'!$G$6:$G$56),0))*(AB485&gt;=IFERROR('Recurring Items'!$G$6:$G$56,9000000000))+('Recurring Items'!$E$6:$E$56="One-time")*(AB485='Recurring Items'!$G$6:$G$56)))</f>
        <v>340.22</v>
      </c>
      <c r="AF485" s="1" t="n">
        <f aca="false">(IF(AC485=1,'Debt Tracker'!$P$5&gt;0.01,INDEX('Debt Tracker'!$T$5:$AE$29,1,AC485-1)&gt;0.01))*('Recurring Items'!$H$8&lt;&gt;"Skip")*(DAY(AB485)='Recurring Items'!$F$8)*IFERROR(N('Recurring Items'!$D$8),0)+(IF(AC485=1,'Debt Tracker'!$P$6&gt;0.01,INDEX('Debt Tracker'!$T$5:$AE$29,2,AC485-1)&gt;0.01))*('Recurring Items'!$H$9&lt;&gt;"Skip")*(DAY(AB485)='Recurring Items'!$F$9)*IFERROR(N('Recurring Items'!$D$9),0)+(IF(AC485=1,'Debt Tracker'!$P$7&gt;0.01,INDEX('Debt Tracker'!$T$5:$AE$29,3,AC485-1)&gt;0.01))*('Recurring Items'!$H$10&lt;&gt;"Skip")*(DAY(AB485)='Recurring Items'!$F$10)*IFERROR(N('Recurring Items'!$D$10),0)+(IF(AC485=1,'Debt Tracker'!$P$8&gt;0.01,INDEX('Debt Tracker'!$T$5:$AE$29,4,AC485-1)&gt;0.01))*('Recurring Items'!$H$11&lt;&gt;"Skip")*(DAY(AB485)='Recurring Items'!$F$11)*IFERROR(N('Recurring Items'!$D$11),0)+(IF(AC485=1,'Debt Tracker'!$P$9&gt;0.01,INDEX('Debt Tracker'!$T$5:$AE$29,5,AC485-1)&gt;0.01))*('Recurring Items'!$H$12&lt;&gt;"Skip")*(DAY(AB485)='Recurring Items'!$F$12)*IFERROR(N('Recurring Items'!$D$12),0)+(IF(AC485=1,'Debt Tracker'!$P$10&gt;0.01,INDEX('Debt Tracker'!$T$5:$AE$29,6,AC485-1)&gt;0.01))*('Recurring Items'!$H$13&lt;&gt;"Skip")*(DAY(AB485)='Recurring Items'!$F$13)*IFERROR(N('Recurring Items'!$D$13),0)+(IF(AC485=1,'Debt Tracker'!$P$11&gt;0.01,INDEX('Debt Tracker'!$T$5:$AE$29,7,AC485-1)&gt;0.01))*('Recurring Items'!$H$14&lt;&gt;"Skip")*(DAY(AB485)='Recurring Items'!$F$14)*IFERROR(N('Recurring Items'!$D$14),0)+(IF(AC485=1,'Debt Tracker'!$P$12&gt;0.01,INDEX('Debt Tracker'!$T$5:$AE$29,8,AC485-1)&gt;0.01))*('Recurring Items'!$H$15&lt;&gt;"Skip")*(DAY(AB485)='Recurring Items'!$F$15)*IFERROR(N('Recurring Items'!$D$15),0)+(IF(AC485=1,'Debt Tracker'!$P$13&gt;0.01,INDEX('Debt Tracker'!$T$5:$AE$29,9,AC485-1)&gt;0.01))*('Recurring Items'!$H$16&lt;&gt;"Skip")*(DAY(AB485)='Recurring Items'!$F$16)*IFERROR(N('Recurring Items'!$D$16),0)+(IF(AC485=1,'Debt Tracker'!$P$14&gt;0.01,INDEX('Debt Tracker'!$T$5:$AE$29,10,AC485-1)&gt;0.01))*('Recurring Items'!$H$17&lt;&gt;"Skip")*(DAY(AB485)='Recurring Items'!$F$17)*IFERROR(N('Recurring Items'!$D$17),0)+(IF(AC485=1,'Debt Tracker'!$P$15&gt;0.01,INDEX('Debt Tracker'!$T$5:$AE$29,11,AC485-1)&gt;0.01))*('Recurring Items'!$H$18&lt;&gt;"Skip")*(DAY(AB485)='Recurring Items'!$F$18)*IFERROR(N('Recurring Items'!$D$18),0)+(IF(AC485=1,'Debt Tracker'!$P$16&gt;0.01,INDEX('Debt Tracker'!$T$5:$AE$29,12,AC485-1)&gt;0.01))*('Recurring Items'!$H$19&lt;&gt;"Skip")*(DAY(AB485)='Recurring Items'!$F$19)*IFERROR(N('Recurring Items'!$D$19),0)+(IF(AC485=1,'Debt Tracker'!$P$17&gt;0.01,INDEX('Debt Tracker'!$T$5:$AE$29,13,AC485-1)&gt;0.01))*('Recurring Items'!$H$20&lt;&gt;"Skip")*(DAY(AB485)='Recurring Items'!$F$20)*IFERROR(N('Recurring Items'!$D$20),0)+(IF(AC485=1,'Debt Tracker'!$P$18&gt;0.01,INDEX('Debt Tracker'!$T$5:$AE$29,14,AC485-1)&gt;0.01))*('Recurring Items'!$H$21&lt;&gt;"Skip")*(DAY(AB485)='Recurring Items'!$F$21)*IFERROR(N('Recurring Items'!$D$21),0)+(IF(AC485=1,'Debt Tracker'!$P$19&gt;0.01,INDEX('Debt Tracker'!$T$5:$AE$29,15,AC485-1)&gt;0.01))*('Recurring Items'!$H$22&lt;&gt;"Skip")*(DAY(AB485)='Recurring Items'!$F$22)*IFERROR(N('Recurring Items'!$D$22),0)+(IF(AC485=1,'Debt Tracker'!$P$20&gt;0.01,INDEX('Debt Tracker'!$T$5:$AE$29,16,AC485-1)&gt;0.01))*('Recurring Items'!$H$23&lt;&gt;"Skip")*(DAY(AB485)='Recurring Items'!$F$23)*IFERROR(N('Recurring Items'!$D$23),0)+(IF(AC485=1,'Debt Tracker'!$P$21&gt;0.01,INDEX('Debt Tracker'!$T$5:$AE$29,17,AC485-1)&gt;0.01))*('Recurring Items'!$H$24&lt;&gt;"Skip")*(DAY(AB485)='Recurring Items'!$F$24)*IFERROR(N('Recurring Items'!$D$24),0)+(IF(AC485=1,'Debt Tracker'!$P$22&gt;0.01,INDEX('Debt Tracker'!$T$5:$AE$29,18,AC485-1)&gt;0.01))*('Recurring Items'!$H$25&lt;&gt;"Skip")*(DAY(AB485)='Recurring Items'!$F$25)*IFERROR(N('Recurring Items'!$D$25),0)+(IF(AC485=1,'Debt Tracker'!$P$23&gt;0.01,INDEX('Debt Tracker'!$T$5:$AE$29,19,AC485-1)&gt;0.01))*('Recurring Items'!$H$26&lt;&gt;"Skip")*(DAY(AB485)='Recurring Items'!$F$26)*IFERROR(N('Recurring Items'!$D$26),0)+(IF(AC485=1,'Debt Tracker'!$P$24&gt;0.01,INDEX('Debt Tracker'!$T$5:$AE$29,20,AC485-1)&gt;0.01))*('Recurring Items'!$H$27&lt;&gt;"Skip")*(DAY(AB485)='Recurring Items'!$F$27)*IFERROR(N('Recurring Items'!$D$27),0)+(IF(AC485=1,'Debt Tracker'!$P$25&gt;0.01,INDEX('Debt Tracker'!$T$5:$AE$29,21,AC485-1)&gt;0.01))*('Recurring Items'!$H$28&lt;&gt;"Skip")*(DAY(AB485)='Recurring Items'!$F$28)*IFERROR(N('Recurring Items'!$D$28),0)+(IF(AC485=1,'Debt Tracker'!$P$26&gt;0.01,INDEX('Debt Tracker'!$T$5:$AE$29,22,AC485-1)&gt;0.01))*('Recurring Items'!$H$29&lt;&gt;"Skip")*(DAY(AB485)='Recurring Items'!$F$29)*IFERROR(N('Recurring Items'!$D$29),0)+(IF(AC485=1,'Debt Tracker'!$P$27&gt;0.01,INDEX('Debt Tracker'!$T$5:$AE$29,23,AC485-1)&gt;0.01))*('Recurring Items'!$H$30&lt;&gt;"Skip")*(DAY(AB485)='Recurring Items'!$F$30)*IFERROR(N('Recurring Items'!$D$30),0)+(IF(AC485=1,'Debt Tracker'!$P$28&gt;0.01,INDEX('Debt Tracker'!$T$5:$AE$29,24,AC485-1)&gt;0.01))*('Recurring Items'!$H$31&lt;&gt;"Skip")*(DAY(AB485)='Recurring Items'!$F$31)*IFERROR(N('Recurring Items'!$D$31),0)+(IF(AC485=1,'Debt Tracker'!$P$29&gt;0.01,INDEX('Debt Tracker'!$T$5:$AE$29,25,AC485-1)&gt;0.01))*('Recurring Items'!$H$32&lt;&gt;"Skip")*(DAY(AB485)='Recurring Items'!$F$32)*IFERROR(N('Recurring Items'!$D$32),0)</f>
        <v>0</v>
      </c>
      <c r="AG485" s="1" t="n">
        <f aca="false">AD485-AE485-AF485</f>
        <v>-340.22</v>
      </c>
      <c r="AH485" s="1" t="n">
        <f aca="false">AH484+AG485</f>
        <v>19706.58</v>
      </c>
    </row>
    <row r="486" customFormat="false" ht="15" hidden="false" customHeight="true" outlineLevel="0" collapsed="false">
      <c r="AA486" s="1" t="n">
        <v>286</v>
      </c>
      <c r="AB486" s="145" t="n">
        <f aca="false">$D$3+286</f>
        <v>46429</v>
      </c>
      <c r="AC486" s="1" t="n">
        <f aca="false">MIN(12,1+DATEDIF($D$3,AB486,"M"))</f>
        <v>10</v>
      </c>
      <c r="AD486" s="1" t="n">
        <f aca="false">SUMPRODUCT(('Recurring Items'!$C$6:$C$56="Income")*('Recurring Items'!$H$6:$H$56&lt;&gt;"Skip")*IFERROR(N('Recurring Items'!$D$6:$D$56),0)*(('Recurring Items'!$E$6:$E$56="Monthly")*(DAY(AB486)='Recurring Items'!$F$6:$F$56)+('Recurring Items'!$E$6:$E$56="Bi-weekly")*(WEEKDAY(AB486)=IFERROR(WEEKDAY('Recurring Items'!$G$6:$G$56),0))*(MOD(AB486-IFERROR('Recurring Items'!$G$6:$G$56,0),14)=0)*(AB486&gt;=IFERROR('Recurring Items'!$G$6:$G$56,9000000000))+('Recurring Items'!$E$6:$E$56="Weekly")*(WEEKDAY(AB486)=IFERROR(WEEKDAY('Recurring Items'!$G$6:$G$56),0))*(AB486&gt;=IFERROR('Recurring Items'!$G$6:$G$56,9000000000))+('Recurring Items'!$E$6:$E$56="One-time")*(AB486='Recurring Items'!$G$6:$G$56)))</f>
        <v>2274.42</v>
      </c>
      <c r="AE486" s="1" t="n">
        <f aca="false">SUMPRODUCT(('Recurring Items'!$C$6:$C$56="Expense")*('Recurring Items'!$H$6:$H$56&lt;&gt;"Skip")*IFERROR(N('Recurring Items'!$D$6:$D$56),0)*(('Recurring Items'!$E$6:$E$56="Monthly")*(DAY(AB486)='Recurring Items'!$F$6:$F$56)+('Recurring Items'!$E$6:$E$56="Bi-weekly")*(WEEKDAY(AB486)=IFERROR(WEEKDAY('Recurring Items'!$G$6:$G$56),0))*(MOD(AB486-IFERROR('Recurring Items'!$G$6:$G$56,0),14)=0)*(AB486&gt;=IFERROR('Recurring Items'!$G$6:$G$56,9000000000))+('Recurring Items'!$E$6:$E$56="Weekly")*(WEEKDAY(AB486)=IFERROR(WEEKDAY('Recurring Items'!$G$6:$G$56),0))*(AB486&gt;=IFERROR('Recurring Items'!$G$6:$G$56,9000000000))+('Recurring Items'!$E$6:$E$56="One-time")*(AB486='Recurring Items'!$G$6:$G$56)))</f>
        <v>0</v>
      </c>
      <c r="AF486" s="1" t="n">
        <f aca="false">(IF(AC486=1,'Debt Tracker'!$P$5&gt;0.01,INDEX('Debt Tracker'!$T$5:$AE$29,1,AC486-1)&gt;0.01))*('Recurring Items'!$H$8&lt;&gt;"Skip")*(DAY(AB486)='Recurring Items'!$F$8)*IFERROR(N('Recurring Items'!$D$8),0)+(IF(AC486=1,'Debt Tracker'!$P$6&gt;0.01,INDEX('Debt Tracker'!$T$5:$AE$29,2,AC486-1)&gt;0.01))*('Recurring Items'!$H$9&lt;&gt;"Skip")*(DAY(AB486)='Recurring Items'!$F$9)*IFERROR(N('Recurring Items'!$D$9),0)+(IF(AC486=1,'Debt Tracker'!$P$7&gt;0.01,INDEX('Debt Tracker'!$T$5:$AE$29,3,AC486-1)&gt;0.01))*('Recurring Items'!$H$10&lt;&gt;"Skip")*(DAY(AB486)='Recurring Items'!$F$10)*IFERROR(N('Recurring Items'!$D$10),0)+(IF(AC486=1,'Debt Tracker'!$P$8&gt;0.01,INDEX('Debt Tracker'!$T$5:$AE$29,4,AC486-1)&gt;0.01))*('Recurring Items'!$H$11&lt;&gt;"Skip")*(DAY(AB486)='Recurring Items'!$F$11)*IFERROR(N('Recurring Items'!$D$11),0)+(IF(AC486=1,'Debt Tracker'!$P$9&gt;0.01,INDEX('Debt Tracker'!$T$5:$AE$29,5,AC486-1)&gt;0.01))*('Recurring Items'!$H$12&lt;&gt;"Skip")*(DAY(AB486)='Recurring Items'!$F$12)*IFERROR(N('Recurring Items'!$D$12),0)+(IF(AC486=1,'Debt Tracker'!$P$10&gt;0.01,INDEX('Debt Tracker'!$T$5:$AE$29,6,AC486-1)&gt;0.01))*('Recurring Items'!$H$13&lt;&gt;"Skip")*(DAY(AB486)='Recurring Items'!$F$13)*IFERROR(N('Recurring Items'!$D$13),0)+(IF(AC486=1,'Debt Tracker'!$P$11&gt;0.01,INDEX('Debt Tracker'!$T$5:$AE$29,7,AC486-1)&gt;0.01))*('Recurring Items'!$H$14&lt;&gt;"Skip")*(DAY(AB486)='Recurring Items'!$F$14)*IFERROR(N('Recurring Items'!$D$14),0)+(IF(AC486=1,'Debt Tracker'!$P$12&gt;0.01,INDEX('Debt Tracker'!$T$5:$AE$29,8,AC486-1)&gt;0.01))*('Recurring Items'!$H$15&lt;&gt;"Skip")*(DAY(AB486)='Recurring Items'!$F$15)*IFERROR(N('Recurring Items'!$D$15),0)+(IF(AC486=1,'Debt Tracker'!$P$13&gt;0.01,INDEX('Debt Tracker'!$T$5:$AE$29,9,AC486-1)&gt;0.01))*('Recurring Items'!$H$16&lt;&gt;"Skip")*(DAY(AB486)='Recurring Items'!$F$16)*IFERROR(N('Recurring Items'!$D$16),0)+(IF(AC486=1,'Debt Tracker'!$P$14&gt;0.01,INDEX('Debt Tracker'!$T$5:$AE$29,10,AC486-1)&gt;0.01))*('Recurring Items'!$H$17&lt;&gt;"Skip")*(DAY(AB486)='Recurring Items'!$F$17)*IFERROR(N('Recurring Items'!$D$17),0)+(IF(AC486=1,'Debt Tracker'!$P$15&gt;0.01,INDEX('Debt Tracker'!$T$5:$AE$29,11,AC486-1)&gt;0.01))*('Recurring Items'!$H$18&lt;&gt;"Skip")*(DAY(AB486)='Recurring Items'!$F$18)*IFERROR(N('Recurring Items'!$D$18),0)+(IF(AC486=1,'Debt Tracker'!$P$16&gt;0.01,INDEX('Debt Tracker'!$T$5:$AE$29,12,AC486-1)&gt;0.01))*('Recurring Items'!$H$19&lt;&gt;"Skip")*(DAY(AB486)='Recurring Items'!$F$19)*IFERROR(N('Recurring Items'!$D$19),0)+(IF(AC486=1,'Debt Tracker'!$P$17&gt;0.01,INDEX('Debt Tracker'!$T$5:$AE$29,13,AC486-1)&gt;0.01))*('Recurring Items'!$H$20&lt;&gt;"Skip")*(DAY(AB486)='Recurring Items'!$F$20)*IFERROR(N('Recurring Items'!$D$20),0)+(IF(AC486=1,'Debt Tracker'!$P$18&gt;0.01,INDEX('Debt Tracker'!$T$5:$AE$29,14,AC486-1)&gt;0.01))*('Recurring Items'!$H$21&lt;&gt;"Skip")*(DAY(AB486)='Recurring Items'!$F$21)*IFERROR(N('Recurring Items'!$D$21),0)+(IF(AC486=1,'Debt Tracker'!$P$19&gt;0.01,INDEX('Debt Tracker'!$T$5:$AE$29,15,AC486-1)&gt;0.01))*('Recurring Items'!$H$22&lt;&gt;"Skip")*(DAY(AB486)='Recurring Items'!$F$22)*IFERROR(N('Recurring Items'!$D$22),0)+(IF(AC486=1,'Debt Tracker'!$P$20&gt;0.01,INDEX('Debt Tracker'!$T$5:$AE$29,16,AC486-1)&gt;0.01))*('Recurring Items'!$H$23&lt;&gt;"Skip")*(DAY(AB486)='Recurring Items'!$F$23)*IFERROR(N('Recurring Items'!$D$23),0)+(IF(AC486=1,'Debt Tracker'!$P$21&gt;0.01,INDEX('Debt Tracker'!$T$5:$AE$29,17,AC486-1)&gt;0.01))*('Recurring Items'!$H$24&lt;&gt;"Skip")*(DAY(AB486)='Recurring Items'!$F$24)*IFERROR(N('Recurring Items'!$D$24),0)+(IF(AC486=1,'Debt Tracker'!$P$22&gt;0.01,INDEX('Debt Tracker'!$T$5:$AE$29,18,AC486-1)&gt;0.01))*('Recurring Items'!$H$25&lt;&gt;"Skip")*(DAY(AB486)='Recurring Items'!$F$25)*IFERROR(N('Recurring Items'!$D$25),0)+(IF(AC486=1,'Debt Tracker'!$P$23&gt;0.01,INDEX('Debt Tracker'!$T$5:$AE$29,19,AC486-1)&gt;0.01))*('Recurring Items'!$H$26&lt;&gt;"Skip")*(DAY(AB486)='Recurring Items'!$F$26)*IFERROR(N('Recurring Items'!$D$26),0)+(IF(AC486=1,'Debt Tracker'!$P$24&gt;0.01,INDEX('Debt Tracker'!$T$5:$AE$29,20,AC486-1)&gt;0.01))*('Recurring Items'!$H$27&lt;&gt;"Skip")*(DAY(AB486)='Recurring Items'!$F$27)*IFERROR(N('Recurring Items'!$D$27),0)+(IF(AC486=1,'Debt Tracker'!$P$25&gt;0.01,INDEX('Debt Tracker'!$T$5:$AE$29,21,AC486-1)&gt;0.01))*('Recurring Items'!$H$28&lt;&gt;"Skip")*(DAY(AB486)='Recurring Items'!$F$28)*IFERROR(N('Recurring Items'!$D$28),0)+(IF(AC486=1,'Debt Tracker'!$P$26&gt;0.01,INDEX('Debt Tracker'!$T$5:$AE$29,22,AC486-1)&gt;0.01))*('Recurring Items'!$H$29&lt;&gt;"Skip")*(DAY(AB486)='Recurring Items'!$F$29)*IFERROR(N('Recurring Items'!$D$29),0)+(IF(AC486=1,'Debt Tracker'!$P$27&gt;0.01,INDEX('Debt Tracker'!$T$5:$AE$29,23,AC486-1)&gt;0.01))*('Recurring Items'!$H$30&lt;&gt;"Skip")*(DAY(AB486)='Recurring Items'!$F$30)*IFERROR(N('Recurring Items'!$D$30),0)+(IF(AC486=1,'Debt Tracker'!$P$28&gt;0.01,INDEX('Debt Tracker'!$T$5:$AE$29,24,AC486-1)&gt;0.01))*('Recurring Items'!$H$31&lt;&gt;"Skip")*(DAY(AB486)='Recurring Items'!$F$31)*IFERROR(N('Recurring Items'!$D$31),0)+(IF(AC486=1,'Debt Tracker'!$P$29&gt;0.01,INDEX('Debt Tracker'!$T$5:$AE$29,25,AC486-1)&gt;0.01))*('Recurring Items'!$H$32&lt;&gt;"Skip")*(DAY(AB486)='Recurring Items'!$F$32)*IFERROR(N('Recurring Items'!$D$32),0)</f>
        <v>0</v>
      </c>
      <c r="AG486" s="1" t="n">
        <f aca="false">AD486-AE486-AF486</f>
        <v>2274.42</v>
      </c>
      <c r="AH486" s="1" t="n">
        <f aca="false">AH485+AG486</f>
        <v>21981</v>
      </c>
    </row>
    <row r="487" customFormat="false" ht="15" hidden="false" customHeight="true" outlineLevel="0" collapsed="false">
      <c r="AA487" s="1" t="n">
        <v>287</v>
      </c>
      <c r="AB487" s="145" t="n">
        <f aca="false">$D$3+287</f>
        <v>46430</v>
      </c>
      <c r="AC487" s="1" t="n">
        <f aca="false">MIN(12,1+DATEDIF($D$3,AB487,"M"))</f>
        <v>10</v>
      </c>
      <c r="AD487" s="1" t="n">
        <f aca="false">SUMPRODUCT(('Recurring Items'!$C$6:$C$56="Income")*('Recurring Items'!$H$6:$H$56&lt;&gt;"Skip")*IFERROR(N('Recurring Items'!$D$6:$D$56),0)*(('Recurring Items'!$E$6:$E$56="Monthly")*(DAY(AB487)='Recurring Items'!$F$6:$F$56)+('Recurring Items'!$E$6:$E$56="Bi-weekly")*(WEEKDAY(AB487)=IFERROR(WEEKDAY('Recurring Items'!$G$6:$G$56),0))*(MOD(AB487-IFERROR('Recurring Items'!$G$6:$G$56,0),14)=0)*(AB487&gt;=IFERROR('Recurring Items'!$G$6:$G$56,9000000000))+('Recurring Items'!$E$6:$E$56="Weekly")*(WEEKDAY(AB487)=IFERROR(WEEKDAY('Recurring Items'!$G$6:$G$56),0))*(AB487&gt;=IFERROR('Recurring Items'!$G$6:$G$56,9000000000))+('Recurring Items'!$E$6:$E$56="One-time")*(AB487='Recurring Items'!$G$6:$G$56)))</f>
        <v>0</v>
      </c>
      <c r="AE487" s="1" t="n">
        <f aca="false">SUMPRODUCT(('Recurring Items'!$C$6:$C$56="Expense")*('Recurring Items'!$H$6:$H$56&lt;&gt;"Skip")*IFERROR(N('Recurring Items'!$D$6:$D$56),0)*(('Recurring Items'!$E$6:$E$56="Monthly")*(DAY(AB487)='Recurring Items'!$F$6:$F$56)+('Recurring Items'!$E$6:$E$56="Bi-weekly")*(WEEKDAY(AB487)=IFERROR(WEEKDAY('Recurring Items'!$G$6:$G$56),0))*(MOD(AB487-IFERROR('Recurring Items'!$G$6:$G$56,0),14)=0)*(AB487&gt;=IFERROR('Recurring Items'!$G$6:$G$56,9000000000))+('Recurring Items'!$E$6:$E$56="Weekly")*(WEEKDAY(AB487)=IFERROR(WEEKDAY('Recurring Items'!$G$6:$G$56),0))*(AB487&gt;=IFERROR('Recurring Items'!$G$6:$G$56,9000000000))+('Recurring Items'!$E$6:$E$56="One-time")*(AB487='Recurring Items'!$G$6:$G$56)))</f>
        <v>627.68</v>
      </c>
      <c r="AF487" s="1" t="n">
        <f aca="false">(IF(AC487=1,'Debt Tracker'!$P$5&gt;0.01,INDEX('Debt Tracker'!$T$5:$AE$29,1,AC487-1)&gt;0.01))*('Recurring Items'!$H$8&lt;&gt;"Skip")*(DAY(AB487)='Recurring Items'!$F$8)*IFERROR(N('Recurring Items'!$D$8),0)+(IF(AC487=1,'Debt Tracker'!$P$6&gt;0.01,INDEX('Debt Tracker'!$T$5:$AE$29,2,AC487-1)&gt;0.01))*('Recurring Items'!$H$9&lt;&gt;"Skip")*(DAY(AB487)='Recurring Items'!$F$9)*IFERROR(N('Recurring Items'!$D$9),0)+(IF(AC487=1,'Debt Tracker'!$P$7&gt;0.01,INDEX('Debt Tracker'!$T$5:$AE$29,3,AC487-1)&gt;0.01))*('Recurring Items'!$H$10&lt;&gt;"Skip")*(DAY(AB487)='Recurring Items'!$F$10)*IFERROR(N('Recurring Items'!$D$10),0)+(IF(AC487=1,'Debt Tracker'!$P$8&gt;0.01,INDEX('Debt Tracker'!$T$5:$AE$29,4,AC487-1)&gt;0.01))*('Recurring Items'!$H$11&lt;&gt;"Skip")*(DAY(AB487)='Recurring Items'!$F$11)*IFERROR(N('Recurring Items'!$D$11),0)+(IF(AC487=1,'Debt Tracker'!$P$9&gt;0.01,INDEX('Debt Tracker'!$T$5:$AE$29,5,AC487-1)&gt;0.01))*('Recurring Items'!$H$12&lt;&gt;"Skip")*(DAY(AB487)='Recurring Items'!$F$12)*IFERROR(N('Recurring Items'!$D$12),0)+(IF(AC487=1,'Debt Tracker'!$P$10&gt;0.01,INDEX('Debt Tracker'!$T$5:$AE$29,6,AC487-1)&gt;0.01))*('Recurring Items'!$H$13&lt;&gt;"Skip")*(DAY(AB487)='Recurring Items'!$F$13)*IFERROR(N('Recurring Items'!$D$13),0)+(IF(AC487=1,'Debt Tracker'!$P$11&gt;0.01,INDEX('Debt Tracker'!$T$5:$AE$29,7,AC487-1)&gt;0.01))*('Recurring Items'!$H$14&lt;&gt;"Skip")*(DAY(AB487)='Recurring Items'!$F$14)*IFERROR(N('Recurring Items'!$D$14),0)+(IF(AC487=1,'Debt Tracker'!$P$12&gt;0.01,INDEX('Debt Tracker'!$T$5:$AE$29,8,AC487-1)&gt;0.01))*('Recurring Items'!$H$15&lt;&gt;"Skip")*(DAY(AB487)='Recurring Items'!$F$15)*IFERROR(N('Recurring Items'!$D$15),0)+(IF(AC487=1,'Debt Tracker'!$P$13&gt;0.01,INDEX('Debt Tracker'!$T$5:$AE$29,9,AC487-1)&gt;0.01))*('Recurring Items'!$H$16&lt;&gt;"Skip")*(DAY(AB487)='Recurring Items'!$F$16)*IFERROR(N('Recurring Items'!$D$16),0)+(IF(AC487=1,'Debt Tracker'!$P$14&gt;0.01,INDEX('Debt Tracker'!$T$5:$AE$29,10,AC487-1)&gt;0.01))*('Recurring Items'!$H$17&lt;&gt;"Skip")*(DAY(AB487)='Recurring Items'!$F$17)*IFERROR(N('Recurring Items'!$D$17),0)+(IF(AC487=1,'Debt Tracker'!$P$15&gt;0.01,INDEX('Debt Tracker'!$T$5:$AE$29,11,AC487-1)&gt;0.01))*('Recurring Items'!$H$18&lt;&gt;"Skip")*(DAY(AB487)='Recurring Items'!$F$18)*IFERROR(N('Recurring Items'!$D$18),0)+(IF(AC487=1,'Debt Tracker'!$P$16&gt;0.01,INDEX('Debt Tracker'!$T$5:$AE$29,12,AC487-1)&gt;0.01))*('Recurring Items'!$H$19&lt;&gt;"Skip")*(DAY(AB487)='Recurring Items'!$F$19)*IFERROR(N('Recurring Items'!$D$19),0)+(IF(AC487=1,'Debt Tracker'!$P$17&gt;0.01,INDEX('Debt Tracker'!$T$5:$AE$29,13,AC487-1)&gt;0.01))*('Recurring Items'!$H$20&lt;&gt;"Skip")*(DAY(AB487)='Recurring Items'!$F$20)*IFERROR(N('Recurring Items'!$D$20),0)+(IF(AC487=1,'Debt Tracker'!$P$18&gt;0.01,INDEX('Debt Tracker'!$T$5:$AE$29,14,AC487-1)&gt;0.01))*('Recurring Items'!$H$21&lt;&gt;"Skip")*(DAY(AB487)='Recurring Items'!$F$21)*IFERROR(N('Recurring Items'!$D$21),0)+(IF(AC487=1,'Debt Tracker'!$P$19&gt;0.01,INDEX('Debt Tracker'!$T$5:$AE$29,15,AC487-1)&gt;0.01))*('Recurring Items'!$H$22&lt;&gt;"Skip")*(DAY(AB487)='Recurring Items'!$F$22)*IFERROR(N('Recurring Items'!$D$22),0)+(IF(AC487=1,'Debt Tracker'!$P$20&gt;0.01,INDEX('Debt Tracker'!$T$5:$AE$29,16,AC487-1)&gt;0.01))*('Recurring Items'!$H$23&lt;&gt;"Skip")*(DAY(AB487)='Recurring Items'!$F$23)*IFERROR(N('Recurring Items'!$D$23),0)+(IF(AC487=1,'Debt Tracker'!$P$21&gt;0.01,INDEX('Debt Tracker'!$T$5:$AE$29,17,AC487-1)&gt;0.01))*('Recurring Items'!$H$24&lt;&gt;"Skip")*(DAY(AB487)='Recurring Items'!$F$24)*IFERROR(N('Recurring Items'!$D$24),0)+(IF(AC487=1,'Debt Tracker'!$P$22&gt;0.01,INDEX('Debt Tracker'!$T$5:$AE$29,18,AC487-1)&gt;0.01))*('Recurring Items'!$H$25&lt;&gt;"Skip")*(DAY(AB487)='Recurring Items'!$F$25)*IFERROR(N('Recurring Items'!$D$25),0)+(IF(AC487=1,'Debt Tracker'!$P$23&gt;0.01,INDEX('Debt Tracker'!$T$5:$AE$29,19,AC487-1)&gt;0.01))*('Recurring Items'!$H$26&lt;&gt;"Skip")*(DAY(AB487)='Recurring Items'!$F$26)*IFERROR(N('Recurring Items'!$D$26),0)+(IF(AC487=1,'Debt Tracker'!$P$24&gt;0.01,INDEX('Debt Tracker'!$T$5:$AE$29,20,AC487-1)&gt;0.01))*('Recurring Items'!$H$27&lt;&gt;"Skip")*(DAY(AB487)='Recurring Items'!$F$27)*IFERROR(N('Recurring Items'!$D$27),0)+(IF(AC487=1,'Debt Tracker'!$P$25&gt;0.01,INDEX('Debt Tracker'!$T$5:$AE$29,21,AC487-1)&gt;0.01))*('Recurring Items'!$H$28&lt;&gt;"Skip")*(DAY(AB487)='Recurring Items'!$F$28)*IFERROR(N('Recurring Items'!$D$28),0)+(IF(AC487=1,'Debt Tracker'!$P$26&gt;0.01,INDEX('Debt Tracker'!$T$5:$AE$29,22,AC487-1)&gt;0.01))*('Recurring Items'!$H$29&lt;&gt;"Skip")*(DAY(AB487)='Recurring Items'!$F$29)*IFERROR(N('Recurring Items'!$D$29),0)+(IF(AC487=1,'Debt Tracker'!$P$27&gt;0.01,INDEX('Debt Tracker'!$T$5:$AE$29,23,AC487-1)&gt;0.01))*('Recurring Items'!$H$30&lt;&gt;"Skip")*(DAY(AB487)='Recurring Items'!$F$30)*IFERROR(N('Recurring Items'!$D$30),0)+(IF(AC487=1,'Debt Tracker'!$P$28&gt;0.01,INDEX('Debt Tracker'!$T$5:$AE$29,24,AC487-1)&gt;0.01))*('Recurring Items'!$H$31&lt;&gt;"Skip")*(DAY(AB487)='Recurring Items'!$F$31)*IFERROR(N('Recurring Items'!$D$31),0)+(IF(AC487=1,'Debt Tracker'!$P$29&gt;0.01,INDEX('Debt Tracker'!$T$5:$AE$29,25,AC487-1)&gt;0.01))*('Recurring Items'!$H$32&lt;&gt;"Skip")*(DAY(AB487)='Recurring Items'!$F$32)*IFERROR(N('Recurring Items'!$D$32),0)</f>
        <v>0</v>
      </c>
      <c r="AG487" s="1" t="n">
        <f aca="false">AD487-AE487-AF487</f>
        <v>-627.68</v>
      </c>
      <c r="AH487" s="1" t="n">
        <f aca="false">AH486+AG487</f>
        <v>21353.32</v>
      </c>
    </row>
    <row r="488" customFormat="false" ht="15" hidden="false" customHeight="true" outlineLevel="0" collapsed="false">
      <c r="AA488" s="1" t="n">
        <v>288</v>
      </c>
      <c r="AB488" s="145" t="n">
        <f aca="false">$D$3+288</f>
        <v>46431</v>
      </c>
      <c r="AC488" s="1" t="n">
        <f aca="false">MIN(12,1+DATEDIF($D$3,AB488,"M"))</f>
        <v>10</v>
      </c>
      <c r="AD488" s="1" t="n">
        <f aca="false">SUMPRODUCT(('Recurring Items'!$C$6:$C$56="Income")*('Recurring Items'!$H$6:$H$56&lt;&gt;"Skip")*IFERROR(N('Recurring Items'!$D$6:$D$56),0)*(('Recurring Items'!$E$6:$E$56="Monthly")*(DAY(AB488)='Recurring Items'!$F$6:$F$56)+('Recurring Items'!$E$6:$E$56="Bi-weekly")*(WEEKDAY(AB488)=IFERROR(WEEKDAY('Recurring Items'!$G$6:$G$56),0))*(MOD(AB488-IFERROR('Recurring Items'!$G$6:$G$56,0),14)=0)*(AB488&gt;=IFERROR('Recurring Items'!$G$6:$G$56,9000000000))+('Recurring Items'!$E$6:$E$56="Weekly")*(WEEKDAY(AB488)=IFERROR(WEEKDAY('Recurring Items'!$G$6:$G$56),0))*(AB488&gt;=IFERROR('Recurring Items'!$G$6:$G$56,9000000000))+('Recurring Items'!$E$6:$E$56="One-time")*(AB488='Recurring Items'!$G$6:$G$56)))</f>
        <v>0</v>
      </c>
      <c r="AE488" s="1" t="n">
        <f aca="false">SUMPRODUCT(('Recurring Items'!$C$6:$C$56="Expense")*('Recurring Items'!$H$6:$H$56&lt;&gt;"Skip")*IFERROR(N('Recurring Items'!$D$6:$D$56),0)*(('Recurring Items'!$E$6:$E$56="Monthly")*(DAY(AB488)='Recurring Items'!$F$6:$F$56)+('Recurring Items'!$E$6:$E$56="Bi-weekly")*(WEEKDAY(AB488)=IFERROR(WEEKDAY('Recurring Items'!$G$6:$G$56),0))*(MOD(AB488-IFERROR('Recurring Items'!$G$6:$G$56,0),14)=0)*(AB488&gt;=IFERROR('Recurring Items'!$G$6:$G$56,9000000000))+('Recurring Items'!$E$6:$E$56="Weekly")*(WEEKDAY(AB488)=IFERROR(WEEKDAY('Recurring Items'!$G$6:$G$56),0))*(AB488&gt;=IFERROR('Recurring Items'!$G$6:$G$56,9000000000))+('Recurring Items'!$E$6:$E$56="One-time")*(AB488='Recurring Items'!$G$6:$G$56)))</f>
        <v>0</v>
      </c>
      <c r="AF488" s="1" t="n">
        <f aca="false">(IF(AC488=1,'Debt Tracker'!$P$5&gt;0.01,INDEX('Debt Tracker'!$T$5:$AE$29,1,AC488-1)&gt;0.01))*('Recurring Items'!$H$8&lt;&gt;"Skip")*(DAY(AB488)='Recurring Items'!$F$8)*IFERROR(N('Recurring Items'!$D$8),0)+(IF(AC488=1,'Debt Tracker'!$P$6&gt;0.01,INDEX('Debt Tracker'!$T$5:$AE$29,2,AC488-1)&gt;0.01))*('Recurring Items'!$H$9&lt;&gt;"Skip")*(DAY(AB488)='Recurring Items'!$F$9)*IFERROR(N('Recurring Items'!$D$9),0)+(IF(AC488=1,'Debt Tracker'!$P$7&gt;0.01,INDEX('Debt Tracker'!$T$5:$AE$29,3,AC488-1)&gt;0.01))*('Recurring Items'!$H$10&lt;&gt;"Skip")*(DAY(AB488)='Recurring Items'!$F$10)*IFERROR(N('Recurring Items'!$D$10),0)+(IF(AC488=1,'Debt Tracker'!$P$8&gt;0.01,INDEX('Debt Tracker'!$T$5:$AE$29,4,AC488-1)&gt;0.01))*('Recurring Items'!$H$11&lt;&gt;"Skip")*(DAY(AB488)='Recurring Items'!$F$11)*IFERROR(N('Recurring Items'!$D$11),0)+(IF(AC488=1,'Debt Tracker'!$P$9&gt;0.01,INDEX('Debt Tracker'!$T$5:$AE$29,5,AC488-1)&gt;0.01))*('Recurring Items'!$H$12&lt;&gt;"Skip")*(DAY(AB488)='Recurring Items'!$F$12)*IFERROR(N('Recurring Items'!$D$12),0)+(IF(AC488=1,'Debt Tracker'!$P$10&gt;0.01,INDEX('Debt Tracker'!$T$5:$AE$29,6,AC488-1)&gt;0.01))*('Recurring Items'!$H$13&lt;&gt;"Skip")*(DAY(AB488)='Recurring Items'!$F$13)*IFERROR(N('Recurring Items'!$D$13),0)+(IF(AC488=1,'Debt Tracker'!$P$11&gt;0.01,INDEX('Debt Tracker'!$T$5:$AE$29,7,AC488-1)&gt;0.01))*('Recurring Items'!$H$14&lt;&gt;"Skip")*(DAY(AB488)='Recurring Items'!$F$14)*IFERROR(N('Recurring Items'!$D$14),0)+(IF(AC488=1,'Debt Tracker'!$P$12&gt;0.01,INDEX('Debt Tracker'!$T$5:$AE$29,8,AC488-1)&gt;0.01))*('Recurring Items'!$H$15&lt;&gt;"Skip")*(DAY(AB488)='Recurring Items'!$F$15)*IFERROR(N('Recurring Items'!$D$15),0)+(IF(AC488=1,'Debt Tracker'!$P$13&gt;0.01,INDEX('Debt Tracker'!$T$5:$AE$29,9,AC488-1)&gt;0.01))*('Recurring Items'!$H$16&lt;&gt;"Skip")*(DAY(AB488)='Recurring Items'!$F$16)*IFERROR(N('Recurring Items'!$D$16),0)+(IF(AC488=1,'Debt Tracker'!$P$14&gt;0.01,INDEX('Debt Tracker'!$T$5:$AE$29,10,AC488-1)&gt;0.01))*('Recurring Items'!$H$17&lt;&gt;"Skip")*(DAY(AB488)='Recurring Items'!$F$17)*IFERROR(N('Recurring Items'!$D$17),0)+(IF(AC488=1,'Debt Tracker'!$P$15&gt;0.01,INDEX('Debt Tracker'!$T$5:$AE$29,11,AC488-1)&gt;0.01))*('Recurring Items'!$H$18&lt;&gt;"Skip")*(DAY(AB488)='Recurring Items'!$F$18)*IFERROR(N('Recurring Items'!$D$18),0)+(IF(AC488=1,'Debt Tracker'!$P$16&gt;0.01,INDEX('Debt Tracker'!$T$5:$AE$29,12,AC488-1)&gt;0.01))*('Recurring Items'!$H$19&lt;&gt;"Skip")*(DAY(AB488)='Recurring Items'!$F$19)*IFERROR(N('Recurring Items'!$D$19),0)+(IF(AC488=1,'Debt Tracker'!$P$17&gt;0.01,INDEX('Debt Tracker'!$T$5:$AE$29,13,AC488-1)&gt;0.01))*('Recurring Items'!$H$20&lt;&gt;"Skip")*(DAY(AB488)='Recurring Items'!$F$20)*IFERROR(N('Recurring Items'!$D$20),0)+(IF(AC488=1,'Debt Tracker'!$P$18&gt;0.01,INDEX('Debt Tracker'!$T$5:$AE$29,14,AC488-1)&gt;0.01))*('Recurring Items'!$H$21&lt;&gt;"Skip")*(DAY(AB488)='Recurring Items'!$F$21)*IFERROR(N('Recurring Items'!$D$21),0)+(IF(AC488=1,'Debt Tracker'!$P$19&gt;0.01,INDEX('Debt Tracker'!$T$5:$AE$29,15,AC488-1)&gt;0.01))*('Recurring Items'!$H$22&lt;&gt;"Skip")*(DAY(AB488)='Recurring Items'!$F$22)*IFERROR(N('Recurring Items'!$D$22),0)+(IF(AC488=1,'Debt Tracker'!$P$20&gt;0.01,INDEX('Debt Tracker'!$T$5:$AE$29,16,AC488-1)&gt;0.01))*('Recurring Items'!$H$23&lt;&gt;"Skip")*(DAY(AB488)='Recurring Items'!$F$23)*IFERROR(N('Recurring Items'!$D$23),0)+(IF(AC488=1,'Debt Tracker'!$P$21&gt;0.01,INDEX('Debt Tracker'!$T$5:$AE$29,17,AC488-1)&gt;0.01))*('Recurring Items'!$H$24&lt;&gt;"Skip")*(DAY(AB488)='Recurring Items'!$F$24)*IFERROR(N('Recurring Items'!$D$24),0)+(IF(AC488=1,'Debt Tracker'!$P$22&gt;0.01,INDEX('Debt Tracker'!$T$5:$AE$29,18,AC488-1)&gt;0.01))*('Recurring Items'!$H$25&lt;&gt;"Skip")*(DAY(AB488)='Recurring Items'!$F$25)*IFERROR(N('Recurring Items'!$D$25),0)+(IF(AC488=1,'Debt Tracker'!$P$23&gt;0.01,INDEX('Debt Tracker'!$T$5:$AE$29,19,AC488-1)&gt;0.01))*('Recurring Items'!$H$26&lt;&gt;"Skip")*(DAY(AB488)='Recurring Items'!$F$26)*IFERROR(N('Recurring Items'!$D$26),0)+(IF(AC488=1,'Debt Tracker'!$P$24&gt;0.01,INDEX('Debt Tracker'!$T$5:$AE$29,20,AC488-1)&gt;0.01))*('Recurring Items'!$H$27&lt;&gt;"Skip")*(DAY(AB488)='Recurring Items'!$F$27)*IFERROR(N('Recurring Items'!$D$27),0)+(IF(AC488=1,'Debt Tracker'!$P$25&gt;0.01,INDEX('Debt Tracker'!$T$5:$AE$29,21,AC488-1)&gt;0.01))*('Recurring Items'!$H$28&lt;&gt;"Skip")*(DAY(AB488)='Recurring Items'!$F$28)*IFERROR(N('Recurring Items'!$D$28),0)+(IF(AC488=1,'Debt Tracker'!$P$26&gt;0.01,INDEX('Debt Tracker'!$T$5:$AE$29,22,AC488-1)&gt;0.01))*('Recurring Items'!$H$29&lt;&gt;"Skip")*(DAY(AB488)='Recurring Items'!$F$29)*IFERROR(N('Recurring Items'!$D$29),0)+(IF(AC488=1,'Debt Tracker'!$P$27&gt;0.01,INDEX('Debt Tracker'!$T$5:$AE$29,23,AC488-1)&gt;0.01))*('Recurring Items'!$H$30&lt;&gt;"Skip")*(DAY(AB488)='Recurring Items'!$F$30)*IFERROR(N('Recurring Items'!$D$30),0)+(IF(AC488=1,'Debt Tracker'!$P$28&gt;0.01,INDEX('Debt Tracker'!$T$5:$AE$29,24,AC488-1)&gt;0.01))*('Recurring Items'!$H$31&lt;&gt;"Skip")*(DAY(AB488)='Recurring Items'!$F$31)*IFERROR(N('Recurring Items'!$D$31),0)+(IF(AC488=1,'Debt Tracker'!$P$29&gt;0.01,INDEX('Debt Tracker'!$T$5:$AE$29,25,AC488-1)&gt;0.01))*('Recurring Items'!$H$32&lt;&gt;"Skip")*(DAY(AB488)='Recurring Items'!$F$32)*IFERROR(N('Recurring Items'!$D$32),0)</f>
        <v>0</v>
      </c>
      <c r="AG488" s="1" t="n">
        <f aca="false">AD488-AE488-AF488</f>
        <v>0</v>
      </c>
      <c r="AH488" s="1" t="n">
        <f aca="false">AH487+AG488</f>
        <v>21353.32</v>
      </c>
    </row>
    <row r="489" customFormat="false" ht="15" hidden="false" customHeight="true" outlineLevel="0" collapsed="false">
      <c r="AA489" s="1" t="n">
        <v>289</v>
      </c>
      <c r="AB489" s="145" t="n">
        <f aca="false">$D$3+289</f>
        <v>46432</v>
      </c>
      <c r="AC489" s="1" t="n">
        <f aca="false">MIN(12,1+DATEDIF($D$3,AB489,"M"))</f>
        <v>10</v>
      </c>
      <c r="AD489" s="1" t="n">
        <f aca="false">SUMPRODUCT(('Recurring Items'!$C$6:$C$56="Income")*('Recurring Items'!$H$6:$H$56&lt;&gt;"Skip")*IFERROR(N('Recurring Items'!$D$6:$D$56),0)*(('Recurring Items'!$E$6:$E$56="Monthly")*(DAY(AB489)='Recurring Items'!$F$6:$F$56)+('Recurring Items'!$E$6:$E$56="Bi-weekly")*(WEEKDAY(AB489)=IFERROR(WEEKDAY('Recurring Items'!$G$6:$G$56),0))*(MOD(AB489-IFERROR('Recurring Items'!$G$6:$G$56,0),14)=0)*(AB489&gt;=IFERROR('Recurring Items'!$G$6:$G$56,9000000000))+('Recurring Items'!$E$6:$E$56="Weekly")*(WEEKDAY(AB489)=IFERROR(WEEKDAY('Recurring Items'!$G$6:$G$56),0))*(AB489&gt;=IFERROR('Recurring Items'!$G$6:$G$56,9000000000))+('Recurring Items'!$E$6:$E$56="One-time")*(AB489='Recurring Items'!$G$6:$G$56)))</f>
        <v>0</v>
      </c>
      <c r="AE489" s="1" t="n">
        <f aca="false">SUMPRODUCT(('Recurring Items'!$C$6:$C$56="Expense")*('Recurring Items'!$H$6:$H$56&lt;&gt;"Skip")*IFERROR(N('Recurring Items'!$D$6:$D$56),0)*(('Recurring Items'!$E$6:$E$56="Monthly")*(DAY(AB489)='Recurring Items'!$F$6:$F$56)+('Recurring Items'!$E$6:$E$56="Bi-weekly")*(WEEKDAY(AB489)=IFERROR(WEEKDAY('Recurring Items'!$G$6:$G$56),0))*(MOD(AB489-IFERROR('Recurring Items'!$G$6:$G$56,0),14)=0)*(AB489&gt;=IFERROR('Recurring Items'!$G$6:$G$56,9000000000))+('Recurring Items'!$E$6:$E$56="Weekly")*(WEEKDAY(AB489)=IFERROR(WEEKDAY('Recurring Items'!$G$6:$G$56),0))*(AB489&gt;=IFERROR('Recurring Items'!$G$6:$G$56,9000000000))+('Recurring Items'!$E$6:$E$56="One-time")*(AB489='Recurring Items'!$G$6:$G$56)))</f>
        <v>0</v>
      </c>
      <c r="AF489" s="1" t="n">
        <f aca="false">(IF(AC489=1,'Debt Tracker'!$P$5&gt;0.01,INDEX('Debt Tracker'!$T$5:$AE$29,1,AC489-1)&gt;0.01))*('Recurring Items'!$H$8&lt;&gt;"Skip")*(DAY(AB489)='Recurring Items'!$F$8)*IFERROR(N('Recurring Items'!$D$8),0)+(IF(AC489=1,'Debt Tracker'!$P$6&gt;0.01,INDEX('Debt Tracker'!$T$5:$AE$29,2,AC489-1)&gt;0.01))*('Recurring Items'!$H$9&lt;&gt;"Skip")*(DAY(AB489)='Recurring Items'!$F$9)*IFERROR(N('Recurring Items'!$D$9),0)+(IF(AC489=1,'Debt Tracker'!$P$7&gt;0.01,INDEX('Debt Tracker'!$T$5:$AE$29,3,AC489-1)&gt;0.01))*('Recurring Items'!$H$10&lt;&gt;"Skip")*(DAY(AB489)='Recurring Items'!$F$10)*IFERROR(N('Recurring Items'!$D$10),0)+(IF(AC489=1,'Debt Tracker'!$P$8&gt;0.01,INDEX('Debt Tracker'!$T$5:$AE$29,4,AC489-1)&gt;0.01))*('Recurring Items'!$H$11&lt;&gt;"Skip")*(DAY(AB489)='Recurring Items'!$F$11)*IFERROR(N('Recurring Items'!$D$11),0)+(IF(AC489=1,'Debt Tracker'!$P$9&gt;0.01,INDEX('Debt Tracker'!$T$5:$AE$29,5,AC489-1)&gt;0.01))*('Recurring Items'!$H$12&lt;&gt;"Skip")*(DAY(AB489)='Recurring Items'!$F$12)*IFERROR(N('Recurring Items'!$D$12),0)+(IF(AC489=1,'Debt Tracker'!$P$10&gt;0.01,INDEX('Debt Tracker'!$T$5:$AE$29,6,AC489-1)&gt;0.01))*('Recurring Items'!$H$13&lt;&gt;"Skip")*(DAY(AB489)='Recurring Items'!$F$13)*IFERROR(N('Recurring Items'!$D$13),0)+(IF(AC489=1,'Debt Tracker'!$P$11&gt;0.01,INDEX('Debt Tracker'!$T$5:$AE$29,7,AC489-1)&gt;0.01))*('Recurring Items'!$H$14&lt;&gt;"Skip")*(DAY(AB489)='Recurring Items'!$F$14)*IFERROR(N('Recurring Items'!$D$14),0)+(IF(AC489=1,'Debt Tracker'!$P$12&gt;0.01,INDEX('Debt Tracker'!$T$5:$AE$29,8,AC489-1)&gt;0.01))*('Recurring Items'!$H$15&lt;&gt;"Skip")*(DAY(AB489)='Recurring Items'!$F$15)*IFERROR(N('Recurring Items'!$D$15),0)+(IF(AC489=1,'Debt Tracker'!$P$13&gt;0.01,INDEX('Debt Tracker'!$T$5:$AE$29,9,AC489-1)&gt;0.01))*('Recurring Items'!$H$16&lt;&gt;"Skip")*(DAY(AB489)='Recurring Items'!$F$16)*IFERROR(N('Recurring Items'!$D$16),0)+(IF(AC489=1,'Debt Tracker'!$P$14&gt;0.01,INDEX('Debt Tracker'!$T$5:$AE$29,10,AC489-1)&gt;0.01))*('Recurring Items'!$H$17&lt;&gt;"Skip")*(DAY(AB489)='Recurring Items'!$F$17)*IFERROR(N('Recurring Items'!$D$17),0)+(IF(AC489=1,'Debt Tracker'!$P$15&gt;0.01,INDEX('Debt Tracker'!$T$5:$AE$29,11,AC489-1)&gt;0.01))*('Recurring Items'!$H$18&lt;&gt;"Skip")*(DAY(AB489)='Recurring Items'!$F$18)*IFERROR(N('Recurring Items'!$D$18),0)+(IF(AC489=1,'Debt Tracker'!$P$16&gt;0.01,INDEX('Debt Tracker'!$T$5:$AE$29,12,AC489-1)&gt;0.01))*('Recurring Items'!$H$19&lt;&gt;"Skip")*(DAY(AB489)='Recurring Items'!$F$19)*IFERROR(N('Recurring Items'!$D$19),0)+(IF(AC489=1,'Debt Tracker'!$P$17&gt;0.01,INDEX('Debt Tracker'!$T$5:$AE$29,13,AC489-1)&gt;0.01))*('Recurring Items'!$H$20&lt;&gt;"Skip")*(DAY(AB489)='Recurring Items'!$F$20)*IFERROR(N('Recurring Items'!$D$20),0)+(IF(AC489=1,'Debt Tracker'!$P$18&gt;0.01,INDEX('Debt Tracker'!$T$5:$AE$29,14,AC489-1)&gt;0.01))*('Recurring Items'!$H$21&lt;&gt;"Skip")*(DAY(AB489)='Recurring Items'!$F$21)*IFERROR(N('Recurring Items'!$D$21),0)+(IF(AC489=1,'Debt Tracker'!$P$19&gt;0.01,INDEX('Debt Tracker'!$T$5:$AE$29,15,AC489-1)&gt;0.01))*('Recurring Items'!$H$22&lt;&gt;"Skip")*(DAY(AB489)='Recurring Items'!$F$22)*IFERROR(N('Recurring Items'!$D$22),0)+(IF(AC489=1,'Debt Tracker'!$P$20&gt;0.01,INDEX('Debt Tracker'!$T$5:$AE$29,16,AC489-1)&gt;0.01))*('Recurring Items'!$H$23&lt;&gt;"Skip")*(DAY(AB489)='Recurring Items'!$F$23)*IFERROR(N('Recurring Items'!$D$23),0)+(IF(AC489=1,'Debt Tracker'!$P$21&gt;0.01,INDEX('Debt Tracker'!$T$5:$AE$29,17,AC489-1)&gt;0.01))*('Recurring Items'!$H$24&lt;&gt;"Skip")*(DAY(AB489)='Recurring Items'!$F$24)*IFERROR(N('Recurring Items'!$D$24),0)+(IF(AC489=1,'Debt Tracker'!$P$22&gt;0.01,INDEX('Debt Tracker'!$T$5:$AE$29,18,AC489-1)&gt;0.01))*('Recurring Items'!$H$25&lt;&gt;"Skip")*(DAY(AB489)='Recurring Items'!$F$25)*IFERROR(N('Recurring Items'!$D$25),0)+(IF(AC489=1,'Debt Tracker'!$P$23&gt;0.01,INDEX('Debt Tracker'!$T$5:$AE$29,19,AC489-1)&gt;0.01))*('Recurring Items'!$H$26&lt;&gt;"Skip")*(DAY(AB489)='Recurring Items'!$F$26)*IFERROR(N('Recurring Items'!$D$26),0)+(IF(AC489=1,'Debt Tracker'!$P$24&gt;0.01,INDEX('Debt Tracker'!$T$5:$AE$29,20,AC489-1)&gt;0.01))*('Recurring Items'!$H$27&lt;&gt;"Skip")*(DAY(AB489)='Recurring Items'!$F$27)*IFERROR(N('Recurring Items'!$D$27),0)+(IF(AC489=1,'Debt Tracker'!$P$25&gt;0.01,INDEX('Debt Tracker'!$T$5:$AE$29,21,AC489-1)&gt;0.01))*('Recurring Items'!$H$28&lt;&gt;"Skip")*(DAY(AB489)='Recurring Items'!$F$28)*IFERROR(N('Recurring Items'!$D$28),0)+(IF(AC489=1,'Debt Tracker'!$P$26&gt;0.01,INDEX('Debt Tracker'!$T$5:$AE$29,22,AC489-1)&gt;0.01))*('Recurring Items'!$H$29&lt;&gt;"Skip")*(DAY(AB489)='Recurring Items'!$F$29)*IFERROR(N('Recurring Items'!$D$29),0)+(IF(AC489=1,'Debt Tracker'!$P$27&gt;0.01,INDEX('Debt Tracker'!$T$5:$AE$29,23,AC489-1)&gt;0.01))*('Recurring Items'!$H$30&lt;&gt;"Skip")*(DAY(AB489)='Recurring Items'!$F$30)*IFERROR(N('Recurring Items'!$D$30),0)+(IF(AC489=1,'Debt Tracker'!$P$28&gt;0.01,INDEX('Debt Tracker'!$T$5:$AE$29,24,AC489-1)&gt;0.01))*('Recurring Items'!$H$31&lt;&gt;"Skip")*(DAY(AB489)='Recurring Items'!$F$31)*IFERROR(N('Recurring Items'!$D$31),0)+(IF(AC489=1,'Debt Tracker'!$P$29&gt;0.01,INDEX('Debt Tracker'!$T$5:$AE$29,25,AC489-1)&gt;0.01))*('Recurring Items'!$H$32&lt;&gt;"Skip")*(DAY(AB489)='Recurring Items'!$F$32)*IFERROR(N('Recurring Items'!$D$32),0)</f>
        <v>56.02</v>
      </c>
      <c r="AG489" s="1" t="n">
        <f aca="false">AD489-AE489-AF489</f>
        <v>-56.02</v>
      </c>
      <c r="AH489" s="1" t="n">
        <f aca="false">AH488+AG489</f>
        <v>21297.3</v>
      </c>
    </row>
    <row r="490" customFormat="false" ht="15" hidden="false" customHeight="true" outlineLevel="0" collapsed="false">
      <c r="AA490" s="1" t="n">
        <v>290</v>
      </c>
      <c r="AB490" s="145" t="n">
        <f aca="false">$D$3+290</f>
        <v>46433</v>
      </c>
      <c r="AC490" s="1" t="n">
        <f aca="false">MIN(12,1+DATEDIF($D$3,AB490,"M"))</f>
        <v>10</v>
      </c>
      <c r="AD490" s="1" t="n">
        <f aca="false">SUMPRODUCT(('Recurring Items'!$C$6:$C$56="Income")*('Recurring Items'!$H$6:$H$56&lt;&gt;"Skip")*IFERROR(N('Recurring Items'!$D$6:$D$56),0)*(('Recurring Items'!$E$6:$E$56="Monthly")*(DAY(AB490)='Recurring Items'!$F$6:$F$56)+('Recurring Items'!$E$6:$E$56="Bi-weekly")*(WEEKDAY(AB490)=IFERROR(WEEKDAY('Recurring Items'!$G$6:$G$56),0))*(MOD(AB490-IFERROR('Recurring Items'!$G$6:$G$56,0),14)=0)*(AB490&gt;=IFERROR('Recurring Items'!$G$6:$G$56,9000000000))+('Recurring Items'!$E$6:$E$56="Weekly")*(WEEKDAY(AB490)=IFERROR(WEEKDAY('Recurring Items'!$G$6:$G$56),0))*(AB490&gt;=IFERROR('Recurring Items'!$G$6:$G$56,9000000000))+('Recurring Items'!$E$6:$E$56="One-time")*(AB490='Recurring Items'!$G$6:$G$56)))</f>
        <v>0</v>
      </c>
      <c r="AE490" s="1" t="n">
        <f aca="false">SUMPRODUCT(('Recurring Items'!$C$6:$C$56="Expense")*('Recurring Items'!$H$6:$H$56&lt;&gt;"Skip")*IFERROR(N('Recurring Items'!$D$6:$D$56),0)*(('Recurring Items'!$E$6:$E$56="Monthly")*(DAY(AB490)='Recurring Items'!$F$6:$F$56)+('Recurring Items'!$E$6:$E$56="Bi-weekly")*(WEEKDAY(AB490)=IFERROR(WEEKDAY('Recurring Items'!$G$6:$G$56),0))*(MOD(AB490-IFERROR('Recurring Items'!$G$6:$G$56,0),14)=0)*(AB490&gt;=IFERROR('Recurring Items'!$G$6:$G$56,9000000000))+('Recurring Items'!$E$6:$E$56="Weekly")*(WEEKDAY(AB490)=IFERROR(WEEKDAY('Recurring Items'!$G$6:$G$56),0))*(AB490&gt;=IFERROR('Recurring Items'!$G$6:$G$56,9000000000))+('Recurring Items'!$E$6:$E$56="One-time")*(AB490='Recurring Items'!$G$6:$G$56)))</f>
        <v>2990.57</v>
      </c>
      <c r="AF490" s="1" t="n">
        <f aca="false">(IF(AC490=1,'Debt Tracker'!$P$5&gt;0.01,INDEX('Debt Tracker'!$T$5:$AE$29,1,AC490-1)&gt;0.01))*('Recurring Items'!$H$8&lt;&gt;"Skip")*(DAY(AB490)='Recurring Items'!$F$8)*IFERROR(N('Recurring Items'!$D$8),0)+(IF(AC490=1,'Debt Tracker'!$P$6&gt;0.01,INDEX('Debt Tracker'!$T$5:$AE$29,2,AC490-1)&gt;0.01))*('Recurring Items'!$H$9&lt;&gt;"Skip")*(DAY(AB490)='Recurring Items'!$F$9)*IFERROR(N('Recurring Items'!$D$9),0)+(IF(AC490=1,'Debt Tracker'!$P$7&gt;0.01,INDEX('Debt Tracker'!$T$5:$AE$29,3,AC490-1)&gt;0.01))*('Recurring Items'!$H$10&lt;&gt;"Skip")*(DAY(AB490)='Recurring Items'!$F$10)*IFERROR(N('Recurring Items'!$D$10),0)+(IF(AC490=1,'Debt Tracker'!$P$8&gt;0.01,INDEX('Debt Tracker'!$T$5:$AE$29,4,AC490-1)&gt;0.01))*('Recurring Items'!$H$11&lt;&gt;"Skip")*(DAY(AB490)='Recurring Items'!$F$11)*IFERROR(N('Recurring Items'!$D$11),0)+(IF(AC490=1,'Debt Tracker'!$P$9&gt;0.01,INDEX('Debt Tracker'!$T$5:$AE$29,5,AC490-1)&gt;0.01))*('Recurring Items'!$H$12&lt;&gt;"Skip")*(DAY(AB490)='Recurring Items'!$F$12)*IFERROR(N('Recurring Items'!$D$12),0)+(IF(AC490=1,'Debt Tracker'!$P$10&gt;0.01,INDEX('Debt Tracker'!$T$5:$AE$29,6,AC490-1)&gt;0.01))*('Recurring Items'!$H$13&lt;&gt;"Skip")*(DAY(AB490)='Recurring Items'!$F$13)*IFERROR(N('Recurring Items'!$D$13),0)+(IF(AC490=1,'Debt Tracker'!$P$11&gt;0.01,INDEX('Debt Tracker'!$T$5:$AE$29,7,AC490-1)&gt;0.01))*('Recurring Items'!$H$14&lt;&gt;"Skip")*(DAY(AB490)='Recurring Items'!$F$14)*IFERROR(N('Recurring Items'!$D$14),0)+(IF(AC490=1,'Debt Tracker'!$P$12&gt;0.01,INDEX('Debt Tracker'!$T$5:$AE$29,8,AC490-1)&gt;0.01))*('Recurring Items'!$H$15&lt;&gt;"Skip")*(DAY(AB490)='Recurring Items'!$F$15)*IFERROR(N('Recurring Items'!$D$15),0)+(IF(AC490=1,'Debt Tracker'!$P$13&gt;0.01,INDEX('Debt Tracker'!$T$5:$AE$29,9,AC490-1)&gt;0.01))*('Recurring Items'!$H$16&lt;&gt;"Skip")*(DAY(AB490)='Recurring Items'!$F$16)*IFERROR(N('Recurring Items'!$D$16),0)+(IF(AC490=1,'Debt Tracker'!$P$14&gt;0.01,INDEX('Debt Tracker'!$T$5:$AE$29,10,AC490-1)&gt;0.01))*('Recurring Items'!$H$17&lt;&gt;"Skip")*(DAY(AB490)='Recurring Items'!$F$17)*IFERROR(N('Recurring Items'!$D$17),0)+(IF(AC490=1,'Debt Tracker'!$P$15&gt;0.01,INDEX('Debt Tracker'!$T$5:$AE$29,11,AC490-1)&gt;0.01))*('Recurring Items'!$H$18&lt;&gt;"Skip")*(DAY(AB490)='Recurring Items'!$F$18)*IFERROR(N('Recurring Items'!$D$18),0)+(IF(AC490=1,'Debt Tracker'!$P$16&gt;0.01,INDEX('Debt Tracker'!$T$5:$AE$29,12,AC490-1)&gt;0.01))*('Recurring Items'!$H$19&lt;&gt;"Skip")*(DAY(AB490)='Recurring Items'!$F$19)*IFERROR(N('Recurring Items'!$D$19),0)+(IF(AC490=1,'Debt Tracker'!$P$17&gt;0.01,INDEX('Debt Tracker'!$T$5:$AE$29,13,AC490-1)&gt;0.01))*('Recurring Items'!$H$20&lt;&gt;"Skip")*(DAY(AB490)='Recurring Items'!$F$20)*IFERROR(N('Recurring Items'!$D$20),0)+(IF(AC490=1,'Debt Tracker'!$P$18&gt;0.01,INDEX('Debt Tracker'!$T$5:$AE$29,14,AC490-1)&gt;0.01))*('Recurring Items'!$H$21&lt;&gt;"Skip")*(DAY(AB490)='Recurring Items'!$F$21)*IFERROR(N('Recurring Items'!$D$21),0)+(IF(AC490=1,'Debt Tracker'!$P$19&gt;0.01,INDEX('Debt Tracker'!$T$5:$AE$29,15,AC490-1)&gt;0.01))*('Recurring Items'!$H$22&lt;&gt;"Skip")*(DAY(AB490)='Recurring Items'!$F$22)*IFERROR(N('Recurring Items'!$D$22),0)+(IF(AC490=1,'Debt Tracker'!$P$20&gt;0.01,INDEX('Debt Tracker'!$T$5:$AE$29,16,AC490-1)&gt;0.01))*('Recurring Items'!$H$23&lt;&gt;"Skip")*(DAY(AB490)='Recurring Items'!$F$23)*IFERROR(N('Recurring Items'!$D$23),0)+(IF(AC490=1,'Debt Tracker'!$P$21&gt;0.01,INDEX('Debt Tracker'!$T$5:$AE$29,17,AC490-1)&gt;0.01))*('Recurring Items'!$H$24&lt;&gt;"Skip")*(DAY(AB490)='Recurring Items'!$F$24)*IFERROR(N('Recurring Items'!$D$24),0)+(IF(AC490=1,'Debt Tracker'!$P$22&gt;0.01,INDEX('Debt Tracker'!$T$5:$AE$29,18,AC490-1)&gt;0.01))*('Recurring Items'!$H$25&lt;&gt;"Skip")*(DAY(AB490)='Recurring Items'!$F$25)*IFERROR(N('Recurring Items'!$D$25),0)+(IF(AC490=1,'Debt Tracker'!$P$23&gt;0.01,INDEX('Debt Tracker'!$T$5:$AE$29,19,AC490-1)&gt;0.01))*('Recurring Items'!$H$26&lt;&gt;"Skip")*(DAY(AB490)='Recurring Items'!$F$26)*IFERROR(N('Recurring Items'!$D$26),0)+(IF(AC490=1,'Debt Tracker'!$P$24&gt;0.01,INDEX('Debt Tracker'!$T$5:$AE$29,20,AC490-1)&gt;0.01))*('Recurring Items'!$H$27&lt;&gt;"Skip")*(DAY(AB490)='Recurring Items'!$F$27)*IFERROR(N('Recurring Items'!$D$27),0)+(IF(AC490=1,'Debt Tracker'!$P$25&gt;0.01,INDEX('Debt Tracker'!$T$5:$AE$29,21,AC490-1)&gt;0.01))*('Recurring Items'!$H$28&lt;&gt;"Skip")*(DAY(AB490)='Recurring Items'!$F$28)*IFERROR(N('Recurring Items'!$D$28),0)+(IF(AC490=1,'Debt Tracker'!$P$26&gt;0.01,INDEX('Debt Tracker'!$T$5:$AE$29,22,AC490-1)&gt;0.01))*('Recurring Items'!$H$29&lt;&gt;"Skip")*(DAY(AB490)='Recurring Items'!$F$29)*IFERROR(N('Recurring Items'!$D$29),0)+(IF(AC490=1,'Debt Tracker'!$P$27&gt;0.01,INDEX('Debt Tracker'!$T$5:$AE$29,23,AC490-1)&gt;0.01))*('Recurring Items'!$H$30&lt;&gt;"Skip")*(DAY(AB490)='Recurring Items'!$F$30)*IFERROR(N('Recurring Items'!$D$30),0)+(IF(AC490=1,'Debt Tracker'!$P$28&gt;0.01,INDEX('Debt Tracker'!$T$5:$AE$29,24,AC490-1)&gt;0.01))*('Recurring Items'!$H$31&lt;&gt;"Skip")*(DAY(AB490)='Recurring Items'!$F$31)*IFERROR(N('Recurring Items'!$D$31),0)+(IF(AC490=1,'Debt Tracker'!$P$29&gt;0.01,INDEX('Debt Tracker'!$T$5:$AE$29,25,AC490-1)&gt;0.01))*('Recurring Items'!$H$32&lt;&gt;"Skip")*(DAY(AB490)='Recurring Items'!$F$32)*IFERROR(N('Recurring Items'!$D$32),0)</f>
        <v>107.75</v>
      </c>
      <c r="AG490" s="1" t="n">
        <f aca="false">AD490-AE490-AF490</f>
        <v>-3098.32</v>
      </c>
      <c r="AH490" s="1" t="n">
        <f aca="false">AH489+AG490</f>
        <v>18198.98</v>
      </c>
    </row>
    <row r="491" customFormat="false" ht="15" hidden="false" customHeight="true" outlineLevel="0" collapsed="false">
      <c r="AA491" s="1" t="n">
        <v>291</v>
      </c>
      <c r="AB491" s="145" t="n">
        <f aca="false">$D$3+291</f>
        <v>46434</v>
      </c>
      <c r="AC491" s="1" t="n">
        <f aca="false">MIN(12,1+DATEDIF($D$3,AB491,"M"))</f>
        <v>10</v>
      </c>
      <c r="AD491" s="1" t="n">
        <f aca="false">SUMPRODUCT(('Recurring Items'!$C$6:$C$56="Income")*('Recurring Items'!$H$6:$H$56&lt;&gt;"Skip")*IFERROR(N('Recurring Items'!$D$6:$D$56),0)*(('Recurring Items'!$E$6:$E$56="Monthly")*(DAY(AB491)='Recurring Items'!$F$6:$F$56)+('Recurring Items'!$E$6:$E$56="Bi-weekly")*(WEEKDAY(AB491)=IFERROR(WEEKDAY('Recurring Items'!$G$6:$G$56),0))*(MOD(AB491-IFERROR('Recurring Items'!$G$6:$G$56,0),14)=0)*(AB491&gt;=IFERROR('Recurring Items'!$G$6:$G$56,9000000000))+('Recurring Items'!$E$6:$E$56="Weekly")*(WEEKDAY(AB491)=IFERROR(WEEKDAY('Recurring Items'!$G$6:$G$56),0))*(AB491&gt;=IFERROR('Recurring Items'!$G$6:$G$56,9000000000))+('Recurring Items'!$E$6:$E$56="One-time")*(AB491='Recurring Items'!$G$6:$G$56)))</f>
        <v>0</v>
      </c>
      <c r="AE491" s="1" t="n">
        <f aca="false">SUMPRODUCT(('Recurring Items'!$C$6:$C$56="Expense")*('Recurring Items'!$H$6:$H$56&lt;&gt;"Skip")*IFERROR(N('Recurring Items'!$D$6:$D$56),0)*(('Recurring Items'!$E$6:$E$56="Monthly")*(DAY(AB491)='Recurring Items'!$F$6:$F$56)+('Recurring Items'!$E$6:$E$56="Bi-weekly")*(WEEKDAY(AB491)=IFERROR(WEEKDAY('Recurring Items'!$G$6:$G$56),0))*(MOD(AB491-IFERROR('Recurring Items'!$G$6:$G$56,0),14)=0)*(AB491&gt;=IFERROR('Recurring Items'!$G$6:$G$56,9000000000))+('Recurring Items'!$E$6:$E$56="Weekly")*(WEEKDAY(AB491)=IFERROR(WEEKDAY('Recurring Items'!$G$6:$G$56),0))*(AB491&gt;=IFERROR('Recurring Items'!$G$6:$G$56,9000000000))+('Recurring Items'!$E$6:$E$56="One-time")*(AB491='Recurring Items'!$G$6:$G$56)))</f>
        <v>342</v>
      </c>
      <c r="AF491" s="1" t="n">
        <f aca="false">(IF(AC491=1,'Debt Tracker'!$P$5&gt;0.01,INDEX('Debt Tracker'!$T$5:$AE$29,1,AC491-1)&gt;0.01))*('Recurring Items'!$H$8&lt;&gt;"Skip")*(DAY(AB491)='Recurring Items'!$F$8)*IFERROR(N('Recurring Items'!$D$8),0)+(IF(AC491=1,'Debt Tracker'!$P$6&gt;0.01,INDEX('Debt Tracker'!$T$5:$AE$29,2,AC491-1)&gt;0.01))*('Recurring Items'!$H$9&lt;&gt;"Skip")*(DAY(AB491)='Recurring Items'!$F$9)*IFERROR(N('Recurring Items'!$D$9),0)+(IF(AC491=1,'Debt Tracker'!$P$7&gt;0.01,INDEX('Debt Tracker'!$T$5:$AE$29,3,AC491-1)&gt;0.01))*('Recurring Items'!$H$10&lt;&gt;"Skip")*(DAY(AB491)='Recurring Items'!$F$10)*IFERROR(N('Recurring Items'!$D$10),0)+(IF(AC491=1,'Debt Tracker'!$P$8&gt;0.01,INDEX('Debt Tracker'!$T$5:$AE$29,4,AC491-1)&gt;0.01))*('Recurring Items'!$H$11&lt;&gt;"Skip")*(DAY(AB491)='Recurring Items'!$F$11)*IFERROR(N('Recurring Items'!$D$11),0)+(IF(AC491=1,'Debt Tracker'!$P$9&gt;0.01,INDEX('Debt Tracker'!$T$5:$AE$29,5,AC491-1)&gt;0.01))*('Recurring Items'!$H$12&lt;&gt;"Skip")*(DAY(AB491)='Recurring Items'!$F$12)*IFERROR(N('Recurring Items'!$D$12),0)+(IF(AC491=1,'Debt Tracker'!$P$10&gt;0.01,INDEX('Debt Tracker'!$T$5:$AE$29,6,AC491-1)&gt;0.01))*('Recurring Items'!$H$13&lt;&gt;"Skip")*(DAY(AB491)='Recurring Items'!$F$13)*IFERROR(N('Recurring Items'!$D$13),0)+(IF(AC491=1,'Debt Tracker'!$P$11&gt;0.01,INDEX('Debt Tracker'!$T$5:$AE$29,7,AC491-1)&gt;0.01))*('Recurring Items'!$H$14&lt;&gt;"Skip")*(DAY(AB491)='Recurring Items'!$F$14)*IFERROR(N('Recurring Items'!$D$14),0)+(IF(AC491=1,'Debt Tracker'!$P$12&gt;0.01,INDEX('Debt Tracker'!$T$5:$AE$29,8,AC491-1)&gt;0.01))*('Recurring Items'!$H$15&lt;&gt;"Skip")*(DAY(AB491)='Recurring Items'!$F$15)*IFERROR(N('Recurring Items'!$D$15),0)+(IF(AC491=1,'Debt Tracker'!$P$13&gt;0.01,INDEX('Debt Tracker'!$T$5:$AE$29,9,AC491-1)&gt;0.01))*('Recurring Items'!$H$16&lt;&gt;"Skip")*(DAY(AB491)='Recurring Items'!$F$16)*IFERROR(N('Recurring Items'!$D$16),0)+(IF(AC491=1,'Debt Tracker'!$P$14&gt;0.01,INDEX('Debt Tracker'!$T$5:$AE$29,10,AC491-1)&gt;0.01))*('Recurring Items'!$H$17&lt;&gt;"Skip")*(DAY(AB491)='Recurring Items'!$F$17)*IFERROR(N('Recurring Items'!$D$17),0)+(IF(AC491=1,'Debt Tracker'!$P$15&gt;0.01,INDEX('Debt Tracker'!$T$5:$AE$29,11,AC491-1)&gt;0.01))*('Recurring Items'!$H$18&lt;&gt;"Skip")*(DAY(AB491)='Recurring Items'!$F$18)*IFERROR(N('Recurring Items'!$D$18),0)+(IF(AC491=1,'Debt Tracker'!$P$16&gt;0.01,INDEX('Debt Tracker'!$T$5:$AE$29,12,AC491-1)&gt;0.01))*('Recurring Items'!$H$19&lt;&gt;"Skip")*(DAY(AB491)='Recurring Items'!$F$19)*IFERROR(N('Recurring Items'!$D$19),0)+(IF(AC491=1,'Debt Tracker'!$P$17&gt;0.01,INDEX('Debt Tracker'!$T$5:$AE$29,13,AC491-1)&gt;0.01))*('Recurring Items'!$H$20&lt;&gt;"Skip")*(DAY(AB491)='Recurring Items'!$F$20)*IFERROR(N('Recurring Items'!$D$20),0)+(IF(AC491=1,'Debt Tracker'!$P$18&gt;0.01,INDEX('Debt Tracker'!$T$5:$AE$29,14,AC491-1)&gt;0.01))*('Recurring Items'!$H$21&lt;&gt;"Skip")*(DAY(AB491)='Recurring Items'!$F$21)*IFERROR(N('Recurring Items'!$D$21),0)+(IF(AC491=1,'Debt Tracker'!$P$19&gt;0.01,INDEX('Debt Tracker'!$T$5:$AE$29,15,AC491-1)&gt;0.01))*('Recurring Items'!$H$22&lt;&gt;"Skip")*(DAY(AB491)='Recurring Items'!$F$22)*IFERROR(N('Recurring Items'!$D$22),0)+(IF(AC491=1,'Debt Tracker'!$P$20&gt;0.01,INDEX('Debt Tracker'!$T$5:$AE$29,16,AC491-1)&gt;0.01))*('Recurring Items'!$H$23&lt;&gt;"Skip")*(DAY(AB491)='Recurring Items'!$F$23)*IFERROR(N('Recurring Items'!$D$23),0)+(IF(AC491=1,'Debt Tracker'!$P$21&gt;0.01,INDEX('Debt Tracker'!$T$5:$AE$29,17,AC491-1)&gt;0.01))*('Recurring Items'!$H$24&lt;&gt;"Skip")*(DAY(AB491)='Recurring Items'!$F$24)*IFERROR(N('Recurring Items'!$D$24),0)+(IF(AC491=1,'Debt Tracker'!$P$22&gt;0.01,INDEX('Debt Tracker'!$T$5:$AE$29,18,AC491-1)&gt;0.01))*('Recurring Items'!$H$25&lt;&gt;"Skip")*(DAY(AB491)='Recurring Items'!$F$25)*IFERROR(N('Recurring Items'!$D$25),0)+(IF(AC491=1,'Debt Tracker'!$P$23&gt;0.01,INDEX('Debt Tracker'!$T$5:$AE$29,19,AC491-1)&gt;0.01))*('Recurring Items'!$H$26&lt;&gt;"Skip")*(DAY(AB491)='Recurring Items'!$F$26)*IFERROR(N('Recurring Items'!$D$26),0)+(IF(AC491=1,'Debt Tracker'!$P$24&gt;0.01,INDEX('Debt Tracker'!$T$5:$AE$29,20,AC491-1)&gt;0.01))*('Recurring Items'!$H$27&lt;&gt;"Skip")*(DAY(AB491)='Recurring Items'!$F$27)*IFERROR(N('Recurring Items'!$D$27),0)+(IF(AC491=1,'Debt Tracker'!$P$25&gt;0.01,INDEX('Debt Tracker'!$T$5:$AE$29,21,AC491-1)&gt;0.01))*('Recurring Items'!$H$28&lt;&gt;"Skip")*(DAY(AB491)='Recurring Items'!$F$28)*IFERROR(N('Recurring Items'!$D$28),0)+(IF(AC491=1,'Debt Tracker'!$P$26&gt;0.01,INDEX('Debt Tracker'!$T$5:$AE$29,22,AC491-1)&gt;0.01))*('Recurring Items'!$H$29&lt;&gt;"Skip")*(DAY(AB491)='Recurring Items'!$F$29)*IFERROR(N('Recurring Items'!$D$29),0)+(IF(AC491=1,'Debt Tracker'!$P$27&gt;0.01,INDEX('Debt Tracker'!$T$5:$AE$29,23,AC491-1)&gt;0.01))*('Recurring Items'!$H$30&lt;&gt;"Skip")*(DAY(AB491)='Recurring Items'!$F$30)*IFERROR(N('Recurring Items'!$D$30),0)+(IF(AC491=1,'Debt Tracker'!$P$28&gt;0.01,INDEX('Debt Tracker'!$T$5:$AE$29,24,AC491-1)&gt;0.01))*('Recurring Items'!$H$31&lt;&gt;"Skip")*(DAY(AB491)='Recurring Items'!$F$31)*IFERROR(N('Recurring Items'!$D$31),0)+(IF(AC491=1,'Debt Tracker'!$P$29&gt;0.01,INDEX('Debt Tracker'!$T$5:$AE$29,25,AC491-1)&gt;0.01))*('Recurring Items'!$H$32&lt;&gt;"Skip")*(DAY(AB491)='Recurring Items'!$F$32)*IFERROR(N('Recurring Items'!$D$32),0)</f>
        <v>0</v>
      </c>
      <c r="AG491" s="1" t="n">
        <f aca="false">AD491-AE491-AF491</f>
        <v>-342</v>
      </c>
      <c r="AH491" s="1" t="n">
        <f aca="false">AH490+AG491</f>
        <v>17856.98</v>
      </c>
    </row>
    <row r="492" customFormat="false" ht="15" hidden="false" customHeight="true" outlineLevel="0" collapsed="false">
      <c r="AA492" s="1" t="n">
        <v>292</v>
      </c>
      <c r="AB492" s="145" t="n">
        <f aca="false">$D$3+292</f>
        <v>46435</v>
      </c>
      <c r="AC492" s="1" t="n">
        <f aca="false">MIN(12,1+DATEDIF($D$3,AB492,"M"))</f>
        <v>10</v>
      </c>
      <c r="AD492" s="1" t="n">
        <f aca="false">SUMPRODUCT(('Recurring Items'!$C$6:$C$56="Income")*('Recurring Items'!$H$6:$H$56&lt;&gt;"Skip")*IFERROR(N('Recurring Items'!$D$6:$D$56),0)*(('Recurring Items'!$E$6:$E$56="Monthly")*(DAY(AB492)='Recurring Items'!$F$6:$F$56)+('Recurring Items'!$E$6:$E$56="Bi-weekly")*(WEEKDAY(AB492)=IFERROR(WEEKDAY('Recurring Items'!$G$6:$G$56),0))*(MOD(AB492-IFERROR('Recurring Items'!$G$6:$G$56,0),14)=0)*(AB492&gt;=IFERROR('Recurring Items'!$G$6:$G$56,9000000000))+('Recurring Items'!$E$6:$E$56="Weekly")*(WEEKDAY(AB492)=IFERROR(WEEKDAY('Recurring Items'!$G$6:$G$56),0))*(AB492&gt;=IFERROR('Recurring Items'!$G$6:$G$56,9000000000))+('Recurring Items'!$E$6:$E$56="One-time")*(AB492='Recurring Items'!$G$6:$G$56)))</f>
        <v>0</v>
      </c>
      <c r="AE492" s="1" t="n">
        <f aca="false">SUMPRODUCT(('Recurring Items'!$C$6:$C$56="Expense")*('Recurring Items'!$H$6:$H$56&lt;&gt;"Skip")*IFERROR(N('Recurring Items'!$D$6:$D$56),0)*(('Recurring Items'!$E$6:$E$56="Monthly")*(DAY(AB492)='Recurring Items'!$F$6:$F$56)+('Recurring Items'!$E$6:$E$56="Bi-weekly")*(WEEKDAY(AB492)=IFERROR(WEEKDAY('Recurring Items'!$G$6:$G$56),0))*(MOD(AB492-IFERROR('Recurring Items'!$G$6:$G$56,0),14)=0)*(AB492&gt;=IFERROR('Recurring Items'!$G$6:$G$56,9000000000))+('Recurring Items'!$E$6:$E$56="Weekly")*(WEEKDAY(AB492)=IFERROR(WEEKDAY('Recurring Items'!$G$6:$G$56),0))*(AB492&gt;=IFERROR('Recurring Items'!$G$6:$G$56,9000000000))+('Recurring Items'!$E$6:$E$56="One-time")*(AB492='Recurring Items'!$G$6:$G$56)))</f>
        <v>0</v>
      </c>
      <c r="AF492" s="1" t="n">
        <f aca="false">(IF(AC492=1,'Debt Tracker'!$P$5&gt;0.01,INDEX('Debt Tracker'!$T$5:$AE$29,1,AC492-1)&gt;0.01))*('Recurring Items'!$H$8&lt;&gt;"Skip")*(DAY(AB492)='Recurring Items'!$F$8)*IFERROR(N('Recurring Items'!$D$8),0)+(IF(AC492=1,'Debt Tracker'!$P$6&gt;0.01,INDEX('Debt Tracker'!$T$5:$AE$29,2,AC492-1)&gt;0.01))*('Recurring Items'!$H$9&lt;&gt;"Skip")*(DAY(AB492)='Recurring Items'!$F$9)*IFERROR(N('Recurring Items'!$D$9),0)+(IF(AC492=1,'Debt Tracker'!$P$7&gt;0.01,INDEX('Debt Tracker'!$T$5:$AE$29,3,AC492-1)&gt;0.01))*('Recurring Items'!$H$10&lt;&gt;"Skip")*(DAY(AB492)='Recurring Items'!$F$10)*IFERROR(N('Recurring Items'!$D$10),0)+(IF(AC492=1,'Debt Tracker'!$P$8&gt;0.01,INDEX('Debt Tracker'!$T$5:$AE$29,4,AC492-1)&gt;0.01))*('Recurring Items'!$H$11&lt;&gt;"Skip")*(DAY(AB492)='Recurring Items'!$F$11)*IFERROR(N('Recurring Items'!$D$11),0)+(IF(AC492=1,'Debt Tracker'!$P$9&gt;0.01,INDEX('Debt Tracker'!$T$5:$AE$29,5,AC492-1)&gt;0.01))*('Recurring Items'!$H$12&lt;&gt;"Skip")*(DAY(AB492)='Recurring Items'!$F$12)*IFERROR(N('Recurring Items'!$D$12),0)+(IF(AC492=1,'Debt Tracker'!$P$10&gt;0.01,INDEX('Debt Tracker'!$T$5:$AE$29,6,AC492-1)&gt;0.01))*('Recurring Items'!$H$13&lt;&gt;"Skip")*(DAY(AB492)='Recurring Items'!$F$13)*IFERROR(N('Recurring Items'!$D$13),0)+(IF(AC492=1,'Debt Tracker'!$P$11&gt;0.01,INDEX('Debt Tracker'!$T$5:$AE$29,7,AC492-1)&gt;0.01))*('Recurring Items'!$H$14&lt;&gt;"Skip")*(DAY(AB492)='Recurring Items'!$F$14)*IFERROR(N('Recurring Items'!$D$14),0)+(IF(AC492=1,'Debt Tracker'!$P$12&gt;0.01,INDEX('Debt Tracker'!$T$5:$AE$29,8,AC492-1)&gt;0.01))*('Recurring Items'!$H$15&lt;&gt;"Skip")*(DAY(AB492)='Recurring Items'!$F$15)*IFERROR(N('Recurring Items'!$D$15),0)+(IF(AC492=1,'Debt Tracker'!$P$13&gt;0.01,INDEX('Debt Tracker'!$T$5:$AE$29,9,AC492-1)&gt;0.01))*('Recurring Items'!$H$16&lt;&gt;"Skip")*(DAY(AB492)='Recurring Items'!$F$16)*IFERROR(N('Recurring Items'!$D$16),0)+(IF(AC492=1,'Debt Tracker'!$P$14&gt;0.01,INDEX('Debt Tracker'!$T$5:$AE$29,10,AC492-1)&gt;0.01))*('Recurring Items'!$H$17&lt;&gt;"Skip")*(DAY(AB492)='Recurring Items'!$F$17)*IFERROR(N('Recurring Items'!$D$17),0)+(IF(AC492=1,'Debt Tracker'!$P$15&gt;0.01,INDEX('Debt Tracker'!$T$5:$AE$29,11,AC492-1)&gt;0.01))*('Recurring Items'!$H$18&lt;&gt;"Skip")*(DAY(AB492)='Recurring Items'!$F$18)*IFERROR(N('Recurring Items'!$D$18),0)+(IF(AC492=1,'Debt Tracker'!$P$16&gt;0.01,INDEX('Debt Tracker'!$T$5:$AE$29,12,AC492-1)&gt;0.01))*('Recurring Items'!$H$19&lt;&gt;"Skip")*(DAY(AB492)='Recurring Items'!$F$19)*IFERROR(N('Recurring Items'!$D$19),0)+(IF(AC492=1,'Debt Tracker'!$P$17&gt;0.01,INDEX('Debt Tracker'!$T$5:$AE$29,13,AC492-1)&gt;0.01))*('Recurring Items'!$H$20&lt;&gt;"Skip")*(DAY(AB492)='Recurring Items'!$F$20)*IFERROR(N('Recurring Items'!$D$20),0)+(IF(AC492=1,'Debt Tracker'!$P$18&gt;0.01,INDEX('Debt Tracker'!$T$5:$AE$29,14,AC492-1)&gt;0.01))*('Recurring Items'!$H$21&lt;&gt;"Skip")*(DAY(AB492)='Recurring Items'!$F$21)*IFERROR(N('Recurring Items'!$D$21),0)+(IF(AC492=1,'Debt Tracker'!$P$19&gt;0.01,INDEX('Debt Tracker'!$T$5:$AE$29,15,AC492-1)&gt;0.01))*('Recurring Items'!$H$22&lt;&gt;"Skip")*(DAY(AB492)='Recurring Items'!$F$22)*IFERROR(N('Recurring Items'!$D$22),0)+(IF(AC492=1,'Debt Tracker'!$P$20&gt;0.01,INDEX('Debt Tracker'!$T$5:$AE$29,16,AC492-1)&gt;0.01))*('Recurring Items'!$H$23&lt;&gt;"Skip")*(DAY(AB492)='Recurring Items'!$F$23)*IFERROR(N('Recurring Items'!$D$23),0)+(IF(AC492=1,'Debt Tracker'!$P$21&gt;0.01,INDEX('Debt Tracker'!$T$5:$AE$29,17,AC492-1)&gt;0.01))*('Recurring Items'!$H$24&lt;&gt;"Skip")*(DAY(AB492)='Recurring Items'!$F$24)*IFERROR(N('Recurring Items'!$D$24),0)+(IF(AC492=1,'Debt Tracker'!$P$22&gt;0.01,INDEX('Debt Tracker'!$T$5:$AE$29,18,AC492-1)&gt;0.01))*('Recurring Items'!$H$25&lt;&gt;"Skip")*(DAY(AB492)='Recurring Items'!$F$25)*IFERROR(N('Recurring Items'!$D$25),0)+(IF(AC492=1,'Debt Tracker'!$P$23&gt;0.01,INDEX('Debt Tracker'!$T$5:$AE$29,19,AC492-1)&gt;0.01))*('Recurring Items'!$H$26&lt;&gt;"Skip")*(DAY(AB492)='Recurring Items'!$F$26)*IFERROR(N('Recurring Items'!$D$26),0)+(IF(AC492=1,'Debt Tracker'!$P$24&gt;0.01,INDEX('Debt Tracker'!$T$5:$AE$29,20,AC492-1)&gt;0.01))*('Recurring Items'!$H$27&lt;&gt;"Skip")*(DAY(AB492)='Recurring Items'!$F$27)*IFERROR(N('Recurring Items'!$D$27),0)+(IF(AC492=1,'Debt Tracker'!$P$25&gt;0.01,INDEX('Debt Tracker'!$T$5:$AE$29,21,AC492-1)&gt;0.01))*('Recurring Items'!$H$28&lt;&gt;"Skip")*(DAY(AB492)='Recurring Items'!$F$28)*IFERROR(N('Recurring Items'!$D$28),0)+(IF(AC492=1,'Debt Tracker'!$P$26&gt;0.01,INDEX('Debt Tracker'!$T$5:$AE$29,22,AC492-1)&gt;0.01))*('Recurring Items'!$H$29&lt;&gt;"Skip")*(DAY(AB492)='Recurring Items'!$F$29)*IFERROR(N('Recurring Items'!$D$29),0)+(IF(AC492=1,'Debt Tracker'!$P$27&gt;0.01,INDEX('Debt Tracker'!$T$5:$AE$29,23,AC492-1)&gt;0.01))*('Recurring Items'!$H$30&lt;&gt;"Skip")*(DAY(AB492)='Recurring Items'!$F$30)*IFERROR(N('Recurring Items'!$D$30),0)+(IF(AC492=1,'Debt Tracker'!$P$28&gt;0.01,INDEX('Debt Tracker'!$T$5:$AE$29,24,AC492-1)&gt;0.01))*('Recurring Items'!$H$31&lt;&gt;"Skip")*(DAY(AB492)='Recurring Items'!$F$31)*IFERROR(N('Recurring Items'!$D$31),0)+(IF(AC492=1,'Debt Tracker'!$P$29&gt;0.01,INDEX('Debt Tracker'!$T$5:$AE$29,25,AC492-1)&gt;0.01))*('Recurring Items'!$H$32&lt;&gt;"Skip")*(DAY(AB492)='Recurring Items'!$F$32)*IFERROR(N('Recurring Items'!$D$32),0)</f>
        <v>0</v>
      </c>
      <c r="AG492" s="1" t="n">
        <f aca="false">AD492-AE492-AF492</f>
        <v>0</v>
      </c>
      <c r="AH492" s="1" t="n">
        <f aca="false">AH491+AG492</f>
        <v>17856.98</v>
      </c>
    </row>
    <row r="493" customFormat="false" ht="15" hidden="false" customHeight="true" outlineLevel="0" collapsed="false">
      <c r="AA493" s="1" t="n">
        <v>293</v>
      </c>
      <c r="AB493" s="145" t="n">
        <f aca="false">$D$3+293</f>
        <v>46436</v>
      </c>
      <c r="AC493" s="1" t="n">
        <f aca="false">MIN(12,1+DATEDIF($D$3,AB493,"M"))</f>
        <v>10</v>
      </c>
      <c r="AD493" s="1" t="n">
        <f aca="false">SUMPRODUCT(('Recurring Items'!$C$6:$C$56="Income")*('Recurring Items'!$H$6:$H$56&lt;&gt;"Skip")*IFERROR(N('Recurring Items'!$D$6:$D$56),0)*(('Recurring Items'!$E$6:$E$56="Monthly")*(DAY(AB493)='Recurring Items'!$F$6:$F$56)+('Recurring Items'!$E$6:$E$56="Bi-weekly")*(WEEKDAY(AB493)=IFERROR(WEEKDAY('Recurring Items'!$G$6:$G$56),0))*(MOD(AB493-IFERROR('Recurring Items'!$G$6:$G$56,0),14)=0)*(AB493&gt;=IFERROR('Recurring Items'!$G$6:$G$56,9000000000))+('Recurring Items'!$E$6:$E$56="Weekly")*(WEEKDAY(AB493)=IFERROR(WEEKDAY('Recurring Items'!$G$6:$G$56),0))*(AB493&gt;=IFERROR('Recurring Items'!$G$6:$G$56,9000000000))+('Recurring Items'!$E$6:$E$56="One-time")*(AB493='Recurring Items'!$G$6:$G$56)))</f>
        <v>0</v>
      </c>
      <c r="AE493" s="1" t="n">
        <f aca="false">SUMPRODUCT(('Recurring Items'!$C$6:$C$56="Expense")*('Recurring Items'!$H$6:$H$56&lt;&gt;"Skip")*IFERROR(N('Recurring Items'!$D$6:$D$56),0)*(('Recurring Items'!$E$6:$E$56="Monthly")*(DAY(AB493)='Recurring Items'!$F$6:$F$56)+('Recurring Items'!$E$6:$E$56="Bi-weekly")*(WEEKDAY(AB493)=IFERROR(WEEKDAY('Recurring Items'!$G$6:$G$56),0))*(MOD(AB493-IFERROR('Recurring Items'!$G$6:$G$56,0),14)=0)*(AB493&gt;=IFERROR('Recurring Items'!$G$6:$G$56,9000000000))+('Recurring Items'!$E$6:$E$56="Weekly")*(WEEKDAY(AB493)=IFERROR(WEEKDAY('Recurring Items'!$G$6:$G$56),0))*(AB493&gt;=IFERROR('Recurring Items'!$G$6:$G$56,9000000000))+('Recurring Items'!$E$6:$E$56="One-time")*(AB493='Recurring Items'!$G$6:$G$56)))</f>
        <v>0</v>
      </c>
      <c r="AF493" s="1" t="n">
        <f aca="false">(IF(AC493=1,'Debt Tracker'!$P$5&gt;0.01,INDEX('Debt Tracker'!$T$5:$AE$29,1,AC493-1)&gt;0.01))*('Recurring Items'!$H$8&lt;&gt;"Skip")*(DAY(AB493)='Recurring Items'!$F$8)*IFERROR(N('Recurring Items'!$D$8),0)+(IF(AC493=1,'Debt Tracker'!$P$6&gt;0.01,INDEX('Debt Tracker'!$T$5:$AE$29,2,AC493-1)&gt;0.01))*('Recurring Items'!$H$9&lt;&gt;"Skip")*(DAY(AB493)='Recurring Items'!$F$9)*IFERROR(N('Recurring Items'!$D$9),0)+(IF(AC493=1,'Debt Tracker'!$P$7&gt;0.01,INDEX('Debt Tracker'!$T$5:$AE$29,3,AC493-1)&gt;0.01))*('Recurring Items'!$H$10&lt;&gt;"Skip")*(DAY(AB493)='Recurring Items'!$F$10)*IFERROR(N('Recurring Items'!$D$10),0)+(IF(AC493=1,'Debt Tracker'!$P$8&gt;0.01,INDEX('Debt Tracker'!$T$5:$AE$29,4,AC493-1)&gt;0.01))*('Recurring Items'!$H$11&lt;&gt;"Skip")*(DAY(AB493)='Recurring Items'!$F$11)*IFERROR(N('Recurring Items'!$D$11),0)+(IF(AC493=1,'Debt Tracker'!$P$9&gt;0.01,INDEX('Debt Tracker'!$T$5:$AE$29,5,AC493-1)&gt;0.01))*('Recurring Items'!$H$12&lt;&gt;"Skip")*(DAY(AB493)='Recurring Items'!$F$12)*IFERROR(N('Recurring Items'!$D$12),0)+(IF(AC493=1,'Debt Tracker'!$P$10&gt;0.01,INDEX('Debt Tracker'!$T$5:$AE$29,6,AC493-1)&gt;0.01))*('Recurring Items'!$H$13&lt;&gt;"Skip")*(DAY(AB493)='Recurring Items'!$F$13)*IFERROR(N('Recurring Items'!$D$13),0)+(IF(AC493=1,'Debt Tracker'!$P$11&gt;0.01,INDEX('Debt Tracker'!$T$5:$AE$29,7,AC493-1)&gt;0.01))*('Recurring Items'!$H$14&lt;&gt;"Skip")*(DAY(AB493)='Recurring Items'!$F$14)*IFERROR(N('Recurring Items'!$D$14),0)+(IF(AC493=1,'Debt Tracker'!$P$12&gt;0.01,INDEX('Debt Tracker'!$T$5:$AE$29,8,AC493-1)&gt;0.01))*('Recurring Items'!$H$15&lt;&gt;"Skip")*(DAY(AB493)='Recurring Items'!$F$15)*IFERROR(N('Recurring Items'!$D$15),0)+(IF(AC493=1,'Debt Tracker'!$P$13&gt;0.01,INDEX('Debt Tracker'!$T$5:$AE$29,9,AC493-1)&gt;0.01))*('Recurring Items'!$H$16&lt;&gt;"Skip")*(DAY(AB493)='Recurring Items'!$F$16)*IFERROR(N('Recurring Items'!$D$16),0)+(IF(AC493=1,'Debt Tracker'!$P$14&gt;0.01,INDEX('Debt Tracker'!$T$5:$AE$29,10,AC493-1)&gt;0.01))*('Recurring Items'!$H$17&lt;&gt;"Skip")*(DAY(AB493)='Recurring Items'!$F$17)*IFERROR(N('Recurring Items'!$D$17),0)+(IF(AC493=1,'Debt Tracker'!$P$15&gt;0.01,INDEX('Debt Tracker'!$T$5:$AE$29,11,AC493-1)&gt;0.01))*('Recurring Items'!$H$18&lt;&gt;"Skip")*(DAY(AB493)='Recurring Items'!$F$18)*IFERROR(N('Recurring Items'!$D$18),0)+(IF(AC493=1,'Debt Tracker'!$P$16&gt;0.01,INDEX('Debt Tracker'!$T$5:$AE$29,12,AC493-1)&gt;0.01))*('Recurring Items'!$H$19&lt;&gt;"Skip")*(DAY(AB493)='Recurring Items'!$F$19)*IFERROR(N('Recurring Items'!$D$19),0)+(IF(AC493=1,'Debt Tracker'!$P$17&gt;0.01,INDEX('Debt Tracker'!$T$5:$AE$29,13,AC493-1)&gt;0.01))*('Recurring Items'!$H$20&lt;&gt;"Skip")*(DAY(AB493)='Recurring Items'!$F$20)*IFERROR(N('Recurring Items'!$D$20),0)+(IF(AC493=1,'Debt Tracker'!$P$18&gt;0.01,INDEX('Debt Tracker'!$T$5:$AE$29,14,AC493-1)&gt;0.01))*('Recurring Items'!$H$21&lt;&gt;"Skip")*(DAY(AB493)='Recurring Items'!$F$21)*IFERROR(N('Recurring Items'!$D$21),0)+(IF(AC493=1,'Debt Tracker'!$P$19&gt;0.01,INDEX('Debt Tracker'!$T$5:$AE$29,15,AC493-1)&gt;0.01))*('Recurring Items'!$H$22&lt;&gt;"Skip")*(DAY(AB493)='Recurring Items'!$F$22)*IFERROR(N('Recurring Items'!$D$22),0)+(IF(AC493=1,'Debt Tracker'!$P$20&gt;0.01,INDEX('Debt Tracker'!$T$5:$AE$29,16,AC493-1)&gt;0.01))*('Recurring Items'!$H$23&lt;&gt;"Skip")*(DAY(AB493)='Recurring Items'!$F$23)*IFERROR(N('Recurring Items'!$D$23),0)+(IF(AC493=1,'Debt Tracker'!$P$21&gt;0.01,INDEX('Debt Tracker'!$T$5:$AE$29,17,AC493-1)&gt;0.01))*('Recurring Items'!$H$24&lt;&gt;"Skip")*(DAY(AB493)='Recurring Items'!$F$24)*IFERROR(N('Recurring Items'!$D$24),0)+(IF(AC493=1,'Debt Tracker'!$P$22&gt;0.01,INDEX('Debt Tracker'!$T$5:$AE$29,18,AC493-1)&gt;0.01))*('Recurring Items'!$H$25&lt;&gt;"Skip")*(DAY(AB493)='Recurring Items'!$F$25)*IFERROR(N('Recurring Items'!$D$25),0)+(IF(AC493=1,'Debt Tracker'!$P$23&gt;0.01,INDEX('Debt Tracker'!$T$5:$AE$29,19,AC493-1)&gt;0.01))*('Recurring Items'!$H$26&lt;&gt;"Skip")*(DAY(AB493)='Recurring Items'!$F$26)*IFERROR(N('Recurring Items'!$D$26),0)+(IF(AC493=1,'Debt Tracker'!$P$24&gt;0.01,INDEX('Debt Tracker'!$T$5:$AE$29,20,AC493-1)&gt;0.01))*('Recurring Items'!$H$27&lt;&gt;"Skip")*(DAY(AB493)='Recurring Items'!$F$27)*IFERROR(N('Recurring Items'!$D$27),0)+(IF(AC493=1,'Debt Tracker'!$P$25&gt;0.01,INDEX('Debt Tracker'!$T$5:$AE$29,21,AC493-1)&gt;0.01))*('Recurring Items'!$H$28&lt;&gt;"Skip")*(DAY(AB493)='Recurring Items'!$F$28)*IFERROR(N('Recurring Items'!$D$28),0)+(IF(AC493=1,'Debt Tracker'!$P$26&gt;0.01,INDEX('Debt Tracker'!$T$5:$AE$29,22,AC493-1)&gt;0.01))*('Recurring Items'!$H$29&lt;&gt;"Skip")*(DAY(AB493)='Recurring Items'!$F$29)*IFERROR(N('Recurring Items'!$D$29),0)+(IF(AC493=1,'Debt Tracker'!$P$27&gt;0.01,INDEX('Debt Tracker'!$T$5:$AE$29,23,AC493-1)&gt;0.01))*('Recurring Items'!$H$30&lt;&gt;"Skip")*(DAY(AB493)='Recurring Items'!$F$30)*IFERROR(N('Recurring Items'!$D$30),0)+(IF(AC493=1,'Debt Tracker'!$P$28&gt;0.01,INDEX('Debt Tracker'!$T$5:$AE$29,24,AC493-1)&gt;0.01))*('Recurring Items'!$H$31&lt;&gt;"Skip")*(DAY(AB493)='Recurring Items'!$F$31)*IFERROR(N('Recurring Items'!$D$31),0)+(IF(AC493=1,'Debt Tracker'!$P$29&gt;0.01,INDEX('Debt Tracker'!$T$5:$AE$29,25,AC493-1)&gt;0.01))*('Recurring Items'!$H$32&lt;&gt;"Skip")*(DAY(AB493)='Recurring Items'!$F$32)*IFERROR(N('Recurring Items'!$D$32),0)</f>
        <v>0</v>
      </c>
      <c r="AG493" s="1" t="n">
        <f aca="false">AD493-AE493-AF493</f>
        <v>0</v>
      </c>
      <c r="AH493" s="1" t="n">
        <f aca="false">AH492+AG493</f>
        <v>17856.98</v>
      </c>
    </row>
    <row r="494" customFormat="false" ht="15" hidden="false" customHeight="true" outlineLevel="0" collapsed="false">
      <c r="AA494" s="1" t="n">
        <v>294</v>
      </c>
      <c r="AB494" s="145" t="n">
        <f aca="false">$D$3+294</f>
        <v>46437</v>
      </c>
      <c r="AC494" s="1" t="n">
        <f aca="false">MIN(12,1+DATEDIF($D$3,AB494,"M"))</f>
        <v>10</v>
      </c>
      <c r="AD494" s="1" t="n">
        <f aca="false">SUMPRODUCT(('Recurring Items'!$C$6:$C$56="Income")*('Recurring Items'!$H$6:$H$56&lt;&gt;"Skip")*IFERROR(N('Recurring Items'!$D$6:$D$56),0)*(('Recurring Items'!$E$6:$E$56="Monthly")*(DAY(AB494)='Recurring Items'!$F$6:$F$56)+('Recurring Items'!$E$6:$E$56="Bi-weekly")*(WEEKDAY(AB494)=IFERROR(WEEKDAY('Recurring Items'!$G$6:$G$56),0))*(MOD(AB494-IFERROR('Recurring Items'!$G$6:$G$56,0),14)=0)*(AB494&gt;=IFERROR('Recurring Items'!$G$6:$G$56,9000000000))+('Recurring Items'!$E$6:$E$56="Weekly")*(WEEKDAY(AB494)=IFERROR(WEEKDAY('Recurring Items'!$G$6:$G$56),0))*(AB494&gt;=IFERROR('Recurring Items'!$G$6:$G$56,9000000000))+('Recurring Items'!$E$6:$E$56="One-time")*(AB494='Recurring Items'!$G$6:$G$56)))</f>
        <v>3819.79</v>
      </c>
      <c r="AE494" s="1" t="n">
        <f aca="false">SUMPRODUCT(('Recurring Items'!$C$6:$C$56="Expense")*('Recurring Items'!$H$6:$H$56&lt;&gt;"Skip")*IFERROR(N('Recurring Items'!$D$6:$D$56),0)*(('Recurring Items'!$E$6:$E$56="Monthly")*(DAY(AB494)='Recurring Items'!$F$6:$F$56)+('Recurring Items'!$E$6:$E$56="Bi-weekly")*(WEEKDAY(AB494)=IFERROR(WEEKDAY('Recurring Items'!$G$6:$G$56),0))*(MOD(AB494-IFERROR('Recurring Items'!$G$6:$G$56,0),14)=0)*(AB494&gt;=IFERROR('Recurring Items'!$G$6:$G$56,9000000000))+('Recurring Items'!$E$6:$E$56="Weekly")*(WEEKDAY(AB494)=IFERROR(WEEKDAY('Recurring Items'!$G$6:$G$56),0))*(AB494&gt;=IFERROR('Recurring Items'!$G$6:$G$56,9000000000))+('Recurring Items'!$E$6:$E$56="One-time")*(AB494='Recurring Items'!$G$6:$G$56)))</f>
        <v>460</v>
      </c>
      <c r="AF494" s="1" t="n">
        <f aca="false">(IF(AC494=1,'Debt Tracker'!$P$5&gt;0.01,INDEX('Debt Tracker'!$T$5:$AE$29,1,AC494-1)&gt;0.01))*('Recurring Items'!$H$8&lt;&gt;"Skip")*(DAY(AB494)='Recurring Items'!$F$8)*IFERROR(N('Recurring Items'!$D$8),0)+(IF(AC494=1,'Debt Tracker'!$P$6&gt;0.01,INDEX('Debt Tracker'!$T$5:$AE$29,2,AC494-1)&gt;0.01))*('Recurring Items'!$H$9&lt;&gt;"Skip")*(DAY(AB494)='Recurring Items'!$F$9)*IFERROR(N('Recurring Items'!$D$9),0)+(IF(AC494=1,'Debt Tracker'!$P$7&gt;0.01,INDEX('Debt Tracker'!$T$5:$AE$29,3,AC494-1)&gt;0.01))*('Recurring Items'!$H$10&lt;&gt;"Skip")*(DAY(AB494)='Recurring Items'!$F$10)*IFERROR(N('Recurring Items'!$D$10),0)+(IF(AC494=1,'Debt Tracker'!$P$8&gt;0.01,INDEX('Debt Tracker'!$T$5:$AE$29,4,AC494-1)&gt;0.01))*('Recurring Items'!$H$11&lt;&gt;"Skip")*(DAY(AB494)='Recurring Items'!$F$11)*IFERROR(N('Recurring Items'!$D$11),0)+(IF(AC494=1,'Debt Tracker'!$P$9&gt;0.01,INDEX('Debt Tracker'!$T$5:$AE$29,5,AC494-1)&gt;0.01))*('Recurring Items'!$H$12&lt;&gt;"Skip")*(DAY(AB494)='Recurring Items'!$F$12)*IFERROR(N('Recurring Items'!$D$12),0)+(IF(AC494=1,'Debt Tracker'!$P$10&gt;0.01,INDEX('Debt Tracker'!$T$5:$AE$29,6,AC494-1)&gt;0.01))*('Recurring Items'!$H$13&lt;&gt;"Skip")*(DAY(AB494)='Recurring Items'!$F$13)*IFERROR(N('Recurring Items'!$D$13),0)+(IF(AC494=1,'Debt Tracker'!$P$11&gt;0.01,INDEX('Debt Tracker'!$T$5:$AE$29,7,AC494-1)&gt;0.01))*('Recurring Items'!$H$14&lt;&gt;"Skip")*(DAY(AB494)='Recurring Items'!$F$14)*IFERROR(N('Recurring Items'!$D$14),0)+(IF(AC494=1,'Debt Tracker'!$P$12&gt;0.01,INDEX('Debt Tracker'!$T$5:$AE$29,8,AC494-1)&gt;0.01))*('Recurring Items'!$H$15&lt;&gt;"Skip")*(DAY(AB494)='Recurring Items'!$F$15)*IFERROR(N('Recurring Items'!$D$15),0)+(IF(AC494=1,'Debt Tracker'!$P$13&gt;0.01,INDEX('Debt Tracker'!$T$5:$AE$29,9,AC494-1)&gt;0.01))*('Recurring Items'!$H$16&lt;&gt;"Skip")*(DAY(AB494)='Recurring Items'!$F$16)*IFERROR(N('Recurring Items'!$D$16),0)+(IF(AC494=1,'Debt Tracker'!$P$14&gt;0.01,INDEX('Debt Tracker'!$T$5:$AE$29,10,AC494-1)&gt;0.01))*('Recurring Items'!$H$17&lt;&gt;"Skip")*(DAY(AB494)='Recurring Items'!$F$17)*IFERROR(N('Recurring Items'!$D$17),0)+(IF(AC494=1,'Debt Tracker'!$P$15&gt;0.01,INDEX('Debt Tracker'!$T$5:$AE$29,11,AC494-1)&gt;0.01))*('Recurring Items'!$H$18&lt;&gt;"Skip")*(DAY(AB494)='Recurring Items'!$F$18)*IFERROR(N('Recurring Items'!$D$18),0)+(IF(AC494=1,'Debt Tracker'!$P$16&gt;0.01,INDEX('Debt Tracker'!$T$5:$AE$29,12,AC494-1)&gt;0.01))*('Recurring Items'!$H$19&lt;&gt;"Skip")*(DAY(AB494)='Recurring Items'!$F$19)*IFERROR(N('Recurring Items'!$D$19),0)+(IF(AC494=1,'Debt Tracker'!$P$17&gt;0.01,INDEX('Debt Tracker'!$T$5:$AE$29,13,AC494-1)&gt;0.01))*('Recurring Items'!$H$20&lt;&gt;"Skip")*(DAY(AB494)='Recurring Items'!$F$20)*IFERROR(N('Recurring Items'!$D$20),0)+(IF(AC494=1,'Debt Tracker'!$P$18&gt;0.01,INDEX('Debt Tracker'!$T$5:$AE$29,14,AC494-1)&gt;0.01))*('Recurring Items'!$H$21&lt;&gt;"Skip")*(DAY(AB494)='Recurring Items'!$F$21)*IFERROR(N('Recurring Items'!$D$21),0)+(IF(AC494=1,'Debt Tracker'!$P$19&gt;0.01,INDEX('Debt Tracker'!$T$5:$AE$29,15,AC494-1)&gt;0.01))*('Recurring Items'!$H$22&lt;&gt;"Skip")*(DAY(AB494)='Recurring Items'!$F$22)*IFERROR(N('Recurring Items'!$D$22),0)+(IF(AC494=1,'Debt Tracker'!$P$20&gt;0.01,INDEX('Debt Tracker'!$T$5:$AE$29,16,AC494-1)&gt;0.01))*('Recurring Items'!$H$23&lt;&gt;"Skip")*(DAY(AB494)='Recurring Items'!$F$23)*IFERROR(N('Recurring Items'!$D$23),0)+(IF(AC494=1,'Debt Tracker'!$P$21&gt;0.01,INDEX('Debt Tracker'!$T$5:$AE$29,17,AC494-1)&gt;0.01))*('Recurring Items'!$H$24&lt;&gt;"Skip")*(DAY(AB494)='Recurring Items'!$F$24)*IFERROR(N('Recurring Items'!$D$24),0)+(IF(AC494=1,'Debt Tracker'!$P$22&gt;0.01,INDEX('Debt Tracker'!$T$5:$AE$29,18,AC494-1)&gt;0.01))*('Recurring Items'!$H$25&lt;&gt;"Skip")*(DAY(AB494)='Recurring Items'!$F$25)*IFERROR(N('Recurring Items'!$D$25),0)+(IF(AC494=1,'Debt Tracker'!$P$23&gt;0.01,INDEX('Debt Tracker'!$T$5:$AE$29,19,AC494-1)&gt;0.01))*('Recurring Items'!$H$26&lt;&gt;"Skip")*(DAY(AB494)='Recurring Items'!$F$26)*IFERROR(N('Recurring Items'!$D$26),0)+(IF(AC494=1,'Debt Tracker'!$P$24&gt;0.01,INDEX('Debt Tracker'!$T$5:$AE$29,20,AC494-1)&gt;0.01))*('Recurring Items'!$H$27&lt;&gt;"Skip")*(DAY(AB494)='Recurring Items'!$F$27)*IFERROR(N('Recurring Items'!$D$27),0)+(IF(AC494=1,'Debt Tracker'!$P$25&gt;0.01,INDEX('Debt Tracker'!$T$5:$AE$29,21,AC494-1)&gt;0.01))*('Recurring Items'!$H$28&lt;&gt;"Skip")*(DAY(AB494)='Recurring Items'!$F$28)*IFERROR(N('Recurring Items'!$D$28),0)+(IF(AC494=1,'Debt Tracker'!$P$26&gt;0.01,INDEX('Debt Tracker'!$T$5:$AE$29,22,AC494-1)&gt;0.01))*('Recurring Items'!$H$29&lt;&gt;"Skip")*(DAY(AB494)='Recurring Items'!$F$29)*IFERROR(N('Recurring Items'!$D$29),0)+(IF(AC494=1,'Debt Tracker'!$P$27&gt;0.01,INDEX('Debt Tracker'!$T$5:$AE$29,23,AC494-1)&gt;0.01))*('Recurring Items'!$H$30&lt;&gt;"Skip")*(DAY(AB494)='Recurring Items'!$F$30)*IFERROR(N('Recurring Items'!$D$30),0)+(IF(AC494=1,'Debt Tracker'!$P$28&gt;0.01,INDEX('Debt Tracker'!$T$5:$AE$29,24,AC494-1)&gt;0.01))*('Recurring Items'!$H$31&lt;&gt;"Skip")*(DAY(AB494)='Recurring Items'!$F$31)*IFERROR(N('Recurring Items'!$D$31),0)+(IF(AC494=1,'Debt Tracker'!$P$29&gt;0.01,INDEX('Debt Tracker'!$T$5:$AE$29,25,AC494-1)&gt;0.01))*('Recurring Items'!$H$32&lt;&gt;"Skip")*(DAY(AB494)='Recurring Items'!$F$32)*IFERROR(N('Recurring Items'!$D$32),0)</f>
        <v>0</v>
      </c>
      <c r="AG494" s="1" t="n">
        <f aca="false">AD494-AE494-AF494</f>
        <v>3359.79</v>
      </c>
      <c r="AH494" s="1" t="n">
        <f aca="false">AH493+AG494</f>
        <v>21216.77</v>
      </c>
    </row>
    <row r="495" customFormat="false" ht="15" hidden="false" customHeight="true" outlineLevel="0" collapsed="false">
      <c r="AA495" s="1" t="n">
        <v>295</v>
      </c>
      <c r="AB495" s="145" t="n">
        <f aca="false">$D$3+295</f>
        <v>46438</v>
      </c>
      <c r="AC495" s="1" t="n">
        <f aca="false">MIN(12,1+DATEDIF($D$3,AB495,"M"))</f>
        <v>10</v>
      </c>
      <c r="AD495" s="1" t="n">
        <f aca="false">SUMPRODUCT(('Recurring Items'!$C$6:$C$56="Income")*('Recurring Items'!$H$6:$H$56&lt;&gt;"Skip")*IFERROR(N('Recurring Items'!$D$6:$D$56),0)*(('Recurring Items'!$E$6:$E$56="Monthly")*(DAY(AB495)='Recurring Items'!$F$6:$F$56)+('Recurring Items'!$E$6:$E$56="Bi-weekly")*(WEEKDAY(AB495)=IFERROR(WEEKDAY('Recurring Items'!$G$6:$G$56),0))*(MOD(AB495-IFERROR('Recurring Items'!$G$6:$G$56,0),14)=0)*(AB495&gt;=IFERROR('Recurring Items'!$G$6:$G$56,9000000000))+('Recurring Items'!$E$6:$E$56="Weekly")*(WEEKDAY(AB495)=IFERROR(WEEKDAY('Recurring Items'!$G$6:$G$56),0))*(AB495&gt;=IFERROR('Recurring Items'!$G$6:$G$56,9000000000))+('Recurring Items'!$E$6:$E$56="One-time")*(AB495='Recurring Items'!$G$6:$G$56)))</f>
        <v>0</v>
      </c>
      <c r="AE495" s="1" t="n">
        <f aca="false">SUMPRODUCT(('Recurring Items'!$C$6:$C$56="Expense")*('Recurring Items'!$H$6:$H$56&lt;&gt;"Skip")*IFERROR(N('Recurring Items'!$D$6:$D$56),0)*(('Recurring Items'!$E$6:$E$56="Monthly")*(DAY(AB495)='Recurring Items'!$F$6:$F$56)+('Recurring Items'!$E$6:$E$56="Bi-weekly")*(WEEKDAY(AB495)=IFERROR(WEEKDAY('Recurring Items'!$G$6:$G$56),0))*(MOD(AB495-IFERROR('Recurring Items'!$G$6:$G$56,0),14)=0)*(AB495&gt;=IFERROR('Recurring Items'!$G$6:$G$56,9000000000))+('Recurring Items'!$E$6:$E$56="Weekly")*(WEEKDAY(AB495)=IFERROR(WEEKDAY('Recurring Items'!$G$6:$G$56),0))*(AB495&gt;=IFERROR('Recurring Items'!$G$6:$G$56,9000000000))+('Recurring Items'!$E$6:$E$56="One-time")*(AB495='Recurring Items'!$G$6:$G$56)))</f>
        <v>0</v>
      </c>
      <c r="AF495" s="1" t="n">
        <f aca="false">(IF(AC495=1,'Debt Tracker'!$P$5&gt;0.01,INDEX('Debt Tracker'!$T$5:$AE$29,1,AC495-1)&gt;0.01))*('Recurring Items'!$H$8&lt;&gt;"Skip")*(DAY(AB495)='Recurring Items'!$F$8)*IFERROR(N('Recurring Items'!$D$8),0)+(IF(AC495=1,'Debt Tracker'!$P$6&gt;0.01,INDEX('Debt Tracker'!$T$5:$AE$29,2,AC495-1)&gt;0.01))*('Recurring Items'!$H$9&lt;&gt;"Skip")*(DAY(AB495)='Recurring Items'!$F$9)*IFERROR(N('Recurring Items'!$D$9),0)+(IF(AC495=1,'Debt Tracker'!$P$7&gt;0.01,INDEX('Debt Tracker'!$T$5:$AE$29,3,AC495-1)&gt;0.01))*('Recurring Items'!$H$10&lt;&gt;"Skip")*(DAY(AB495)='Recurring Items'!$F$10)*IFERROR(N('Recurring Items'!$D$10),0)+(IF(AC495=1,'Debt Tracker'!$P$8&gt;0.01,INDEX('Debt Tracker'!$T$5:$AE$29,4,AC495-1)&gt;0.01))*('Recurring Items'!$H$11&lt;&gt;"Skip")*(DAY(AB495)='Recurring Items'!$F$11)*IFERROR(N('Recurring Items'!$D$11),0)+(IF(AC495=1,'Debt Tracker'!$P$9&gt;0.01,INDEX('Debt Tracker'!$T$5:$AE$29,5,AC495-1)&gt;0.01))*('Recurring Items'!$H$12&lt;&gt;"Skip")*(DAY(AB495)='Recurring Items'!$F$12)*IFERROR(N('Recurring Items'!$D$12),0)+(IF(AC495=1,'Debt Tracker'!$P$10&gt;0.01,INDEX('Debt Tracker'!$T$5:$AE$29,6,AC495-1)&gt;0.01))*('Recurring Items'!$H$13&lt;&gt;"Skip")*(DAY(AB495)='Recurring Items'!$F$13)*IFERROR(N('Recurring Items'!$D$13),0)+(IF(AC495=1,'Debt Tracker'!$P$11&gt;0.01,INDEX('Debt Tracker'!$T$5:$AE$29,7,AC495-1)&gt;0.01))*('Recurring Items'!$H$14&lt;&gt;"Skip")*(DAY(AB495)='Recurring Items'!$F$14)*IFERROR(N('Recurring Items'!$D$14),0)+(IF(AC495=1,'Debt Tracker'!$P$12&gt;0.01,INDEX('Debt Tracker'!$T$5:$AE$29,8,AC495-1)&gt;0.01))*('Recurring Items'!$H$15&lt;&gt;"Skip")*(DAY(AB495)='Recurring Items'!$F$15)*IFERROR(N('Recurring Items'!$D$15),0)+(IF(AC495=1,'Debt Tracker'!$P$13&gt;0.01,INDEX('Debt Tracker'!$T$5:$AE$29,9,AC495-1)&gt;0.01))*('Recurring Items'!$H$16&lt;&gt;"Skip")*(DAY(AB495)='Recurring Items'!$F$16)*IFERROR(N('Recurring Items'!$D$16),0)+(IF(AC495=1,'Debt Tracker'!$P$14&gt;0.01,INDEX('Debt Tracker'!$T$5:$AE$29,10,AC495-1)&gt;0.01))*('Recurring Items'!$H$17&lt;&gt;"Skip")*(DAY(AB495)='Recurring Items'!$F$17)*IFERROR(N('Recurring Items'!$D$17),0)+(IF(AC495=1,'Debt Tracker'!$P$15&gt;0.01,INDEX('Debt Tracker'!$T$5:$AE$29,11,AC495-1)&gt;0.01))*('Recurring Items'!$H$18&lt;&gt;"Skip")*(DAY(AB495)='Recurring Items'!$F$18)*IFERROR(N('Recurring Items'!$D$18),0)+(IF(AC495=1,'Debt Tracker'!$P$16&gt;0.01,INDEX('Debt Tracker'!$T$5:$AE$29,12,AC495-1)&gt;0.01))*('Recurring Items'!$H$19&lt;&gt;"Skip")*(DAY(AB495)='Recurring Items'!$F$19)*IFERROR(N('Recurring Items'!$D$19),0)+(IF(AC495=1,'Debt Tracker'!$P$17&gt;0.01,INDEX('Debt Tracker'!$T$5:$AE$29,13,AC495-1)&gt;0.01))*('Recurring Items'!$H$20&lt;&gt;"Skip")*(DAY(AB495)='Recurring Items'!$F$20)*IFERROR(N('Recurring Items'!$D$20),0)+(IF(AC495=1,'Debt Tracker'!$P$18&gt;0.01,INDEX('Debt Tracker'!$T$5:$AE$29,14,AC495-1)&gt;0.01))*('Recurring Items'!$H$21&lt;&gt;"Skip")*(DAY(AB495)='Recurring Items'!$F$21)*IFERROR(N('Recurring Items'!$D$21),0)+(IF(AC495=1,'Debt Tracker'!$P$19&gt;0.01,INDEX('Debt Tracker'!$T$5:$AE$29,15,AC495-1)&gt;0.01))*('Recurring Items'!$H$22&lt;&gt;"Skip")*(DAY(AB495)='Recurring Items'!$F$22)*IFERROR(N('Recurring Items'!$D$22),0)+(IF(AC495=1,'Debt Tracker'!$P$20&gt;0.01,INDEX('Debt Tracker'!$T$5:$AE$29,16,AC495-1)&gt;0.01))*('Recurring Items'!$H$23&lt;&gt;"Skip")*(DAY(AB495)='Recurring Items'!$F$23)*IFERROR(N('Recurring Items'!$D$23),0)+(IF(AC495=1,'Debt Tracker'!$P$21&gt;0.01,INDEX('Debt Tracker'!$T$5:$AE$29,17,AC495-1)&gt;0.01))*('Recurring Items'!$H$24&lt;&gt;"Skip")*(DAY(AB495)='Recurring Items'!$F$24)*IFERROR(N('Recurring Items'!$D$24),0)+(IF(AC495=1,'Debt Tracker'!$P$22&gt;0.01,INDEX('Debt Tracker'!$T$5:$AE$29,18,AC495-1)&gt;0.01))*('Recurring Items'!$H$25&lt;&gt;"Skip")*(DAY(AB495)='Recurring Items'!$F$25)*IFERROR(N('Recurring Items'!$D$25),0)+(IF(AC495=1,'Debt Tracker'!$P$23&gt;0.01,INDEX('Debt Tracker'!$T$5:$AE$29,19,AC495-1)&gt;0.01))*('Recurring Items'!$H$26&lt;&gt;"Skip")*(DAY(AB495)='Recurring Items'!$F$26)*IFERROR(N('Recurring Items'!$D$26),0)+(IF(AC495=1,'Debt Tracker'!$P$24&gt;0.01,INDEX('Debt Tracker'!$T$5:$AE$29,20,AC495-1)&gt;0.01))*('Recurring Items'!$H$27&lt;&gt;"Skip")*(DAY(AB495)='Recurring Items'!$F$27)*IFERROR(N('Recurring Items'!$D$27),0)+(IF(AC495=1,'Debt Tracker'!$P$25&gt;0.01,INDEX('Debt Tracker'!$T$5:$AE$29,21,AC495-1)&gt;0.01))*('Recurring Items'!$H$28&lt;&gt;"Skip")*(DAY(AB495)='Recurring Items'!$F$28)*IFERROR(N('Recurring Items'!$D$28),0)+(IF(AC495=1,'Debt Tracker'!$P$26&gt;0.01,INDEX('Debt Tracker'!$T$5:$AE$29,22,AC495-1)&gt;0.01))*('Recurring Items'!$H$29&lt;&gt;"Skip")*(DAY(AB495)='Recurring Items'!$F$29)*IFERROR(N('Recurring Items'!$D$29),0)+(IF(AC495=1,'Debt Tracker'!$P$27&gt;0.01,INDEX('Debt Tracker'!$T$5:$AE$29,23,AC495-1)&gt;0.01))*('Recurring Items'!$H$30&lt;&gt;"Skip")*(DAY(AB495)='Recurring Items'!$F$30)*IFERROR(N('Recurring Items'!$D$30),0)+(IF(AC495=1,'Debt Tracker'!$P$28&gt;0.01,INDEX('Debt Tracker'!$T$5:$AE$29,24,AC495-1)&gt;0.01))*('Recurring Items'!$H$31&lt;&gt;"Skip")*(DAY(AB495)='Recurring Items'!$F$31)*IFERROR(N('Recurring Items'!$D$31),0)+(IF(AC495=1,'Debt Tracker'!$P$29&gt;0.01,INDEX('Debt Tracker'!$T$5:$AE$29,25,AC495-1)&gt;0.01))*('Recurring Items'!$H$32&lt;&gt;"Skip")*(DAY(AB495)='Recurring Items'!$F$32)*IFERROR(N('Recurring Items'!$D$32),0)</f>
        <v>0</v>
      </c>
      <c r="AG495" s="1" t="n">
        <f aca="false">AD495-AE495-AF495</f>
        <v>0</v>
      </c>
      <c r="AH495" s="1" t="n">
        <f aca="false">AH494+AG495</f>
        <v>21216.77</v>
      </c>
    </row>
    <row r="496" customFormat="false" ht="15" hidden="false" customHeight="true" outlineLevel="0" collapsed="false">
      <c r="AA496" s="1" t="n">
        <v>296</v>
      </c>
      <c r="AB496" s="145" t="n">
        <f aca="false">$D$3+296</f>
        <v>46439</v>
      </c>
      <c r="AC496" s="1" t="n">
        <f aca="false">MIN(12,1+DATEDIF($D$3,AB496,"M"))</f>
        <v>10</v>
      </c>
      <c r="AD496" s="1" t="n">
        <f aca="false">SUMPRODUCT(('Recurring Items'!$C$6:$C$56="Income")*('Recurring Items'!$H$6:$H$56&lt;&gt;"Skip")*IFERROR(N('Recurring Items'!$D$6:$D$56),0)*(('Recurring Items'!$E$6:$E$56="Monthly")*(DAY(AB496)='Recurring Items'!$F$6:$F$56)+('Recurring Items'!$E$6:$E$56="Bi-weekly")*(WEEKDAY(AB496)=IFERROR(WEEKDAY('Recurring Items'!$G$6:$G$56),0))*(MOD(AB496-IFERROR('Recurring Items'!$G$6:$G$56,0),14)=0)*(AB496&gt;=IFERROR('Recurring Items'!$G$6:$G$56,9000000000))+('Recurring Items'!$E$6:$E$56="Weekly")*(WEEKDAY(AB496)=IFERROR(WEEKDAY('Recurring Items'!$G$6:$G$56),0))*(AB496&gt;=IFERROR('Recurring Items'!$G$6:$G$56,9000000000))+('Recurring Items'!$E$6:$E$56="One-time")*(AB496='Recurring Items'!$G$6:$G$56)))</f>
        <v>0</v>
      </c>
      <c r="AE496" s="1" t="n">
        <f aca="false">SUMPRODUCT(('Recurring Items'!$C$6:$C$56="Expense")*('Recurring Items'!$H$6:$H$56&lt;&gt;"Skip")*IFERROR(N('Recurring Items'!$D$6:$D$56),0)*(('Recurring Items'!$E$6:$E$56="Monthly")*(DAY(AB496)='Recurring Items'!$F$6:$F$56)+('Recurring Items'!$E$6:$E$56="Bi-weekly")*(WEEKDAY(AB496)=IFERROR(WEEKDAY('Recurring Items'!$G$6:$G$56),0))*(MOD(AB496-IFERROR('Recurring Items'!$G$6:$G$56,0),14)=0)*(AB496&gt;=IFERROR('Recurring Items'!$G$6:$G$56,9000000000))+('Recurring Items'!$E$6:$E$56="Weekly")*(WEEKDAY(AB496)=IFERROR(WEEKDAY('Recurring Items'!$G$6:$G$56),0))*(AB496&gt;=IFERROR('Recurring Items'!$G$6:$G$56,9000000000))+('Recurring Items'!$E$6:$E$56="One-time")*(AB496='Recurring Items'!$G$6:$G$56)))</f>
        <v>241</v>
      </c>
      <c r="AF496" s="1" t="n">
        <f aca="false">(IF(AC496=1,'Debt Tracker'!$P$5&gt;0.01,INDEX('Debt Tracker'!$T$5:$AE$29,1,AC496-1)&gt;0.01))*('Recurring Items'!$H$8&lt;&gt;"Skip")*(DAY(AB496)='Recurring Items'!$F$8)*IFERROR(N('Recurring Items'!$D$8),0)+(IF(AC496=1,'Debt Tracker'!$P$6&gt;0.01,INDEX('Debt Tracker'!$T$5:$AE$29,2,AC496-1)&gt;0.01))*('Recurring Items'!$H$9&lt;&gt;"Skip")*(DAY(AB496)='Recurring Items'!$F$9)*IFERROR(N('Recurring Items'!$D$9),0)+(IF(AC496=1,'Debt Tracker'!$P$7&gt;0.01,INDEX('Debt Tracker'!$T$5:$AE$29,3,AC496-1)&gt;0.01))*('Recurring Items'!$H$10&lt;&gt;"Skip")*(DAY(AB496)='Recurring Items'!$F$10)*IFERROR(N('Recurring Items'!$D$10),0)+(IF(AC496=1,'Debt Tracker'!$P$8&gt;0.01,INDEX('Debt Tracker'!$T$5:$AE$29,4,AC496-1)&gt;0.01))*('Recurring Items'!$H$11&lt;&gt;"Skip")*(DAY(AB496)='Recurring Items'!$F$11)*IFERROR(N('Recurring Items'!$D$11),0)+(IF(AC496=1,'Debt Tracker'!$P$9&gt;0.01,INDEX('Debt Tracker'!$T$5:$AE$29,5,AC496-1)&gt;0.01))*('Recurring Items'!$H$12&lt;&gt;"Skip")*(DAY(AB496)='Recurring Items'!$F$12)*IFERROR(N('Recurring Items'!$D$12),0)+(IF(AC496=1,'Debt Tracker'!$P$10&gt;0.01,INDEX('Debt Tracker'!$T$5:$AE$29,6,AC496-1)&gt;0.01))*('Recurring Items'!$H$13&lt;&gt;"Skip")*(DAY(AB496)='Recurring Items'!$F$13)*IFERROR(N('Recurring Items'!$D$13),0)+(IF(AC496=1,'Debt Tracker'!$P$11&gt;0.01,INDEX('Debt Tracker'!$T$5:$AE$29,7,AC496-1)&gt;0.01))*('Recurring Items'!$H$14&lt;&gt;"Skip")*(DAY(AB496)='Recurring Items'!$F$14)*IFERROR(N('Recurring Items'!$D$14),0)+(IF(AC496=1,'Debt Tracker'!$P$12&gt;0.01,INDEX('Debt Tracker'!$T$5:$AE$29,8,AC496-1)&gt;0.01))*('Recurring Items'!$H$15&lt;&gt;"Skip")*(DAY(AB496)='Recurring Items'!$F$15)*IFERROR(N('Recurring Items'!$D$15),0)+(IF(AC496=1,'Debt Tracker'!$P$13&gt;0.01,INDEX('Debt Tracker'!$T$5:$AE$29,9,AC496-1)&gt;0.01))*('Recurring Items'!$H$16&lt;&gt;"Skip")*(DAY(AB496)='Recurring Items'!$F$16)*IFERROR(N('Recurring Items'!$D$16),0)+(IF(AC496=1,'Debt Tracker'!$P$14&gt;0.01,INDEX('Debt Tracker'!$T$5:$AE$29,10,AC496-1)&gt;0.01))*('Recurring Items'!$H$17&lt;&gt;"Skip")*(DAY(AB496)='Recurring Items'!$F$17)*IFERROR(N('Recurring Items'!$D$17),0)+(IF(AC496=1,'Debt Tracker'!$P$15&gt;0.01,INDEX('Debt Tracker'!$T$5:$AE$29,11,AC496-1)&gt;0.01))*('Recurring Items'!$H$18&lt;&gt;"Skip")*(DAY(AB496)='Recurring Items'!$F$18)*IFERROR(N('Recurring Items'!$D$18),0)+(IF(AC496=1,'Debt Tracker'!$P$16&gt;0.01,INDEX('Debt Tracker'!$T$5:$AE$29,12,AC496-1)&gt;0.01))*('Recurring Items'!$H$19&lt;&gt;"Skip")*(DAY(AB496)='Recurring Items'!$F$19)*IFERROR(N('Recurring Items'!$D$19),0)+(IF(AC496=1,'Debt Tracker'!$P$17&gt;0.01,INDEX('Debt Tracker'!$T$5:$AE$29,13,AC496-1)&gt;0.01))*('Recurring Items'!$H$20&lt;&gt;"Skip")*(DAY(AB496)='Recurring Items'!$F$20)*IFERROR(N('Recurring Items'!$D$20),0)+(IF(AC496=1,'Debt Tracker'!$P$18&gt;0.01,INDEX('Debt Tracker'!$T$5:$AE$29,14,AC496-1)&gt;0.01))*('Recurring Items'!$H$21&lt;&gt;"Skip")*(DAY(AB496)='Recurring Items'!$F$21)*IFERROR(N('Recurring Items'!$D$21),0)+(IF(AC496=1,'Debt Tracker'!$P$19&gt;0.01,INDEX('Debt Tracker'!$T$5:$AE$29,15,AC496-1)&gt;0.01))*('Recurring Items'!$H$22&lt;&gt;"Skip")*(DAY(AB496)='Recurring Items'!$F$22)*IFERROR(N('Recurring Items'!$D$22),0)+(IF(AC496=1,'Debt Tracker'!$P$20&gt;0.01,INDEX('Debt Tracker'!$T$5:$AE$29,16,AC496-1)&gt;0.01))*('Recurring Items'!$H$23&lt;&gt;"Skip")*(DAY(AB496)='Recurring Items'!$F$23)*IFERROR(N('Recurring Items'!$D$23),0)+(IF(AC496=1,'Debt Tracker'!$P$21&gt;0.01,INDEX('Debt Tracker'!$T$5:$AE$29,17,AC496-1)&gt;0.01))*('Recurring Items'!$H$24&lt;&gt;"Skip")*(DAY(AB496)='Recurring Items'!$F$24)*IFERROR(N('Recurring Items'!$D$24),0)+(IF(AC496=1,'Debt Tracker'!$P$22&gt;0.01,INDEX('Debt Tracker'!$T$5:$AE$29,18,AC496-1)&gt;0.01))*('Recurring Items'!$H$25&lt;&gt;"Skip")*(DAY(AB496)='Recurring Items'!$F$25)*IFERROR(N('Recurring Items'!$D$25),0)+(IF(AC496=1,'Debt Tracker'!$P$23&gt;0.01,INDEX('Debt Tracker'!$T$5:$AE$29,19,AC496-1)&gt;0.01))*('Recurring Items'!$H$26&lt;&gt;"Skip")*(DAY(AB496)='Recurring Items'!$F$26)*IFERROR(N('Recurring Items'!$D$26),0)+(IF(AC496=1,'Debt Tracker'!$P$24&gt;0.01,INDEX('Debt Tracker'!$T$5:$AE$29,20,AC496-1)&gt;0.01))*('Recurring Items'!$H$27&lt;&gt;"Skip")*(DAY(AB496)='Recurring Items'!$F$27)*IFERROR(N('Recurring Items'!$D$27),0)+(IF(AC496=1,'Debt Tracker'!$P$25&gt;0.01,INDEX('Debt Tracker'!$T$5:$AE$29,21,AC496-1)&gt;0.01))*('Recurring Items'!$H$28&lt;&gt;"Skip")*(DAY(AB496)='Recurring Items'!$F$28)*IFERROR(N('Recurring Items'!$D$28),0)+(IF(AC496=1,'Debt Tracker'!$P$26&gt;0.01,INDEX('Debt Tracker'!$T$5:$AE$29,22,AC496-1)&gt;0.01))*('Recurring Items'!$H$29&lt;&gt;"Skip")*(DAY(AB496)='Recurring Items'!$F$29)*IFERROR(N('Recurring Items'!$D$29),0)+(IF(AC496=1,'Debt Tracker'!$P$27&gt;0.01,INDEX('Debt Tracker'!$T$5:$AE$29,23,AC496-1)&gt;0.01))*('Recurring Items'!$H$30&lt;&gt;"Skip")*(DAY(AB496)='Recurring Items'!$F$30)*IFERROR(N('Recurring Items'!$D$30),0)+(IF(AC496=1,'Debt Tracker'!$P$28&gt;0.01,INDEX('Debt Tracker'!$T$5:$AE$29,24,AC496-1)&gt;0.01))*('Recurring Items'!$H$31&lt;&gt;"Skip")*(DAY(AB496)='Recurring Items'!$F$31)*IFERROR(N('Recurring Items'!$D$31),0)+(IF(AC496=1,'Debt Tracker'!$P$29&gt;0.01,INDEX('Debt Tracker'!$T$5:$AE$29,25,AC496-1)&gt;0.01))*('Recurring Items'!$H$32&lt;&gt;"Skip")*(DAY(AB496)='Recurring Items'!$F$32)*IFERROR(N('Recurring Items'!$D$32),0)</f>
        <v>0</v>
      </c>
      <c r="AG496" s="1" t="n">
        <f aca="false">AD496-AE496-AF496</f>
        <v>-241</v>
      </c>
      <c r="AH496" s="1" t="n">
        <f aca="false">AH495+AG496</f>
        <v>20975.77</v>
      </c>
    </row>
    <row r="497" customFormat="false" ht="15" hidden="false" customHeight="true" outlineLevel="0" collapsed="false">
      <c r="AA497" s="1" t="n">
        <v>297</v>
      </c>
      <c r="AB497" s="145" t="n">
        <f aca="false">$D$3+297</f>
        <v>46440</v>
      </c>
      <c r="AC497" s="1" t="n">
        <f aca="false">MIN(12,1+DATEDIF($D$3,AB497,"M"))</f>
        <v>10</v>
      </c>
      <c r="AD497" s="1" t="n">
        <f aca="false">SUMPRODUCT(('Recurring Items'!$C$6:$C$56="Income")*('Recurring Items'!$H$6:$H$56&lt;&gt;"Skip")*IFERROR(N('Recurring Items'!$D$6:$D$56),0)*(('Recurring Items'!$E$6:$E$56="Monthly")*(DAY(AB497)='Recurring Items'!$F$6:$F$56)+('Recurring Items'!$E$6:$E$56="Bi-weekly")*(WEEKDAY(AB497)=IFERROR(WEEKDAY('Recurring Items'!$G$6:$G$56),0))*(MOD(AB497-IFERROR('Recurring Items'!$G$6:$G$56,0),14)=0)*(AB497&gt;=IFERROR('Recurring Items'!$G$6:$G$56,9000000000))+('Recurring Items'!$E$6:$E$56="Weekly")*(WEEKDAY(AB497)=IFERROR(WEEKDAY('Recurring Items'!$G$6:$G$56),0))*(AB497&gt;=IFERROR('Recurring Items'!$G$6:$G$56,9000000000))+('Recurring Items'!$E$6:$E$56="One-time")*(AB497='Recurring Items'!$G$6:$G$56)))</f>
        <v>0</v>
      </c>
      <c r="AE497" s="1" t="n">
        <f aca="false">SUMPRODUCT(('Recurring Items'!$C$6:$C$56="Expense")*('Recurring Items'!$H$6:$H$56&lt;&gt;"Skip")*IFERROR(N('Recurring Items'!$D$6:$D$56),0)*(('Recurring Items'!$E$6:$E$56="Monthly")*(DAY(AB497)='Recurring Items'!$F$6:$F$56)+('Recurring Items'!$E$6:$E$56="Bi-weekly")*(WEEKDAY(AB497)=IFERROR(WEEKDAY('Recurring Items'!$G$6:$G$56),0))*(MOD(AB497-IFERROR('Recurring Items'!$G$6:$G$56,0),14)=0)*(AB497&gt;=IFERROR('Recurring Items'!$G$6:$G$56,9000000000))+('Recurring Items'!$E$6:$E$56="Weekly")*(WEEKDAY(AB497)=IFERROR(WEEKDAY('Recurring Items'!$G$6:$G$56),0))*(AB497&gt;=IFERROR('Recurring Items'!$G$6:$G$56,9000000000))+('Recurring Items'!$E$6:$E$56="One-time")*(AB497='Recurring Items'!$G$6:$G$56)))</f>
        <v>0</v>
      </c>
      <c r="AF497" s="1" t="n">
        <f aca="false">(IF(AC497=1,'Debt Tracker'!$P$5&gt;0.01,INDEX('Debt Tracker'!$T$5:$AE$29,1,AC497-1)&gt;0.01))*('Recurring Items'!$H$8&lt;&gt;"Skip")*(DAY(AB497)='Recurring Items'!$F$8)*IFERROR(N('Recurring Items'!$D$8),0)+(IF(AC497=1,'Debt Tracker'!$P$6&gt;0.01,INDEX('Debt Tracker'!$T$5:$AE$29,2,AC497-1)&gt;0.01))*('Recurring Items'!$H$9&lt;&gt;"Skip")*(DAY(AB497)='Recurring Items'!$F$9)*IFERROR(N('Recurring Items'!$D$9),0)+(IF(AC497=1,'Debt Tracker'!$P$7&gt;0.01,INDEX('Debt Tracker'!$T$5:$AE$29,3,AC497-1)&gt;0.01))*('Recurring Items'!$H$10&lt;&gt;"Skip")*(DAY(AB497)='Recurring Items'!$F$10)*IFERROR(N('Recurring Items'!$D$10),0)+(IF(AC497=1,'Debt Tracker'!$P$8&gt;0.01,INDEX('Debt Tracker'!$T$5:$AE$29,4,AC497-1)&gt;0.01))*('Recurring Items'!$H$11&lt;&gt;"Skip")*(DAY(AB497)='Recurring Items'!$F$11)*IFERROR(N('Recurring Items'!$D$11),0)+(IF(AC497=1,'Debt Tracker'!$P$9&gt;0.01,INDEX('Debt Tracker'!$T$5:$AE$29,5,AC497-1)&gt;0.01))*('Recurring Items'!$H$12&lt;&gt;"Skip")*(DAY(AB497)='Recurring Items'!$F$12)*IFERROR(N('Recurring Items'!$D$12),0)+(IF(AC497=1,'Debt Tracker'!$P$10&gt;0.01,INDEX('Debt Tracker'!$T$5:$AE$29,6,AC497-1)&gt;0.01))*('Recurring Items'!$H$13&lt;&gt;"Skip")*(DAY(AB497)='Recurring Items'!$F$13)*IFERROR(N('Recurring Items'!$D$13),0)+(IF(AC497=1,'Debt Tracker'!$P$11&gt;0.01,INDEX('Debt Tracker'!$T$5:$AE$29,7,AC497-1)&gt;0.01))*('Recurring Items'!$H$14&lt;&gt;"Skip")*(DAY(AB497)='Recurring Items'!$F$14)*IFERROR(N('Recurring Items'!$D$14),0)+(IF(AC497=1,'Debt Tracker'!$P$12&gt;0.01,INDEX('Debt Tracker'!$T$5:$AE$29,8,AC497-1)&gt;0.01))*('Recurring Items'!$H$15&lt;&gt;"Skip")*(DAY(AB497)='Recurring Items'!$F$15)*IFERROR(N('Recurring Items'!$D$15),0)+(IF(AC497=1,'Debt Tracker'!$P$13&gt;0.01,INDEX('Debt Tracker'!$T$5:$AE$29,9,AC497-1)&gt;0.01))*('Recurring Items'!$H$16&lt;&gt;"Skip")*(DAY(AB497)='Recurring Items'!$F$16)*IFERROR(N('Recurring Items'!$D$16),0)+(IF(AC497=1,'Debt Tracker'!$P$14&gt;0.01,INDEX('Debt Tracker'!$T$5:$AE$29,10,AC497-1)&gt;0.01))*('Recurring Items'!$H$17&lt;&gt;"Skip")*(DAY(AB497)='Recurring Items'!$F$17)*IFERROR(N('Recurring Items'!$D$17),0)+(IF(AC497=1,'Debt Tracker'!$P$15&gt;0.01,INDEX('Debt Tracker'!$T$5:$AE$29,11,AC497-1)&gt;0.01))*('Recurring Items'!$H$18&lt;&gt;"Skip")*(DAY(AB497)='Recurring Items'!$F$18)*IFERROR(N('Recurring Items'!$D$18),0)+(IF(AC497=1,'Debt Tracker'!$P$16&gt;0.01,INDEX('Debt Tracker'!$T$5:$AE$29,12,AC497-1)&gt;0.01))*('Recurring Items'!$H$19&lt;&gt;"Skip")*(DAY(AB497)='Recurring Items'!$F$19)*IFERROR(N('Recurring Items'!$D$19),0)+(IF(AC497=1,'Debt Tracker'!$P$17&gt;0.01,INDEX('Debt Tracker'!$T$5:$AE$29,13,AC497-1)&gt;0.01))*('Recurring Items'!$H$20&lt;&gt;"Skip")*(DAY(AB497)='Recurring Items'!$F$20)*IFERROR(N('Recurring Items'!$D$20),0)+(IF(AC497=1,'Debt Tracker'!$P$18&gt;0.01,INDEX('Debt Tracker'!$T$5:$AE$29,14,AC497-1)&gt;0.01))*('Recurring Items'!$H$21&lt;&gt;"Skip")*(DAY(AB497)='Recurring Items'!$F$21)*IFERROR(N('Recurring Items'!$D$21),0)+(IF(AC497=1,'Debt Tracker'!$P$19&gt;0.01,INDEX('Debt Tracker'!$T$5:$AE$29,15,AC497-1)&gt;0.01))*('Recurring Items'!$H$22&lt;&gt;"Skip")*(DAY(AB497)='Recurring Items'!$F$22)*IFERROR(N('Recurring Items'!$D$22),0)+(IF(AC497=1,'Debt Tracker'!$P$20&gt;0.01,INDEX('Debt Tracker'!$T$5:$AE$29,16,AC497-1)&gt;0.01))*('Recurring Items'!$H$23&lt;&gt;"Skip")*(DAY(AB497)='Recurring Items'!$F$23)*IFERROR(N('Recurring Items'!$D$23),0)+(IF(AC497=1,'Debt Tracker'!$P$21&gt;0.01,INDEX('Debt Tracker'!$T$5:$AE$29,17,AC497-1)&gt;0.01))*('Recurring Items'!$H$24&lt;&gt;"Skip")*(DAY(AB497)='Recurring Items'!$F$24)*IFERROR(N('Recurring Items'!$D$24),0)+(IF(AC497=1,'Debt Tracker'!$P$22&gt;0.01,INDEX('Debt Tracker'!$T$5:$AE$29,18,AC497-1)&gt;0.01))*('Recurring Items'!$H$25&lt;&gt;"Skip")*(DAY(AB497)='Recurring Items'!$F$25)*IFERROR(N('Recurring Items'!$D$25),0)+(IF(AC497=1,'Debt Tracker'!$P$23&gt;0.01,INDEX('Debt Tracker'!$T$5:$AE$29,19,AC497-1)&gt;0.01))*('Recurring Items'!$H$26&lt;&gt;"Skip")*(DAY(AB497)='Recurring Items'!$F$26)*IFERROR(N('Recurring Items'!$D$26),0)+(IF(AC497=1,'Debt Tracker'!$P$24&gt;0.01,INDEX('Debt Tracker'!$T$5:$AE$29,20,AC497-1)&gt;0.01))*('Recurring Items'!$H$27&lt;&gt;"Skip")*(DAY(AB497)='Recurring Items'!$F$27)*IFERROR(N('Recurring Items'!$D$27),0)+(IF(AC497=1,'Debt Tracker'!$P$25&gt;0.01,INDEX('Debt Tracker'!$T$5:$AE$29,21,AC497-1)&gt;0.01))*('Recurring Items'!$H$28&lt;&gt;"Skip")*(DAY(AB497)='Recurring Items'!$F$28)*IFERROR(N('Recurring Items'!$D$28),0)+(IF(AC497=1,'Debt Tracker'!$P$26&gt;0.01,INDEX('Debt Tracker'!$T$5:$AE$29,22,AC497-1)&gt;0.01))*('Recurring Items'!$H$29&lt;&gt;"Skip")*(DAY(AB497)='Recurring Items'!$F$29)*IFERROR(N('Recurring Items'!$D$29),0)+(IF(AC497=1,'Debt Tracker'!$P$27&gt;0.01,INDEX('Debt Tracker'!$T$5:$AE$29,23,AC497-1)&gt;0.01))*('Recurring Items'!$H$30&lt;&gt;"Skip")*(DAY(AB497)='Recurring Items'!$F$30)*IFERROR(N('Recurring Items'!$D$30),0)+(IF(AC497=1,'Debt Tracker'!$P$28&gt;0.01,INDEX('Debt Tracker'!$T$5:$AE$29,24,AC497-1)&gt;0.01))*('Recurring Items'!$H$31&lt;&gt;"Skip")*(DAY(AB497)='Recurring Items'!$F$31)*IFERROR(N('Recurring Items'!$D$31),0)+(IF(AC497=1,'Debt Tracker'!$P$29&gt;0.01,INDEX('Debt Tracker'!$T$5:$AE$29,25,AC497-1)&gt;0.01))*('Recurring Items'!$H$32&lt;&gt;"Skip")*(DAY(AB497)='Recurring Items'!$F$32)*IFERROR(N('Recurring Items'!$D$32),0)</f>
        <v>0</v>
      </c>
      <c r="AG497" s="1" t="n">
        <f aca="false">AD497-AE497-AF497</f>
        <v>0</v>
      </c>
      <c r="AH497" s="1" t="n">
        <f aca="false">AH496+AG497</f>
        <v>20975.77</v>
      </c>
    </row>
    <row r="498" customFormat="false" ht="15" hidden="false" customHeight="true" outlineLevel="0" collapsed="false">
      <c r="AA498" s="1" t="n">
        <v>298</v>
      </c>
      <c r="AB498" s="145" t="n">
        <f aca="false">$D$3+298</f>
        <v>46441</v>
      </c>
      <c r="AC498" s="1" t="n">
        <f aca="false">MIN(12,1+DATEDIF($D$3,AB498,"M"))</f>
        <v>10</v>
      </c>
      <c r="AD498" s="1" t="n">
        <f aca="false">SUMPRODUCT(('Recurring Items'!$C$6:$C$56="Income")*('Recurring Items'!$H$6:$H$56&lt;&gt;"Skip")*IFERROR(N('Recurring Items'!$D$6:$D$56),0)*(('Recurring Items'!$E$6:$E$56="Monthly")*(DAY(AB498)='Recurring Items'!$F$6:$F$56)+('Recurring Items'!$E$6:$E$56="Bi-weekly")*(WEEKDAY(AB498)=IFERROR(WEEKDAY('Recurring Items'!$G$6:$G$56),0))*(MOD(AB498-IFERROR('Recurring Items'!$G$6:$G$56,0),14)=0)*(AB498&gt;=IFERROR('Recurring Items'!$G$6:$G$56,9000000000))+('Recurring Items'!$E$6:$E$56="Weekly")*(WEEKDAY(AB498)=IFERROR(WEEKDAY('Recurring Items'!$G$6:$G$56),0))*(AB498&gt;=IFERROR('Recurring Items'!$G$6:$G$56,9000000000))+('Recurring Items'!$E$6:$E$56="One-time")*(AB498='Recurring Items'!$G$6:$G$56)))</f>
        <v>0</v>
      </c>
      <c r="AE498" s="1" t="n">
        <f aca="false">SUMPRODUCT(('Recurring Items'!$C$6:$C$56="Expense")*('Recurring Items'!$H$6:$H$56&lt;&gt;"Skip")*IFERROR(N('Recurring Items'!$D$6:$D$56),0)*(('Recurring Items'!$E$6:$E$56="Monthly")*(DAY(AB498)='Recurring Items'!$F$6:$F$56)+('Recurring Items'!$E$6:$E$56="Bi-weekly")*(WEEKDAY(AB498)=IFERROR(WEEKDAY('Recurring Items'!$G$6:$G$56),0))*(MOD(AB498-IFERROR('Recurring Items'!$G$6:$G$56,0),14)=0)*(AB498&gt;=IFERROR('Recurring Items'!$G$6:$G$56,9000000000))+('Recurring Items'!$E$6:$E$56="Weekly")*(WEEKDAY(AB498)=IFERROR(WEEKDAY('Recurring Items'!$G$6:$G$56),0))*(AB498&gt;=IFERROR('Recurring Items'!$G$6:$G$56,9000000000))+('Recurring Items'!$E$6:$E$56="One-time")*(AB498='Recurring Items'!$G$6:$G$56)))</f>
        <v>0</v>
      </c>
      <c r="AF498" s="1" t="n">
        <f aca="false">(IF(AC498=1,'Debt Tracker'!$P$5&gt;0.01,INDEX('Debt Tracker'!$T$5:$AE$29,1,AC498-1)&gt;0.01))*('Recurring Items'!$H$8&lt;&gt;"Skip")*(DAY(AB498)='Recurring Items'!$F$8)*IFERROR(N('Recurring Items'!$D$8),0)+(IF(AC498=1,'Debt Tracker'!$P$6&gt;0.01,INDEX('Debt Tracker'!$T$5:$AE$29,2,AC498-1)&gt;0.01))*('Recurring Items'!$H$9&lt;&gt;"Skip")*(DAY(AB498)='Recurring Items'!$F$9)*IFERROR(N('Recurring Items'!$D$9),0)+(IF(AC498=1,'Debt Tracker'!$P$7&gt;0.01,INDEX('Debt Tracker'!$T$5:$AE$29,3,AC498-1)&gt;0.01))*('Recurring Items'!$H$10&lt;&gt;"Skip")*(DAY(AB498)='Recurring Items'!$F$10)*IFERROR(N('Recurring Items'!$D$10),0)+(IF(AC498=1,'Debt Tracker'!$P$8&gt;0.01,INDEX('Debt Tracker'!$T$5:$AE$29,4,AC498-1)&gt;0.01))*('Recurring Items'!$H$11&lt;&gt;"Skip")*(DAY(AB498)='Recurring Items'!$F$11)*IFERROR(N('Recurring Items'!$D$11),0)+(IF(AC498=1,'Debt Tracker'!$P$9&gt;0.01,INDEX('Debt Tracker'!$T$5:$AE$29,5,AC498-1)&gt;0.01))*('Recurring Items'!$H$12&lt;&gt;"Skip")*(DAY(AB498)='Recurring Items'!$F$12)*IFERROR(N('Recurring Items'!$D$12),0)+(IF(AC498=1,'Debt Tracker'!$P$10&gt;0.01,INDEX('Debt Tracker'!$T$5:$AE$29,6,AC498-1)&gt;0.01))*('Recurring Items'!$H$13&lt;&gt;"Skip")*(DAY(AB498)='Recurring Items'!$F$13)*IFERROR(N('Recurring Items'!$D$13),0)+(IF(AC498=1,'Debt Tracker'!$P$11&gt;0.01,INDEX('Debt Tracker'!$T$5:$AE$29,7,AC498-1)&gt;0.01))*('Recurring Items'!$H$14&lt;&gt;"Skip")*(DAY(AB498)='Recurring Items'!$F$14)*IFERROR(N('Recurring Items'!$D$14),0)+(IF(AC498=1,'Debt Tracker'!$P$12&gt;0.01,INDEX('Debt Tracker'!$T$5:$AE$29,8,AC498-1)&gt;0.01))*('Recurring Items'!$H$15&lt;&gt;"Skip")*(DAY(AB498)='Recurring Items'!$F$15)*IFERROR(N('Recurring Items'!$D$15),0)+(IF(AC498=1,'Debt Tracker'!$P$13&gt;0.01,INDEX('Debt Tracker'!$T$5:$AE$29,9,AC498-1)&gt;0.01))*('Recurring Items'!$H$16&lt;&gt;"Skip")*(DAY(AB498)='Recurring Items'!$F$16)*IFERROR(N('Recurring Items'!$D$16),0)+(IF(AC498=1,'Debt Tracker'!$P$14&gt;0.01,INDEX('Debt Tracker'!$T$5:$AE$29,10,AC498-1)&gt;0.01))*('Recurring Items'!$H$17&lt;&gt;"Skip")*(DAY(AB498)='Recurring Items'!$F$17)*IFERROR(N('Recurring Items'!$D$17),0)+(IF(AC498=1,'Debt Tracker'!$P$15&gt;0.01,INDEX('Debt Tracker'!$T$5:$AE$29,11,AC498-1)&gt;0.01))*('Recurring Items'!$H$18&lt;&gt;"Skip")*(DAY(AB498)='Recurring Items'!$F$18)*IFERROR(N('Recurring Items'!$D$18),0)+(IF(AC498=1,'Debt Tracker'!$P$16&gt;0.01,INDEX('Debt Tracker'!$T$5:$AE$29,12,AC498-1)&gt;0.01))*('Recurring Items'!$H$19&lt;&gt;"Skip")*(DAY(AB498)='Recurring Items'!$F$19)*IFERROR(N('Recurring Items'!$D$19),0)+(IF(AC498=1,'Debt Tracker'!$P$17&gt;0.01,INDEX('Debt Tracker'!$T$5:$AE$29,13,AC498-1)&gt;0.01))*('Recurring Items'!$H$20&lt;&gt;"Skip")*(DAY(AB498)='Recurring Items'!$F$20)*IFERROR(N('Recurring Items'!$D$20),0)+(IF(AC498=1,'Debt Tracker'!$P$18&gt;0.01,INDEX('Debt Tracker'!$T$5:$AE$29,14,AC498-1)&gt;0.01))*('Recurring Items'!$H$21&lt;&gt;"Skip")*(DAY(AB498)='Recurring Items'!$F$21)*IFERROR(N('Recurring Items'!$D$21),0)+(IF(AC498=1,'Debt Tracker'!$P$19&gt;0.01,INDEX('Debt Tracker'!$T$5:$AE$29,15,AC498-1)&gt;0.01))*('Recurring Items'!$H$22&lt;&gt;"Skip")*(DAY(AB498)='Recurring Items'!$F$22)*IFERROR(N('Recurring Items'!$D$22),0)+(IF(AC498=1,'Debt Tracker'!$P$20&gt;0.01,INDEX('Debt Tracker'!$T$5:$AE$29,16,AC498-1)&gt;0.01))*('Recurring Items'!$H$23&lt;&gt;"Skip")*(DAY(AB498)='Recurring Items'!$F$23)*IFERROR(N('Recurring Items'!$D$23),0)+(IF(AC498=1,'Debt Tracker'!$P$21&gt;0.01,INDEX('Debt Tracker'!$T$5:$AE$29,17,AC498-1)&gt;0.01))*('Recurring Items'!$H$24&lt;&gt;"Skip")*(DAY(AB498)='Recurring Items'!$F$24)*IFERROR(N('Recurring Items'!$D$24),0)+(IF(AC498=1,'Debt Tracker'!$P$22&gt;0.01,INDEX('Debt Tracker'!$T$5:$AE$29,18,AC498-1)&gt;0.01))*('Recurring Items'!$H$25&lt;&gt;"Skip")*(DAY(AB498)='Recurring Items'!$F$25)*IFERROR(N('Recurring Items'!$D$25),0)+(IF(AC498=1,'Debt Tracker'!$P$23&gt;0.01,INDEX('Debt Tracker'!$T$5:$AE$29,19,AC498-1)&gt;0.01))*('Recurring Items'!$H$26&lt;&gt;"Skip")*(DAY(AB498)='Recurring Items'!$F$26)*IFERROR(N('Recurring Items'!$D$26),0)+(IF(AC498=1,'Debt Tracker'!$P$24&gt;0.01,INDEX('Debt Tracker'!$T$5:$AE$29,20,AC498-1)&gt;0.01))*('Recurring Items'!$H$27&lt;&gt;"Skip")*(DAY(AB498)='Recurring Items'!$F$27)*IFERROR(N('Recurring Items'!$D$27),0)+(IF(AC498=1,'Debt Tracker'!$P$25&gt;0.01,INDEX('Debt Tracker'!$T$5:$AE$29,21,AC498-1)&gt;0.01))*('Recurring Items'!$H$28&lt;&gt;"Skip")*(DAY(AB498)='Recurring Items'!$F$28)*IFERROR(N('Recurring Items'!$D$28),0)+(IF(AC498=1,'Debt Tracker'!$P$26&gt;0.01,INDEX('Debt Tracker'!$T$5:$AE$29,22,AC498-1)&gt;0.01))*('Recurring Items'!$H$29&lt;&gt;"Skip")*(DAY(AB498)='Recurring Items'!$F$29)*IFERROR(N('Recurring Items'!$D$29),0)+(IF(AC498=1,'Debt Tracker'!$P$27&gt;0.01,INDEX('Debt Tracker'!$T$5:$AE$29,23,AC498-1)&gt;0.01))*('Recurring Items'!$H$30&lt;&gt;"Skip")*(DAY(AB498)='Recurring Items'!$F$30)*IFERROR(N('Recurring Items'!$D$30),0)+(IF(AC498=1,'Debt Tracker'!$P$28&gt;0.01,INDEX('Debt Tracker'!$T$5:$AE$29,24,AC498-1)&gt;0.01))*('Recurring Items'!$H$31&lt;&gt;"Skip")*(DAY(AB498)='Recurring Items'!$F$31)*IFERROR(N('Recurring Items'!$D$31),0)+(IF(AC498=1,'Debt Tracker'!$P$29&gt;0.01,INDEX('Debt Tracker'!$T$5:$AE$29,25,AC498-1)&gt;0.01))*('Recurring Items'!$H$32&lt;&gt;"Skip")*(DAY(AB498)='Recurring Items'!$F$32)*IFERROR(N('Recurring Items'!$D$32),0)</f>
        <v>0</v>
      </c>
      <c r="AG498" s="1" t="n">
        <f aca="false">AD498-AE498-AF498</f>
        <v>0</v>
      </c>
      <c r="AH498" s="1" t="n">
        <f aca="false">AH497+AG498</f>
        <v>20975.77</v>
      </c>
    </row>
    <row r="499" customFormat="false" ht="15" hidden="false" customHeight="true" outlineLevel="0" collapsed="false">
      <c r="AA499" s="1" t="n">
        <v>299</v>
      </c>
      <c r="AB499" s="145" t="n">
        <f aca="false">$D$3+299</f>
        <v>46442</v>
      </c>
      <c r="AC499" s="1" t="n">
        <f aca="false">MIN(12,1+DATEDIF($D$3,AB499,"M"))</f>
        <v>10</v>
      </c>
      <c r="AD499" s="1" t="n">
        <f aca="false">SUMPRODUCT(('Recurring Items'!$C$6:$C$56="Income")*('Recurring Items'!$H$6:$H$56&lt;&gt;"Skip")*IFERROR(N('Recurring Items'!$D$6:$D$56),0)*(('Recurring Items'!$E$6:$E$56="Monthly")*(DAY(AB499)='Recurring Items'!$F$6:$F$56)+('Recurring Items'!$E$6:$E$56="Bi-weekly")*(WEEKDAY(AB499)=IFERROR(WEEKDAY('Recurring Items'!$G$6:$G$56),0))*(MOD(AB499-IFERROR('Recurring Items'!$G$6:$G$56,0),14)=0)*(AB499&gt;=IFERROR('Recurring Items'!$G$6:$G$56,9000000000))+('Recurring Items'!$E$6:$E$56="Weekly")*(WEEKDAY(AB499)=IFERROR(WEEKDAY('Recurring Items'!$G$6:$G$56),0))*(AB499&gt;=IFERROR('Recurring Items'!$G$6:$G$56,9000000000))+('Recurring Items'!$E$6:$E$56="One-time")*(AB499='Recurring Items'!$G$6:$G$56)))</f>
        <v>0</v>
      </c>
      <c r="AE499" s="1" t="n">
        <f aca="false">SUMPRODUCT(('Recurring Items'!$C$6:$C$56="Expense")*('Recurring Items'!$H$6:$H$56&lt;&gt;"Skip")*IFERROR(N('Recurring Items'!$D$6:$D$56),0)*(('Recurring Items'!$E$6:$E$56="Monthly")*(DAY(AB499)='Recurring Items'!$F$6:$F$56)+('Recurring Items'!$E$6:$E$56="Bi-weekly")*(WEEKDAY(AB499)=IFERROR(WEEKDAY('Recurring Items'!$G$6:$G$56),0))*(MOD(AB499-IFERROR('Recurring Items'!$G$6:$G$56,0),14)=0)*(AB499&gt;=IFERROR('Recurring Items'!$G$6:$G$56,9000000000))+('Recurring Items'!$E$6:$E$56="Weekly")*(WEEKDAY(AB499)=IFERROR(WEEKDAY('Recurring Items'!$G$6:$G$56),0))*(AB499&gt;=IFERROR('Recurring Items'!$G$6:$G$56,9000000000))+('Recurring Items'!$E$6:$E$56="One-time")*(AB499='Recurring Items'!$G$6:$G$56)))</f>
        <v>101.02</v>
      </c>
      <c r="AF499" s="1" t="n">
        <f aca="false">(IF(AC499=1,'Debt Tracker'!$P$5&gt;0.01,INDEX('Debt Tracker'!$T$5:$AE$29,1,AC499-1)&gt;0.01))*('Recurring Items'!$H$8&lt;&gt;"Skip")*(DAY(AB499)='Recurring Items'!$F$8)*IFERROR(N('Recurring Items'!$D$8),0)+(IF(AC499=1,'Debt Tracker'!$P$6&gt;0.01,INDEX('Debt Tracker'!$T$5:$AE$29,2,AC499-1)&gt;0.01))*('Recurring Items'!$H$9&lt;&gt;"Skip")*(DAY(AB499)='Recurring Items'!$F$9)*IFERROR(N('Recurring Items'!$D$9),0)+(IF(AC499=1,'Debt Tracker'!$P$7&gt;0.01,INDEX('Debt Tracker'!$T$5:$AE$29,3,AC499-1)&gt;0.01))*('Recurring Items'!$H$10&lt;&gt;"Skip")*(DAY(AB499)='Recurring Items'!$F$10)*IFERROR(N('Recurring Items'!$D$10),0)+(IF(AC499=1,'Debt Tracker'!$P$8&gt;0.01,INDEX('Debt Tracker'!$T$5:$AE$29,4,AC499-1)&gt;0.01))*('Recurring Items'!$H$11&lt;&gt;"Skip")*(DAY(AB499)='Recurring Items'!$F$11)*IFERROR(N('Recurring Items'!$D$11),0)+(IF(AC499=1,'Debt Tracker'!$P$9&gt;0.01,INDEX('Debt Tracker'!$T$5:$AE$29,5,AC499-1)&gt;0.01))*('Recurring Items'!$H$12&lt;&gt;"Skip")*(DAY(AB499)='Recurring Items'!$F$12)*IFERROR(N('Recurring Items'!$D$12),0)+(IF(AC499=1,'Debt Tracker'!$P$10&gt;0.01,INDEX('Debt Tracker'!$T$5:$AE$29,6,AC499-1)&gt;0.01))*('Recurring Items'!$H$13&lt;&gt;"Skip")*(DAY(AB499)='Recurring Items'!$F$13)*IFERROR(N('Recurring Items'!$D$13),0)+(IF(AC499=1,'Debt Tracker'!$P$11&gt;0.01,INDEX('Debt Tracker'!$T$5:$AE$29,7,AC499-1)&gt;0.01))*('Recurring Items'!$H$14&lt;&gt;"Skip")*(DAY(AB499)='Recurring Items'!$F$14)*IFERROR(N('Recurring Items'!$D$14),0)+(IF(AC499=1,'Debt Tracker'!$P$12&gt;0.01,INDEX('Debt Tracker'!$T$5:$AE$29,8,AC499-1)&gt;0.01))*('Recurring Items'!$H$15&lt;&gt;"Skip")*(DAY(AB499)='Recurring Items'!$F$15)*IFERROR(N('Recurring Items'!$D$15),0)+(IF(AC499=1,'Debt Tracker'!$P$13&gt;0.01,INDEX('Debt Tracker'!$T$5:$AE$29,9,AC499-1)&gt;0.01))*('Recurring Items'!$H$16&lt;&gt;"Skip")*(DAY(AB499)='Recurring Items'!$F$16)*IFERROR(N('Recurring Items'!$D$16),0)+(IF(AC499=1,'Debt Tracker'!$P$14&gt;0.01,INDEX('Debt Tracker'!$T$5:$AE$29,10,AC499-1)&gt;0.01))*('Recurring Items'!$H$17&lt;&gt;"Skip")*(DAY(AB499)='Recurring Items'!$F$17)*IFERROR(N('Recurring Items'!$D$17),0)+(IF(AC499=1,'Debt Tracker'!$P$15&gt;0.01,INDEX('Debt Tracker'!$T$5:$AE$29,11,AC499-1)&gt;0.01))*('Recurring Items'!$H$18&lt;&gt;"Skip")*(DAY(AB499)='Recurring Items'!$F$18)*IFERROR(N('Recurring Items'!$D$18),0)+(IF(AC499=1,'Debt Tracker'!$P$16&gt;0.01,INDEX('Debt Tracker'!$T$5:$AE$29,12,AC499-1)&gt;0.01))*('Recurring Items'!$H$19&lt;&gt;"Skip")*(DAY(AB499)='Recurring Items'!$F$19)*IFERROR(N('Recurring Items'!$D$19),0)+(IF(AC499=1,'Debt Tracker'!$P$17&gt;0.01,INDEX('Debt Tracker'!$T$5:$AE$29,13,AC499-1)&gt;0.01))*('Recurring Items'!$H$20&lt;&gt;"Skip")*(DAY(AB499)='Recurring Items'!$F$20)*IFERROR(N('Recurring Items'!$D$20),0)+(IF(AC499=1,'Debt Tracker'!$P$18&gt;0.01,INDEX('Debt Tracker'!$T$5:$AE$29,14,AC499-1)&gt;0.01))*('Recurring Items'!$H$21&lt;&gt;"Skip")*(DAY(AB499)='Recurring Items'!$F$21)*IFERROR(N('Recurring Items'!$D$21),0)+(IF(AC499=1,'Debt Tracker'!$P$19&gt;0.01,INDEX('Debt Tracker'!$T$5:$AE$29,15,AC499-1)&gt;0.01))*('Recurring Items'!$H$22&lt;&gt;"Skip")*(DAY(AB499)='Recurring Items'!$F$22)*IFERROR(N('Recurring Items'!$D$22),0)+(IF(AC499=1,'Debt Tracker'!$P$20&gt;0.01,INDEX('Debt Tracker'!$T$5:$AE$29,16,AC499-1)&gt;0.01))*('Recurring Items'!$H$23&lt;&gt;"Skip")*(DAY(AB499)='Recurring Items'!$F$23)*IFERROR(N('Recurring Items'!$D$23),0)+(IF(AC499=1,'Debt Tracker'!$P$21&gt;0.01,INDEX('Debt Tracker'!$T$5:$AE$29,17,AC499-1)&gt;0.01))*('Recurring Items'!$H$24&lt;&gt;"Skip")*(DAY(AB499)='Recurring Items'!$F$24)*IFERROR(N('Recurring Items'!$D$24),0)+(IF(AC499=1,'Debt Tracker'!$P$22&gt;0.01,INDEX('Debt Tracker'!$T$5:$AE$29,18,AC499-1)&gt;0.01))*('Recurring Items'!$H$25&lt;&gt;"Skip")*(DAY(AB499)='Recurring Items'!$F$25)*IFERROR(N('Recurring Items'!$D$25),0)+(IF(AC499=1,'Debt Tracker'!$P$23&gt;0.01,INDEX('Debt Tracker'!$T$5:$AE$29,19,AC499-1)&gt;0.01))*('Recurring Items'!$H$26&lt;&gt;"Skip")*(DAY(AB499)='Recurring Items'!$F$26)*IFERROR(N('Recurring Items'!$D$26),0)+(IF(AC499=1,'Debt Tracker'!$P$24&gt;0.01,INDEX('Debt Tracker'!$T$5:$AE$29,20,AC499-1)&gt;0.01))*('Recurring Items'!$H$27&lt;&gt;"Skip")*(DAY(AB499)='Recurring Items'!$F$27)*IFERROR(N('Recurring Items'!$D$27),0)+(IF(AC499=1,'Debt Tracker'!$P$25&gt;0.01,INDEX('Debt Tracker'!$T$5:$AE$29,21,AC499-1)&gt;0.01))*('Recurring Items'!$H$28&lt;&gt;"Skip")*(DAY(AB499)='Recurring Items'!$F$28)*IFERROR(N('Recurring Items'!$D$28),0)+(IF(AC499=1,'Debt Tracker'!$P$26&gt;0.01,INDEX('Debt Tracker'!$T$5:$AE$29,22,AC499-1)&gt;0.01))*('Recurring Items'!$H$29&lt;&gt;"Skip")*(DAY(AB499)='Recurring Items'!$F$29)*IFERROR(N('Recurring Items'!$D$29),0)+(IF(AC499=1,'Debt Tracker'!$P$27&gt;0.01,INDEX('Debt Tracker'!$T$5:$AE$29,23,AC499-1)&gt;0.01))*('Recurring Items'!$H$30&lt;&gt;"Skip")*(DAY(AB499)='Recurring Items'!$F$30)*IFERROR(N('Recurring Items'!$D$30),0)+(IF(AC499=1,'Debt Tracker'!$P$28&gt;0.01,INDEX('Debt Tracker'!$T$5:$AE$29,24,AC499-1)&gt;0.01))*('Recurring Items'!$H$31&lt;&gt;"Skip")*(DAY(AB499)='Recurring Items'!$F$31)*IFERROR(N('Recurring Items'!$D$31),0)+(IF(AC499=1,'Debt Tracker'!$P$29&gt;0.01,INDEX('Debt Tracker'!$T$5:$AE$29,25,AC499-1)&gt;0.01))*('Recurring Items'!$H$32&lt;&gt;"Skip")*(DAY(AB499)='Recurring Items'!$F$32)*IFERROR(N('Recurring Items'!$D$32),0)</f>
        <v>0</v>
      </c>
      <c r="AG499" s="1" t="n">
        <f aca="false">AD499-AE499-AF499</f>
        <v>-101.02</v>
      </c>
      <c r="AH499" s="1" t="n">
        <f aca="false">AH498+AG499</f>
        <v>20874.75</v>
      </c>
    </row>
    <row r="500" customFormat="false" ht="15" hidden="false" customHeight="true" outlineLevel="0" collapsed="false">
      <c r="AA500" s="1" t="n">
        <v>300</v>
      </c>
      <c r="AB500" s="145" t="n">
        <f aca="false">$D$3+300</f>
        <v>46443</v>
      </c>
      <c r="AC500" s="1" t="n">
        <f aca="false">MIN(12,1+DATEDIF($D$3,AB500,"M"))</f>
        <v>10</v>
      </c>
      <c r="AD500" s="1" t="n">
        <f aca="false">SUMPRODUCT(('Recurring Items'!$C$6:$C$56="Income")*('Recurring Items'!$H$6:$H$56&lt;&gt;"Skip")*IFERROR(N('Recurring Items'!$D$6:$D$56),0)*(('Recurring Items'!$E$6:$E$56="Monthly")*(DAY(AB500)='Recurring Items'!$F$6:$F$56)+('Recurring Items'!$E$6:$E$56="Bi-weekly")*(WEEKDAY(AB500)=IFERROR(WEEKDAY('Recurring Items'!$G$6:$G$56),0))*(MOD(AB500-IFERROR('Recurring Items'!$G$6:$G$56,0),14)=0)*(AB500&gt;=IFERROR('Recurring Items'!$G$6:$G$56,9000000000))+('Recurring Items'!$E$6:$E$56="Weekly")*(WEEKDAY(AB500)=IFERROR(WEEKDAY('Recurring Items'!$G$6:$G$56),0))*(AB500&gt;=IFERROR('Recurring Items'!$G$6:$G$56,9000000000))+('Recurring Items'!$E$6:$E$56="One-time")*(AB500='Recurring Items'!$G$6:$G$56)))</f>
        <v>2274.42</v>
      </c>
      <c r="AE500" s="1" t="n">
        <f aca="false">SUMPRODUCT(('Recurring Items'!$C$6:$C$56="Expense")*('Recurring Items'!$H$6:$H$56&lt;&gt;"Skip")*IFERROR(N('Recurring Items'!$D$6:$D$56),0)*(('Recurring Items'!$E$6:$E$56="Monthly")*(DAY(AB500)='Recurring Items'!$F$6:$F$56)+('Recurring Items'!$E$6:$E$56="Bi-weekly")*(WEEKDAY(AB500)=IFERROR(WEEKDAY('Recurring Items'!$G$6:$G$56),0))*(MOD(AB500-IFERROR('Recurring Items'!$G$6:$G$56,0),14)=0)*(AB500&gt;=IFERROR('Recurring Items'!$G$6:$G$56,9000000000))+('Recurring Items'!$E$6:$E$56="Weekly")*(WEEKDAY(AB500)=IFERROR(WEEKDAY('Recurring Items'!$G$6:$G$56),0))*(AB500&gt;=IFERROR('Recurring Items'!$G$6:$G$56,9000000000))+('Recurring Items'!$E$6:$E$56="One-time")*(AB500='Recurring Items'!$G$6:$G$56)))</f>
        <v>0</v>
      </c>
      <c r="AF500" s="1" t="n">
        <f aca="false">(IF(AC500=1,'Debt Tracker'!$P$5&gt;0.01,INDEX('Debt Tracker'!$T$5:$AE$29,1,AC500-1)&gt;0.01))*('Recurring Items'!$H$8&lt;&gt;"Skip")*(DAY(AB500)='Recurring Items'!$F$8)*IFERROR(N('Recurring Items'!$D$8),0)+(IF(AC500=1,'Debt Tracker'!$P$6&gt;0.01,INDEX('Debt Tracker'!$T$5:$AE$29,2,AC500-1)&gt;0.01))*('Recurring Items'!$H$9&lt;&gt;"Skip")*(DAY(AB500)='Recurring Items'!$F$9)*IFERROR(N('Recurring Items'!$D$9),0)+(IF(AC500=1,'Debt Tracker'!$P$7&gt;0.01,INDEX('Debt Tracker'!$T$5:$AE$29,3,AC500-1)&gt;0.01))*('Recurring Items'!$H$10&lt;&gt;"Skip")*(DAY(AB500)='Recurring Items'!$F$10)*IFERROR(N('Recurring Items'!$D$10),0)+(IF(AC500=1,'Debt Tracker'!$P$8&gt;0.01,INDEX('Debt Tracker'!$T$5:$AE$29,4,AC500-1)&gt;0.01))*('Recurring Items'!$H$11&lt;&gt;"Skip")*(DAY(AB500)='Recurring Items'!$F$11)*IFERROR(N('Recurring Items'!$D$11),0)+(IF(AC500=1,'Debt Tracker'!$P$9&gt;0.01,INDEX('Debt Tracker'!$T$5:$AE$29,5,AC500-1)&gt;0.01))*('Recurring Items'!$H$12&lt;&gt;"Skip")*(DAY(AB500)='Recurring Items'!$F$12)*IFERROR(N('Recurring Items'!$D$12),0)+(IF(AC500=1,'Debt Tracker'!$P$10&gt;0.01,INDEX('Debt Tracker'!$T$5:$AE$29,6,AC500-1)&gt;0.01))*('Recurring Items'!$H$13&lt;&gt;"Skip")*(DAY(AB500)='Recurring Items'!$F$13)*IFERROR(N('Recurring Items'!$D$13),0)+(IF(AC500=1,'Debt Tracker'!$P$11&gt;0.01,INDEX('Debt Tracker'!$T$5:$AE$29,7,AC500-1)&gt;0.01))*('Recurring Items'!$H$14&lt;&gt;"Skip")*(DAY(AB500)='Recurring Items'!$F$14)*IFERROR(N('Recurring Items'!$D$14),0)+(IF(AC500=1,'Debt Tracker'!$P$12&gt;0.01,INDEX('Debt Tracker'!$T$5:$AE$29,8,AC500-1)&gt;0.01))*('Recurring Items'!$H$15&lt;&gt;"Skip")*(DAY(AB500)='Recurring Items'!$F$15)*IFERROR(N('Recurring Items'!$D$15),0)+(IF(AC500=1,'Debt Tracker'!$P$13&gt;0.01,INDEX('Debt Tracker'!$T$5:$AE$29,9,AC500-1)&gt;0.01))*('Recurring Items'!$H$16&lt;&gt;"Skip")*(DAY(AB500)='Recurring Items'!$F$16)*IFERROR(N('Recurring Items'!$D$16),0)+(IF(AC500=1,'Debt Tracker'!$P$14&gt;0.01,INDEX('Debt Tracker'!$T$5:$AE$29,10,AC500-1)&gt;0.01))*('Recurring Items'!$H$17&lt;&gt;"Skip")*(DAY(AB500)='Recurring Items'!$F$17)*IFERROR(N('Recurring Items'!$D$17),0)+(IF(AC500=1,'Debt Tracker'!$P$15&gt;0.01,INDEX('Debt Tracker'!$T$5:$AE$29,11,AC500-1)&gt;0.01))*('Recurring Items'!$H$18&lt;&gt;"Skip")*(DAY(AB500)='Recurring Items'!$F$18)*IFERROR(N('Recurring Items'!$D$18),0)+(IF(AC500=1,'Debt Tracker'!$P$16&gt;0.01,INDEX('Debt Tracker'!$T$5:$AE$29,12,AC500-1)&gt;0.01))*('Recurring Items'!$H$19&lt;&gt;"Skip")*(DAY(AB500)='Recurring Items'!$F$19)*IFERROR(N('Recurring Items'!$D$19),0)+(IF(AC500=1,'Debt Tracker'!$P$17&gt;0.01,INDEX('Debt Tracker'!$T$5:$AE$29,13,AC500-1)&gt;0.01))*('Recurring Items'!$H$20&lt;&gt;"Skip")*(DAY(AB500)='Recurring Items'!$F$20)*IFERROR(N('Recurring Items'!$D$20),0)+(IF(AC500=1,'Debt Tracker'!$P$18&gt;0.01,INDEX('Debt Tracker'!$T$5:$AE$29,14,AC500-1)&gt;0.01))*('Recurring Items'!$H$21&lt;&gt;"Skip")*(DAY(AB500)='Recurring Items'!$F$21)*IFERROR(N('Recurring Items'!$D$21),0)+(IF(AC500=1,'Debt Tracker'!$P$19&gt;0.01,INDEX('Debt Tracker'!$T$5:$AE$29,15,AC500-1)&gt;0.01))*('Recurring Items'!$H$22&lt;&gt;"Skip")*(DAY(AB500)='Recurring Items'!$F$22)*IFERROR(N('Recurring Items'!$D$22),0)+(IF(AC500=1,'Debt Tracker'!$P$20&gt;0.01,INDEX('Debt Tracker'!$T$5:$AE$29,16,AC500-1)&gt;0.01))*('Recurring Items'!$H$23&lt;&gt;"Skip")*(DAY(AB500)='Recurring Items'!$F$23)*IFERROR(N('Recurring Items'!$D$23),0)+(IF(AC500=1,'Debt Tracker'!$P$21&gt;0.01,INDEX('Debt Tracker'!$T$5:$AE$29,17,AC500-1)&gt;0.01))*('Recurring Items'!$H$24&lt;&gt;"Skip")*(DAY(AB500)='Recurring Items'!$F$24)*IFERROR(N('Recurring Items'!$D$24),0)+(IF(AC500=1,'Debt Tracker'!$P$22&gt;0.01,INDEX('Debt Tracker'!$T$5:$AE$29,18,AC500-1)&gt;0.01))*('Recurring Items'!$H$25&lt;&gt;"Skip")*(DAY(AB500)='Recurring Items'!$F$25)*IFERROR(N('Recurring Items'!$D$25),0)+(IF(AC500=1,'Debt Tracker'!$P$23&gt;0.01,INDEX('Debt Tracker'!$T$5:$AE$29,19,AC500-1)&gt;0.01))*('Recurring Items'!$H$26&lt;&gt;"Skip")*(DAY(AB500)='Recurring Items'!$F$26)*IFERROR(N('Recurring Items'!$D$26),0)+(IF(AC500=1,'Debt Tracker'!$P$24&gt;0.01,INDEX('Debt Tracker'!$T$5:$AE$29,20,AC500-1)&gt;0.01))*('Recurring Items'!$H$27&lt;&gt;"Skip")*(DAY(AB500)='Recurring Items'!$F$27)*IFERROR(N('Recurring Items'!$D$27),0)+(IF(AC500=1,'Debt Tracker'!$P$25&gt;0.01,INDEX('Debt Tracker'!$T$5:$AE$29,21,AC500-1)&gt;0.01))*('Recurring Items'!$H$28&lt;&gt;"Skip")*(DAY(AB500)='Recurring Items'!$F$28)*IFERROR(N('Recurring Items'!$D$28),0)+(IF(AC500=1,'Debt Tracker'!$P$26&gt;0.01,INDEX('Debt Tracker'!$T$5:$AE$29,22,AC500-1)&gt;0.01))*('Recurring Items'!$H$29&lt;&gt;"Skip")*(DAY(AB500)='Recurring Items'!$F$29)*IFERROR(N('Recurring Items'!$D$29),0)+(IF(AC500=1,'Debt Tracker'!$P$27&gt;0.01,INDEX('Debt Tracker'!$T$5:$AE$29,23,AC500-1)&gt;0.01))*('Recurring Items'!$H$30&lt;&gt;"Skip")*(DAY(AB500)='Recurring Items'!$F$30)*IFERROR(N('Recurring Items'!$D$30),0)+(IF(AC500=1,'Debt Tracker'!$P$28&gt;0.01,INDEX('Debt Tracker'!$T$5:$AE$29,24,AC500-1)&gt;0.01))*('Recurring Items'!$H$31&lt;&gt;"Skip")*(DAY(AB500)='Recurring Items'!$F$31)*IFERROR(N('Recurring Items'!$D$31),0)+(IF(AC500=1,'Debt Tracker'!$P$29&gt;0.01,INDEX('Debt Tracker'!$T$5:$AE$29,25,AC500-1)&gt;0.01))*('Recurring Items'!$H$32&lt;&gt;"Skip")*(DAY(AB500)='Recurring Items'!$F$32)*IFERROR(N('Recurring Items'!$D$32),0)</f>
        <v>0</v>
      </c>
      <c r="AG500" s="1" t="n">
        <f aca="false">AD500-AE500-AF500</f>
        <v>2274.42</v>
      </c>
      <c r="AH500" s="1" t="n">
        <f aca="false">AH499+AG500</f>
        <v>23149.17</v>
      </c>
    </row>
    <row r="501" customFormat="false" ht="15" hidden="false" customHeight="true" outlineLevel="0" collapsed="false">
      <c r="AA501" s="1" t="n">
        <v>301</v>
      </c>
      <c r="AB501" s="145" t="n">
        <f aca="false">$D$3+301</f>
        <v>46444</v>
      </c>
      <c r="AC501" s="1" t="n">
        <f aca="false">MIN(12,1+DATEDIF($D$3,AB501,"M"))</f>
        <v>10</v>
      </c>
      <c r="AD501" s="1" t="n">
        <f aca="false">SUMPRODUCT(('Recurring Items'!$C$6:$C$56="Income")*('Recurring Items'!$H$6:$H$56&lt;&gt;"Skip")*IFERROR(N('Recurring Items'!$D$6:$D$56),0)*(('Recurring Items'!$E$6:$E$56="Monthly")*(DAY(AB501)='Recurring Items'!$F$6:$F$56)+('Recurring Items'!$E$6:$E$56="Bi-weekly")*(WEEKDAY(AB501)=IFERROR(WEEKDAY('Recurring Items'!$G$6:$G$56),0))*(MOD(AB501-IFERROR('Recurring Items'!$G$6:$G$56,0),14)=0)*(AB501&gt;=IFERROR('Recurring Items'!$G$6:$G$56,9000000000))+('Recurring Items'!$E$6:$E$56="Weekly")*(WEEKDAY(AB501)=IFERROR(WEEKDAY('Recurring Items'!$G$6:$G$56),0))*(AB501&gt;=IFERROR('Recurring Items'!$G$6:$G$56,9000000000))+('Recurring Items'!$E$6:$E$56="One-time")*(AB501='Recurring Items'!$G$6:$G$56)))</f>
        <v>0</v>
      </c>
      <c r="AE501" s="1" t="n">
        <f aca="false">SUMPRODUCT(('Recurring Items'!$C$6:$C$56="Expense")*('Recurring Items'!$H$6:$H$56&lt;&gt;"Skip")*IFERROR(N('Recurring Items'!$D$6:$D$56),0)*(('Recurring Items'!$E$6:$E$56="Monthly")*(DAY(AB501)='Recurring Items'!$F$6:$F$56)+('Recurring Items'!$E$6:$E$56="Bi-weekly")*(WEEKDAY(AB501)=IFERROR(WEEKDAY('Recurring Items'!$G$6:$G$56),0))*(MOD(AB501-IFERROR('Recurring Items'!$G$6:$G$56,0),14)=0)*(AB501&gt;=IFERROR('Recurring Items'!$G$6:$G$56,9000000000))+('Recurring Items'!$E$6:$E$56="Weekly")*(WEEKDAY(AB501)=IFERROR(WEEKDAY('Recurring Items'!$G$6:$G$56),0))*(AB501&gt;=IFERROR('Recurring Items'!$G$6:$G$56,9000000000))+('Recurring Items'!$E$6:$E$56="One-time")*(AB501='Recurring Items'!$G$6:$G$56)))</f>
        <v>460</v>
      </c>
      <c r="AF501" s="1" t="n">
        <f aca="false">(IF(AC501=1,'Debt Tracker'!$P$5&gt;0.01,INDEX('Debt Tracker'!$T$5:$AE$29,1,AC501-1)&gt;0.01))*('Recurring Items'!$H$8&lt;&gt;"Skip")*(DAY(AB501)='Recurring Items'!$F$8)*IFERROR(N('Recurring Items'!$D$8),0)+(IF(AC501=1,'Debt Tracker'!$P$6&gt;0.01,INDEX('Debt Tracker'!$T$5:$AE$29,2,AC501-1)&gt;0.01))*('Recurring Items'!$H$9&lt;&gt;"Skip")*(DAY(AB501)='Recurring Items'!$F$9)*IFERROR(N('Recurring Items'!$D$9),0)+(IF(AC501=1,'Debt Tracker'!$P$7&gt;0.01,INDEX('Debt Tracker'!$T$5:$AE$29,3,AC501-1)&gt;0.01))*('Recurring Items'!$H$10&lt;&gt;"Skip")*(DAY(AB501)='Recurring Items'!$F$10)*IFERROR(N('Recurring Items'!$D$10),0)+(IF(AC501=1,'Debt Tracker'!$P$8&gt;0.01,INDEX('Debt Tracker'!$T$5:$AE$29,4,AC501-1)&gt;0.01))*('Recurring Items'!$H$11&lt;&gt;"Skip")*(DAY(AB501)='Recurring Items'!$F$11)*IFERROR(N('Recurring Items'!$D$11),0)+(IF(AC501=1,'Debt Tracker'!$P$9&gt;0.01,INDEX('Debt Tracker'!$T$5:$AE$29,5,AC501-1)&gt;0.01))*('Recurring Items'!$H$12&lt;&gt;"Skip")*(DAY(AB501)='Recurring Items'!$F$12)*IFERROR(N('Recurring Items'!$D$12),0)+(IF(AC501=1,'Debt Tracker'!$P$10&gt;0.01,INDEX('Debt Tracker'!$T$5:$AE$29,6,AC501-1)&gt;0.01))*('Recurring Items'!$H$13&lt;&gt;"Skip")*(DAY(AB501)='Recurring Items'!$F$13)*IFERROR(N('Recurring Items'!$D$13),0)+(IF(AC501=1,'Debt Tracker'!$P$11&gt;0.01,INDEX('Debt Tracker'!$T$5:$AE$29,7,AC501-1)&gt;0.01))*('Recurring Items'!$H$14&lt;&gt;"Skip")*(DAY(AB501)='Recurring Items'!$F$14)*IFERROR(N('Recurring Items'!$D$14),0)+(IF(AC501=1,'Debt Tracker'!$P$12&gt;0.01,INDEX('Debt Tracker'!$T$5:$AE$29,8,AC501-1)&gt;0.01))*('Recurring Items'!$H$15&lt;&gt;"Skip")*(DAY(AB501)='Recurring Items'!$F$15)*IFERROR(N('Recurring Items'!$D$15),0)+(IF(AC501=1,'Debt Tracker'!$P$13&gt;0.01,INDEX('Debt Tracker'!$T$5:$AE$29,9,AC501-1)&gt;0.01))*('Recurring Items'!$H$16&lt;&gt;"Skip")*(DAY(AB501)='Recurring Items'!$F$16)*IFERROR(N('Recurring Items'!$D$16),0)+(IF(AC501=1,'Debt Tracker'!$P$14&gt;0.01,INDEX('Debt Tracker'!$T$5:$AE$29,10,AC501-1)&gt;0.01))*('Recurring Items'!$H$17&lt;&gt;"Skip")*(DAY(AB501)='Recurring Items'!$F$17)*IFERROR(N('Recurring Items'!$D$17),0)+(IF(AC501=1,'Debt Tracker'!$P$15&gt;0.01,INDEX('Debt Tracker'!$T$5:$AE$29,11,AC501-1)&gt;0.01))*('Recurring Items'!$H$18&lt;&gt;"Skip")*(DAY(AB501)='Recurring Items'!$F$18)*IFERROR(N('Recurring Items'!$D$18),0)+(IF(AC501=1,'Debt Tracker'!$P$16&gt;0.01,INDEX('Debt Tracker'!$T$5:$AE$29,12,AC501-1)&gt;0.01))*('Recurring Items'!$H$19&lt;&gt;"Skip")*(DAY(AB501)='Recurring Items'!$F$19)*IFERROR(N('Recurring Items'!$D$19),0)+(IF(AC501=1,'Debt Tracker'!$P$17&gt;0.01,INDEX('Debt Tracker'!$T$5:$AE$29,13,AC501-1)&gt;0.01))*('Recurring Items'!$H$20&lt;&gt;"Skip")*(DAY(AB501)='Recurring Items'!$F$20)*IFERROR(N('Recurring Items'!$D$20),0)+(IF(AC501=1,'Debt Tracker'!$P$18&gt;0.01,INDEX('Debt Tracker'!$T$5:$AE$29,14,AC501-1)&gt;0.01))*('Recurring Items'!$H$21&lt;&gt;"Skip")*(DAY(AB501)='Recurring Items'!$F$21)*IFERROR(N('Recurring Items'!$D$21),0)+(IF(AC501=1,'Debt Tracker'!$P$19&gt;0.01,INDEX('Debt Tracker'!$T$5:$AE$29,15,AC501-1)&gt;0.01))*('Recurring Items'!$H$22&lt;&gt;"Skip")*(DAY(AB501)='Recurring Items'!$F$22)*IFERROR(N('Recurring Items'!$D$22),0)+(IF(AC501=1,'Debt Tracker'!$P$20&gt;0.01,INDEX('Debt Tracker'!$T$5:$AE$29,16,AC501-1)&gt;0.01))*('Recurring Items'!$H$23&lt;&gt;"Skip")*(DAY(AB501)='Recurring Items'!$F$23)*IFERROR(N('Recurring Items'!$D$23),0)+(IF(AC501=1,'Debt Tracker'!$P$21&gt;0.01,INDEX('Debt Tracker'!$T$5:$AE$29,17,AC501-1)&gt;0.01))*('Recurring Items'!$H$24&lt;&gt;"Skip")*(DAY(AB501)='Recurring Items'!$F$24)*IFERROR(N('Recurring Items'!$D$24),0)+(IF(AC501=1,'Debt Tracker'!$P$22&gt;0.01,INDEX('Debt Tracker'!$T$5:$AE$29,18,AC501-1)&gt;0.01))*('Recurring Items'!$H$25&lt;&gt;"Skip")*(DAY(AB501)='Recurring Items'!$F$25)*IFERROR(N('Recurring Items'!$D$25),0)+(IF(AC501=1,'Debt Tracker'!$P$23&gt;0.01,INDEX('Debt Tracker'!$T$5:$AE$29,19,AC501-1)&gt;0.01))*('Recurring Items'!$H$26&lt;&gt;"Skip")*(DAY(AB501)='Recurring Items'!$F$26)*IFERROR(N('Recurring Items'!$D$26),0)+(IF(AC501=1,'Debt Tracker'!$P$24&gt;0.01,INDEX('Debt Tracker'!$T$5:$AE$29,20,AC501-1)&gt;0.01))*('Recurring Items'!$H$27&lt;&gt;"Skip")*(DAY(AB501)='Recurring Items'!$F$27)*IFERROR(N('Recurring Items'!$D$27),0)+(IF(AC501=1,'Debt Tracker'!$P$25&gt;0.01,INDEX('Debt Tracker'!$T$5:$AE$29,21,AC501-1)&gt;0.01))*('Recurring Items'!$H$28&lt;&gt;"Skip")*(DAY(AB501)='Recurring Items'!$F$28)*IFERROR(N('Recurring Items'!$D$28),0)+(IF(AC501=1,'Debt Tracker'!$P$26&gt;0.01,INDEX('Debt Tracker'!$T$5:$AE$29,22,AC501-1)&gt;0.01))*('Recurring Items'!$H$29&lt;&gt;"Skip")*(DAY(AB501)='Recurring Items'!$F$29)*IFERROR(N('Recurring Items'!$D$29),0)+(IF(AC501=1,'Debt Tracker'!$P$27&gt;0.01,INDEX('Debt Tracker'!$T$5:$AE$29,23,AC501-1)&gt;0.01))*('Recurring Items'!$H$30&lt;&gt;"Skip")*(DAY(AB501)='Recurring Items'!$F$30)*IFERROR(N('Recurring Items'!$D$30),0)+(IF(AC501=1,'Debt Tracker'!$P$28&gt;0.01,INDEX('Debt Tracker'!$T$5:$AE$29,24,AC501-1)&gt;0.01))*('Recurring Items'!$H$31&lt;&gt;"Skip")*(DAY(AB501)='Recurring Items'!$F$31)*IFERROR(N('Recurring Items'!$D$31),0)+(IF(AC501=1,'Debt Tracker'!$P$29&gt;0.01,INDEX('Debt Tracker'!$T$5:$AE$29,25,AC501-1)&gt;0.01))*('Recurring Items'!$H$32&lt;&gt;"Skip")*(DAY(AB501)='Recurring Items'!$F$32)*IFERROR(N('Recurring Items'!$D$32),0)</f>
        <v>0</v>
      </c>
      <c r="AG501" s="1" t="n">
        <f aca="false">AD501-AE501-AF501</f>
        <v>-460</v>
      </c>
      <c r="AH501" s="1" t="n">
        <f aca="false">AH500+AG501</f>
        <v>22689.17</v>
      </c>
    </row>
    <row r="502" customFormat="false" ht="15" hidden="false" customHeight="true" outlineLevel="0" collapsed="false">
      <c r="AA502" s="1" t="n">
        <v>302</v>
      </c>
      <c r="AB502" s="145" t="n">
        <f aca="false">$D$3+302</f>
        <v>46445</v>
      </c>
      <c r="AC502" s="1" t="n">
        <f aca="false">MIN(12,1+DATEDIF($D$3,AB502,"M"))</f>
        <v>10</v>
      </c>
      <c r="AD502" s="1" t="n">
        <f aca="false">SUMPRODUCT(('Recurring Items'!$C$6:$C$56="Income")*('Recurring Items'!$H$6:$H$56&lt;&gt;"Skip")*IFERROR(N('Recurring Items'!$D$6:$D$56),0)*(('Recurring Items'!$E$6:$E$56="Monthly")*(DAY(AB502)='Recurring Items'!$F$6:$F$56)+('Recurring Items'!$E$6:$E$56="Bi-weekly")*(WEEKDAY(AB502)=IFERROR(WEEKDAY('Recurring Items'!$G$6:$G$56),0))*(MOD(AB502-IFERROR('Recurring Items'!$G$6:$G$56,0),14)=0)*(AB502&gt;=IFERROR('Recurring Items'!$G$6:$G$56,9000000000))+('Recurring Items'!$E$6:$E$56="Weekly")*(WEEKDAY(AB502)=IFERROR(WEEKDAY('Recurring Items'!$G$6:$G$56),0))*(AB502&gt;=IFERROR('Recurring Items'!$G$6:$G$56,9000000000))+('Recurring Items'!$E$6:$E$56="One-time")*(AB502='Recurring Items'!$G$6:$G$56)))</f>
        <v>0</v>
      </c>
      <c r="AE502" s="1" t="n">
        <f aca="false">SUMPRODUCT(('Recurring Items'!$C$6:$C$56="Expense")*('Recurring Items'!$H$6:$H$56&lt;&gt;"Skip")*IFERROR(N('Recurring Items'!$D$6:$D$56),0)*(('Recurring Items'!$E$6:$E$56="Monthly")*(DAY(AB502)='Recurring Items'!$F$6:$F$56)+('Recurring Items'!$E$6:$E$56="Bi-weekly")*(WEEKDAY(AB502)=IFERROR(WEEKDAY('Recurring Items'!$G$6:$G$56),0))*(MOD(AB502-IFERROR('Recurring Items'!$G$6:$G$56,0),14)=0)*(AB502&gt;=IFERROR('Recurring Items'!$G$6:$G$56,9000000000))+('Recurring Items'!$E$6:$E$56="Weekly")*(WEEKDAY(AB502)=IFERROR(WEEKDAY('Recurring Items'!$G$6:$G$56),0))*(AB502&gt;=IFERROR('Recurring Items'!$G$6:$G$56,9000000000))+('Recurring Items'!$E$6:$E$56="One-time")*(AB502='Recurring Items'!$G$6:$G$56)))</f>
        <v>0</v>
      </c>
      <c r="AF502" s="1" t="n">
        <f aca="false">(IF(AC502=1,'Debt Tracker'!$P$5&gt;0.01,INDEX('Debt Tracker'!$T$5:$AE$29,1,AC502-1)&gt;0.01))*('Recurring Items'!$H$8&lt;&gt;"Skip")*(DAY(AB502)='Recurring Items'!$F$8)*IFERROR(N('Recurring Items'!$D$8),0)+(IF(AC502=1,'Debt Tracker'!$P$6&gt;0.01,INDEX('Debt Tracker'!$T$5:$AE$29,2,AC502-1)&gt;0.01))*('Recurring Items'!$H$9&lt;&gt;"Skip")*(DAY(AB502)='Recurring Items'!$F$9)*IFERROR(N('Recurring Items'!$D$9),0)+(IF(AC502=1,'Debt Tracker'!$P$7&gt;0.01,INDEX('Debt Tracker'!$T$5:$AE$29,3,AC502-1)&gt;0.01))*('Recurring Items'!$H$10&lt;&gt;"Skip")*(DAY(AB502)='Recurring Items'!$F$10)*IFERROR(N('Recurring Items'!$D$10),0)+(IF(AC502=1,'Debt Tracker'!$P$8&gt;0.01,INDEX('Debt Tracker'!$T$5:$AE$29,4,AC502-1)&gt;0.01))*('Recurring Items'!$H$11&lt;&gt;"Skip")*(DAY(AB502)='Recurring Items'!$F$11)*IFERROR(N('Recurring Items'!$D$11),0)+(IF(AC502=1,'Debt Tracker'!$P$9&gt;0.01,INDEX('Debt Tracker'!$T$5:$AE$29,5,AC502-1)&gt;0.01))*('Recurring Items'!$H$12&lt;&gt;"Skip")*(DAY(AB502)='Recurring Items'!$F$12)*IFERROR(N('Recurring Items'!$D$12),0)+(IF(AC502=1,'Debt Tracker'!$P$10&gt;0.01,INDEX('Debt Tracker'!$T$5:$AE$29,6,AC502-1)&gt;0.01))*('Recurring Items'!$H$13&lt;&gt;"Skip")*(DAY(AB502)='Recurring Items'!$F$13)*IFERROR(N('Recurring Items'!$D$13),0)+(IF(AC502=1,'Debt Tracker'!$P$11&gt;0.01,INDEX('Debt Tracker'!$T$5:$AE$29,7,AC502-1)&gt;0.01))*('Recurring Items'!$H$14&lt;&gt;"Skip")*(DAY(AB502)='Recurring Items'!$F$14)*IFERROR(N('Recurring Items'!$D$14),0)+(IF(AC502=1,'Debt Tracker'!$P$12&gt;0.01,INDEX('Debt Tracker'!$T$5:$AE$29,8,AC502-1)&gt;0.01))*('Recurring Items'!$H$15&lt;&gt;"Skip")*(DAY(AB502)='Recurring Items'!$F$15)*IFERROR(N('Recurring Items'!$D$15),0)+(IF(AC502=1,'Debt Tracker'!$P$13&gt;0.01,INDEX('Debt Tracker'!$T$5:$AE$29,9,AC502-1)&gt;0.01))*('Recurring Items'!$H$16&lt;&gt;"Skip")*(DAY(AB502)='Recurring Items'!$F$16)*IFERROR(N('Recurring Items'!$D$16),0)+(IF(AC502=1,'Debt Tracker'!$P$14&gt;0.01,INDEX('Debt Tracker'!$T$5:$AE$29,10,AC502-1)&gt;0.01))*('Recurring Items'!$H$17&lt;&gt;"Skip")*(DAY(AB502)='Recurring Items'!$F$17)*IFERROR(N('Recurring Items'!$D$17),0)+(IF(AC502=1,'Debt Tracker'!$P$15&gt;0.01,INDEX('Debt Tracker'!$T$5:$AE$29,11,AC502-1)&gt;0.01))*('Recurring Items'!$H$18&lt;&gt;"Skip")*(DAY(AB502)='Recurring Items'!$F$18)*IFERROR(N('Recurring Items'!$D$18),0)+(IF(AC502=1,'Debt Tracker'!$P$16&gt;0.01,INDEX('Debt Tracker'!$T$5:$AE$29,12,AC502-1)&gt;0.01))*('Recurring Items'!$H$19&lt;&gt;"Skip")*(DAY(AB502)='Recurring Items'!$F$19)*IFERROR(N('Recurring Items'!$D$19),0)+(IF(AC502=1,'Debt Tracker'!$P$17&gt;0.01,INDEX('Debt Tracker'!$T$5:$AE$29,13,AC502-1)&gt;0.01))*('Recurring Items'!$H$20&lt;&gt;"Skip")*(DAY(AB502)='Recurring Items'!$F$20)*IFERROR(N('Recurring Items'!$D$20),0)+(IF(AC502=1,'Debt Tracker'!$P$18&gt;0.01,INDEX('Debt Tracker'!$T$5:$AE$29,14,AC502-1)&gt;0.01))*('Recurring Items'!$H$21&lt;&gt;"Skip")*(DAY(AB502)='Recurring Items'!$F$21)*IFERROR(N('Recurring Items'!$D$21),0)+(IF(AC502=1,'Debt Tracker'!$P$19&gt;0.01,INDEX('Debt Tracker'!$T$5:$AE$29,15,AC502-1)&gt;0.01))*('Recurring Items'!$H$22&lt;&gt;"Skip")*(DAY(AB502)='Recurring Items'!$F$22)*IFERROR(N('Recurring Items'!$D$22),0)+(IF(AC502=1,'Debt Tracker'!$P$20&gt;0.01,INDEX('Debt Tracker'!$T$5:$AE$29,16,AC502-1)&gt;0.01))*('Recurring Items'!$H$23&lt;&gt;"Skip")*(DAY(AB502)='Recurring Items'!$F$23)*IFERROR(N('Recurring Items'!$D$23),0)+(IF(AC502=1,'Debt Tracker'!$P$21&gt;0.01,INDEX('Debt Tracker'!$T$5:$AE$29,17,AC502-1)&gt;0.01))*('Recurring Items'!$H$24&lt;&gt;"Skip")*(DAY(AB502)='Recurring Items'!$F$24)*IFERROR(N('Recurring Items'!$D$24),0)+(IF(AC502=1,'Debt Tracker'!$P$22&gt;0.01,INDEX('Debt Tracker'!$T$5:$AE$29,18,AC502-1)&gt;0.01))*('Recurring Items'!$H$25&lt;&gt;"Skip")*(DAY(AB502)='Recurring Items'!$F$25)*IFERROR(N('Recurring Items'!$D$25),0)+(IF(AC502=1,'Debt Tracker'!$P$23&gt;0.01,INDEX('Debt Tracker'!$T$5:$AE$29,19,AC502-1)&gt;0.01))*('Recurring Items'!$H$26&lt;&gt;"Skip")*(DAY(AB502)='Recurring Items'!$F$26)*IFERROR(N('Recurring Items'!$D$26),0)+(IF(AC502=1,'Debt Tracker'!$P$24&gt;0.01,INDEX('Debt Tracker'!$T$5:$AE$29,20,AC502-1)&gt;0.01))*('Recurring Items'!$H$27&lt;&gt;"Skip")*(DAY(AB502)='Recurring Items'!$F$27)*IFERROR(N('Recurring Items'!$D$27),0)+(IF(AC502=1,'Debt Tracker'!$P$25&gt;0.01,INDEX('Debt Tracker'!$T$5:$AE$29,21,AC502-1)&gt;0.01))*('Recurring Items'!$H$28&lt;&gt;"Skip")*(DAY(AB502)='Recurring Items'!$F$28)*IFERROR(N('Recurring Items'!$D$28),0)+(IF(AC502=1,'Debt Tracker'!$P$26&gt;0.01,INDEX('Debt Tracker'!$T$5:$AE$29,22,AC502-1)&gt;0.01))*('Recurring Items'!$H$29&lt;&gt;"Skip")*(DAY(AB502)='Recurring Items'!$F$29)*IFERROR(N('Recurring Items'!$D$29),0)+(IF(AC502=1,'Debt Tracker'!$P$27&gt;0.01,INDEX('Debt Tracker'!$T$5:$AE$29,23,AC502-1)&gt;0.01))*('Recurring Items'!$H$30&lt;&gt;"Skip")*(DAY(AB502)='Recurring Items'!$F$30)*IFERROR(N('Recurring Items'!$D$30),0)+(IF(AC502=1,'Debt Tracker'!$P$28&gt;0.01,INDEX('Debt Tracker'!$T$5:$AE$29,24,AC502-1)&gt;0.01))*('Recurring Items'!$H$31&lt;&gt;"Skip")*(DAY(AB502)='Recurring Items'!$F$31)*IFERROR(N('Recurring Items'!$D$31),0)+(IF(AC502=1,'Debt Tracker'!$P$29&gt;0.01,INDEX('Debt Tracker'!$T$5:$AE$29,25,AC502-1)&gt;0.01))*('Recurring Items'!$H$32&lt;&gt;"Skip")*(DAY(AB502)='Recurring Items'!$F$32)*IFERROR(N('Recurring Items'!$D$32),0)</f>
        <v>0</v>
      </c>
      <c r="AG502" s="1" t="n">
        <f aca="false">AD502-AE502-AF502</f>
        <v>0</v>
      </c>
      <c r="AH502" s="1" t="n">
        <f aca="false">AH501+AG502</f>
        <v>22689.17</v>
      </c>
    </row>
    <row r="503" customFormat="false" ht="15" hidden="false" customHeight="true" outlineLevel="0" collapsed="false">
      <c r="AA503" s="1" t="n">
        <v>303</v>
      </c>
      <c r="AB503" s="145" t="n">
        <f aca="false">$D$3+303</f>
        <v>46446</v>
      </c>
      <c r="AC503" s="1" t="n">
        <f aca="false">MIN(12,1+DATEDIF($D$3,AB503,"M"))</f>
        <v>10</v>
      </c>
      <c r="AD503" s="1" t="n">
        <f aca="false">SUMPRODUCT(('Recurring Items'!$C$6:$C$56="Income")*('Recurring Items'!$H$6:$H$56&lt;&gt;"Skip")*IFERROR(N('Recurring Items'!$D$6:$D$56),0)*(('Recurring Items'!$E$6:$E$56="Monthly")*(DAY(AB503)='Recurring Items'!$F$6:$F$56)+('Recurring Items'!$E$6:$E$56="Bi-weekly")*(WEEKDAY(AB503)=IFERROR(WEEKDAY('Recurring Items'!$G$6:$G$56),0))*(MOD(AB503-IFERROR('Recurring Items'!$G$6:$G$56,0),14)=0)*(AB503&gt;=IFERROR('Recurring Items'!$G$6:$G$56,9000000000))+('Recurring Items'!$E$6:$E$56="Weekly")*(WEEKDAY(AB503)=IFERROR(WEEKDAY('Recurring Items'!$G$6:$G$56),0))*(AB503&gt;=IFERROR('Recurring Items'!$G$6:$G$56,9000000000))+('Recurring Items'!$E$6:$E$56="One-time")*(AB503='Recurring Items'!$G$6:$G$56)))</f>
        <v>0</v>
      </c>
      <c r="AE503" s="1" t="n">
        <f aca="false">SUMPRODUCT(('Recurring Items'!$C$6:$C$56="Expense")*('Recurring Items'!$H$6:$H$56&lt;&gt;"Skip")*IFERROR(N('Recurring Items'!$D$6:$D$56),0)*(('Recurring Items'!$E$6:$E$56="Monthly")*(DAY(AB503)='Recurring Items'!$F$6:$F$56)+('Recurring Items'!$E$6:$E$56="Bi-weekly")*(WEEKDAY(AB503)=IFERROR(WEEKDAY('Recurring Items'!$G$6:$G$56),0))*(MOD(AB503-IFERROR('Recurring Items'!$G$6:$G$56,0),14)=0)*(AB503&gt;=IFERROR('Recurring Items'!$G$6:$G$56,9000000000))+('Recurring Items'!$E$6:$E$56="Weekly")*(WEEKDAY(AB503)=IFERROR(WEEKDAY('Recurring Items'!$G$6:$G$56),0))*(AB503&gt;=IFERROR('Recurring Items'!$G$6:$G$56,9000000000))+('Recurring Items'!$E$6:$E$56="One-time")*(AB503='Recurring Items'!$G$6:$G$56)))</f>
        <v>0</v>
      </c>
      <c r="AF503" s="1" t="n">
        <f aca="false">(IF(AC503=1,'Debt Tracker'!$P$5&gt;0.01,INDEX('Debt Tracker'!$T$5:$AE$29,1,AC503-1)&gt;0.01))*('Recurring Items'!$H$8&lt;&gt;"Skip")*(DAY(AB503)='Recurring Items'!$F$8)*IFERROR(N('Recurring Items'!$D$8),0)+(IF(AC503=1,'Debt Tracker'!$P$6&gt;0.01,INDEX('Debt Tracker'!$T$5:$AE$29,2,AC503-1)&gt;0.01))*('Recurring Items'!$H$9&lt;&gt;"Skip")*(DAY(AB503)='Recurring Items'!$F$9)*IFERROR(N('Recurring Items'!$D$9),0)+(IF(AC503=1,'Debt Tracker'!$P$7&gt;0.01,INDEX('Debt Tracker'!$T$5:$AE$29,3,AC503-1)&gt;0.01))*('Recurring Items'!$H$10&lt;&gt;"Skip")*(DAY(AB503)='Recurring Items'!$F$10)*IFERROR(N('Recurring Items'!$D$10),0)+(IF(AC503=1,'Debt Tracker'!$P$8&gt;0.01,INDEX('Debt Tracker'!$T$5:$AE$29,4,AC503-1)&gt;0.01))*('Recurring Items'!$H$11&lt;&gt;"Skip")*(DAY(AB503)='Recurring Items'!$F$11)*IFERROR(N('Recurring Items'!$D$11),0)+(IF(AC503=1,'Debt Tracker'!$P$9&gt;0.01,INDEX('Debt Tracker'!$T$5:$AE$29,5,AC503-1)&gt;0.01))*('Recurring Items'!$H$12&lt;&gt;"Skip")*(DAY(AB503)='Recurring Items'!$F$12)*IFERROR(N('Recurring Items'!$D$12),0)+(IF(AC503=1,'Debt Tracker'!$P$10&gt;0.01,INDEX('Debt Tracker'!$T$5:$AE$29,6,AC503-1)&gt;0.01))*('Recurring Items'!$H$13&lt;&gt;"Skip")*(DAY(AB503)='Recurring Items'!$F$13)*IFERROR(N('Recurring Items'!$D$13),0)+(IF(AC503=1,'Debt Tracker'!$P$11&gt;0.01,INDEX('Debt Tracker'!$T$5:$AE$29,7,AC503-1)&gt;0.01))*('Recurring Items'!$H$14&lt;&gt;"Skip")*(DAY(AB503)='Recurring Items'!$F$14)*IFERROR(N('Recurring Items'!$D$14),0)+(IF(AC503=1,'Debt Tracker'!$P$12&gt;0.01,INDEX('Debt Tracker'!$T$5:$AE$29,8,AC503-1)&gt;0.01))*('Recurring Items'!$H$15&lt;&gt;"Skip")*(DAY(AB503)='Recurring Items'!$F$15)*IFERROR(N('Recurring Items'!$D$15),0)+(IF(AC503=1,'Debt Tracker'!$P$13&gt;0.01,INDEX('Debt Tracker'!$T$5:$AE$29,9,AC503-1)&gt;0.01))*('Recurring Items'!$H$16&lt;&gt;"Skip")*(DAY(AB503)='Recurring Items'!$F$16)*IFERROR(N('Recurring Items'!$D$16),0)+(IF(AC503=1,'Debt Tracker'!$P$14&gt;0.01,INDEX('Debt Tracker'!$T$5:$AE$29,10,AC503-1)&gt;0.01))*('Recurring Items'!$H$17&lt;&gt;"Skip")*(DAY(AB503)='Recurring Items'!$F$17)*IFERROR(N('Recurring Items'!$D$17),0)+(IF(AC503=1,'Debt Tracker'!$P$15&gt;0.01,INDEX('Debt Tracker'!$T$5:$AE$29,11,AC503-1)&gt;0.01))*('Recurring Items'!$H$18&lt;&gt;"Skip")*(DAY(AB503)='Recurring Items'!$F$18)*IFERROR(N('Recurring Items'!$D$18),0)+(IF(AC503=1,'Debt Tracker'!$P$16&gt;0.01,INDEX('Debt Tracker'!$T$5:$AE$29,12,AC503-1)&gt;0.01))*('Recurring Items'!$H$19&lt;&gt;"Skip")*(DAY(AB503)='Recurring Items'!$F$19)*IFERROR(N('Recurring Items'!$D$19),0)+(IF(AC503=1,'Debt Tracker'!$P$17&gt;0.01,INDEX('Debt Tracker'!$T$5:$AE$29,13,AC503-1)&gt;0.01))*('Recurring Items'!$H$20&lt;&gt;"Skip")*(DAY(AB503)='Recurring Items'!$F$20)*IFERROR(N('Recurring Items'!$D$20),0)+(IF(AC503=1,'Debt Tracker'!$P$18&gt;0.01,INDEX('Debt Tracker'!$T$5:$AE$29,14,AC503-1)&gt;0.01))*('Recurring Items'!$H$21&lt;&gt;"Skip")*(DAY(AB503)='Recurring Items'!$F$21)*IFERROR(N('Recurring Items'!$D$21),0)+(IF(AC503=1,'Debt Tracker'!$P$19&gt;0.01,INDEX('Debt Tracker'!$T$5:$AE$29,15,AC503-1)&gt;0.01))*('Recurring Items'!$H$22&lt;&gt;"Skip")*(DAY(AB503)='Recurring Items'!$F$22)*IFERROR(N('Recurring Items'!$D$22),0)+(IF(AC503=1,'Debt Tracker'!$P$20&gt;0.01,INDEX('Debt Tracker'!$T$5:$AE$29,16,AC503-1)&gt;0.01))*('Recurring Items'!$H$23&lt;&gt;"Skip")*(DAY(AB503)='Recurring Items'!$F$23)*IFERROR(N('Recurring Items'!$D$23),0)+(IF(AC503=1,'Debt Tracker'!$P$21&gt;0.01,INDEX('Debt Tracker'!$T$5:$AE$29,17,AC503-1)&gt;0.01))*('Recurring Items'!$H$24&lt;&gt;"Skip")*(DAY(AB503)='Recurring Items'!$F$24)*IFERROR(N('Recurring Items'!$D$24),0)+(IF(AC503=1,'Debt Tracker'!$P$22&gt;0.01,INDEX('Debt Tracker'!$T$5:$AE$29,18,AC503-1)&gt;0.01))*('Recurring Items'!$H$25&lt;&gt;"Skip")*(DAY(AB503)='Recurring Items'!$F$25)*IFERROR(N('Recurring Items'!$D$25),0)+(IF(AC503=1,'Debt Tracker'!$P$23&gt;0.01,INDEX('Debt Tracker'!$T$5:$AE$29,19,AC503-1)&gt;0.01))*('Recurring Items'!$H$26&lt;&gt;"Skip")*(DAY(AB503)='Recurring Items'!$F$26)*IFERROR(N('Recurring Items'!$D$26),0)+(IF(AC503=1,'Debt Tracker'!$P$24&gt;0.01,INDEX('Debt Tracker'!$T$5:$AE$29,20,AC503-1)&gt;0.01))*('Recurring Items'!$H$27&lt;&gt;"Skip")*(DAY(AB503)='Recurring Items'!$F$27)*IFERROR(N('Recurring Items'!$D$27),0)+(IF(AC503=1,'Debt Tracker'!$P$25&gt;0.01,INDEX('Debt Tracker'!$T$5:$AE$29,21,AC503-1)&gt;0.01))*('Recurring Items'!$H$28&lt;&gt;"Skip")*(DAY(AB503)='Recurring Items'!$F$28)*IFERROR(N('Recurring Items'!$D$28),0)+(IF(AC503=1,'Debt Tracker'!$P$26&gt;0.01,INDEX('Debt Tracker'!$T$5:$AE$29,22,AC503-1)&gt;0.01))*('Recurring Items'!$H$29&lt;&gt;"Skip")*(DAY(AB503)='Recurring Items'!$F$29)*IFERROR(N('Recurring Items'!$D$29),0)+(IF(AC503=1,'Debt Tracker'!$P$27&gt;0.01,INDEX('Debt Tracker'!$T$5:$AE$29,23,AC503-1)&gt;0.01))*('Recurring Items'!$H$30&lt;&gt;"Skip")*(DAY(AB503)='Recurring Items'!$F$30)*IFERROR(N('Recurring Items'!$D$30),0)+(IF(AC503=1,'Debt Tracker'!$P$28&gt;0.01,INDEX('Debt Tracker'!$T$5:$AE$29,24,AC503-1)&gt;0.01))*('Recurring Items'!$H$31&lt;&gt;"Skip")*(DAY(AB503)='Recurring Items'!$F$31)*IFERROR(N('Recurring Items'!$D$31),0)+(IF(AC503=1,'Debt Tracker'!$P$29&gt;0.01,INDEX('Debt Tracker'!$T$5:$AE$29,25,AC503-1)&gt;0.01))*('Recurring Items'!$H$32&lt;&gt;"Skip")*(DAY(AB503)='Recurring Items'!$F$32)*IFERROR(N('Recurring Items'!$D$32),0)</f>
        <v>0</v>
      </c>
      <c r="AG503" s="1" t="n">
        <f aca="false">AD503-AE503-AF503</f>
        <v>0</v>
      </c>
      <c r="AH503" s="1" t="n">
        <f aca="false">AH502+AG503</f>
        <v>22689.17</v>
      </c>
    </row>
    <row r="504" customFormat="false" ht="15" hidden="false" customHeight="true" outlineLevel="0" collapsed="false">
      <c r="AA504" s="1" t="n">
        <v>304</v>
      </c>
      <c r="AB504" s="145" t="n">
        <f aca="false">$D$3+304</f>
        <v>46447</v>
      </c>
      <c r="AC504" s="1" t="n">
        <f aca="false">MIN(12,1+DATEDIF($D$3,AB504,"M"))</f>
        <v>11</v>
      </c>
      <c r="AD504" s="1" t="n">
        <f aca="false">SUMPRODUCT(('Recurring Items'!$C$6:$C$56="Income")*('Recurring Items'!$H$6:$H$56&lt;&gt;"Skip")*IFERROR(N('Recurring Items'!$D$6:$D$56),0)*(('Recurring Items'!$E$6:$E$56="Monthly")*(DAY(AB504)='Recurring Items'!$F$6:$F$56)+('Recurring Items'!$E$6:$E$56="Bi-weekly")*(WEEKDAY(AB504)=IFERROR(WEEKDAY('Recurring Items'!$G$6:$G$56),0))*(MOD(AB504-IFERROR('Recurring Items'!$G$6:$G$56,0),14)=0)*(AB504&gt;=IFERROR('Recurring Items'!$G$6:$G$56,9000000000))+('Recurring Items'!$E$6:$E$56="Weekly")*(WEEKDAY(AB504)=IFERROR(WEEKDAY('Recurring Items'!$G$6:$G$56),0))*(AB504&gt;=IFERROR('Recurring Items'!$G$6:$G$56,9000000000))+('Recurring Items'!$E$6:$E$56="One-time")*(AB504='Recurring Items'!$G$6:$G$56)))</f>
        <v>0</v>
      </c>
      <c r="AE504" s="1" t="n">
        <f aca="false">SUMPRODUCT(('Recurring Items'!$C$6:$C$56="Expense")*('Recurring Items'!$H$6:$H$56&lt;&gt;"Skip")*IFERROR(N('Recurring Items'!$D$6:$D$56),0)*(('Recurring Items'!$E$6:$E$56="Monthly")*(DAY(AB504)='Recurring Items'!$F$6:$F$56)+('Recurring Items'!$E$6:$E$56="Bi-weekly")*(WEEKDAY(AB504)=IFERROR(WEEKDAY('Recurring Items'!$G$6:$G$56),0))*(MOD(AB504-IFERROR('Recurring Items'!$G$6:$G$56,0),14)=0)*(AB504&gt;=IFERROR('Recurring Items'!$G$6:$G$56,9000000000))+('Recurring Items'!$E$6:$E$56="Weekly")*(WEEKDAY(AB504)=IFERROR(WEEKDAY('Recurring Items'!$G$6:$G$56),0))*(AB504&gt;=IFERROR('Recurring Items'!$G$6:$G$56,9000000000))+('Recurring Items'!$E$6:$E$56="One-time")*(AB504='Recurring Items'!$G$6:$G$56)))</f>
        <v>141.16</v>
      </c>
      <c r="AF504" s="1" t="n">
        <f aca="false">(IF(AC504=1,'Debt Tracker'!$P$5&gt;0.01,INDEX('Debt Tracker'!$T$5:$AE$29,1,AC504-1)&gt;0.01))*('Recurring Items'!$H$8&lt;&gt;"Skip")*(DAY(AB504)='Recurring Items'!$F$8)*IFERROR(N('Recurring Items'!$D$8),0)+(IF(AC504=1,'Debt Tracker'!$P$6&gt;0.01,INDEX('Debt Tracker'!$T$5:$AE$29,2,AC504-1)&gt;0.01))*('Recurring Items'!$H$9&lt;&gt;"Skip")*(DAY(AB504)='Recurring Items'!$F$9)*IFERROR(N('Recurring Items'!$D$9),0)+(IF(AC504=1,'Debt Tracker'!$P$7&gt;0.01,INDEX('Debt Tracker'!$T$5:$AE$29,3,AC504-1)&gt;0.01))*('Recurring Items'!$H$10&lt;&gt;"Skip")*(DAY(AB504)='Recurring Items'!$F$10)*IFERROR(N('Recurring Items'!$D$10),0)+(IF(AC504=1,'Debt Tracker'!$P$8&gt;0.01,INDEX('Debt Tracker'!$T$5:$AE$29,4,AC504-1)&gt;0.01))*('Recurring Items'!$H$11&lt;&gt;"Skip")*(DAY(AB504)='Recurring Items'!$F$11)*IFERROR(N('Recurring Items'!$D$11),0)+(IF(AC504=1,'Debt Tracker'!$P$9&gt;0.01,INDEX('Debt Tracker'!$T$5:$AE$29,5,AC504-1)&gt;0.01))*('Recurring Items'!$H$12&lt;&gt;"Skip")*(DAY(AB504)='Recurring Items'!$F$12)*IFERROR(N('Recurring Items'!$D$12),0)+(IF(AC504=1,'Debt Tracker'!$P$10&gt;0.01,INDEX('Debt Tracker'!$T$5:$AE$29,6,AC504-1)&gt;0.01))*('Recurring Items'!$H$13&lt;&gt;"Skip")*(DAY(AB504)='Recurring Items'!$F$13)*IFERROR(N('Recurring Items'!$D$13),0)+(IF(AC504=1,'Debt Tracker'!$P$11&gt;0.01,INDEX('Debt Tracker'!$T$5:$AE$29,7,AC504-1)&gt;0.01))*('Recurring Items'!$H$14&lt;&gt;"Skip")*(DAY(AB504)='Recurring Items'!$F$14)*IFERROR(N('Recurring Items'!$D$14),0)+(IF(AC504=1,'Debt Tracker'!$P$12&gt;0.01,INDEX('Debt Tracker'!$T$5:$AE$29,8,AC504-1)&gt;0.01))*('Recurring Items'!$H$15&lt;&gt;"Skip")*(DAY(AB504)='Recurring Items'!$F$15)*IFERROR(N('Recurring Items'!$D$15),0)+(IF(AC504=1,'Debt Tracker'!$P$13&gt;0.01,INDEX('Debt Tracker'!$T$5:$AE$29,9,AC504-1)&gt;0.01))*('Recurring Items'!$H$16&lt;&gt;"Skip")*(DAY(AB504)='Recurring Items'!$F$16)*IFERROR(N('Recurring Items'!$D$16),0)+(IF(AC504=1,'Debt Tracker'!$P$14&gt;0.01,INDEX('Debt Tracker'!$T$5:$AE$29,10,AC504-1)&gt;0.01))*('Recurring Items'!$H$17&lt;&gt;"Skip")*(DAY(AB504)='Recurring Items'!$F$17)*IFERROR(N('Recurring Items'!$D$17),0)+(IF(AC504=1,'Debt Tracker'!$P$15&gt;0.01,INDEX('Debt Tracker'!$T$5:$AE$29,11,AC504-1)&gt;0.01))*('Recurring Items'!$H$18&lt;&gt;"Skip")*(DAY(AB504)='Recurring Items'!$F$18)*IFERROR(N('Recurring Items'!$D$18),0)+(IF(AC504=1,'Debt Tracker'!$P$16&gt;0.01,INDEX('Debt Tracker'!$T$5:$AE$29,12,AC504-1)&gt;0.01))*('Recurring Items'!$H$19&lt;&gt;"Skip")*(DAY(AB504)='Recurring Items'!$F$19)*IFERROR(N('Recurring Items'!$D$19),0)+(IF(AC504=1,'Debt Tracker'!$P$17&gt;0.01,INDEX('Debt Tracker'!$T$5:$AE$29,13,AC504-1)&gt;0.01))*('Recurring Items'!$H$20&lt;&gt;"Skip")*(DAY(AB504)='Recurring Items'!$F$20)*IFERROR(N('Recurring Items'!$D$20),0)+(IF(AC504=1,'Debt Tracker'!$P$18&gt;0.01,INDEX('Debt Tracker'!$T$5:$AE$29,14,AC504-1)&gt;0.01))*('Recurring Items'!$H$21&lt;&gt;"Skip")*(DAY(AB504)='Recurring Items'!$F$21)*IFERROR(N('Recurring Items'!$D$21),0)+(IF(AC504=1,'Debt Tracker'!$P$19&gt;0.01,INDEX('Debt Tracker'!$T$5:$AE$29,15,AC504-1)&gt;0.01))*('Recurring Items'!$H$22&lt;&gt;"Skip")*(DAY(AB504)='Recurring Items'!$F$22)*IFERROR(N('Recurring Items'!$D$22),0)+(IF(AC504=1,'Debt Tracker'!$P$20&gt;0.01,INDEX('Debt Tracker'!$T$5:$AE$29,16,AC504-1)&gt;0.01))*('Recurring Items'!$H$23&lt;&gt;"Skip")*(DAY(AB504)='Recurring Items'!$F$23)*IFERROR(N('Recurring Items'!$D$23),0)+(IF(AC504=1,'Debt Tracker'!$P$21&gt;0.01,INDEX('Debt Tracker'!$T$5:$AE$29,17,AC504-1)&gt;0.01))*('Recurring Items'!$H$24&lt;&gt;"Skip")*(DAY(AB504)='Recurring Items'!$F$24)*IFERROR(N('Recurring Items'!$D$24),0)+(IF(AC504=1,'Debt Tracker'!$P$22&gt;0.01,INDEX('Debt Tracker'!$T$5:$AE$29,18,AC504-1)&gt;0.01))*('Recurring Items'!$H$25&lt;&gt;"Skip")*(DAY(AB504)='Recurring Items'!$F$25)*IFERROR(N('Recurring Items'!$D$25),0)+(IF(AC504=1,'Debt Tracker'!$P$23&gt;0.01,INDEX('Debt Tracker'!$T$5:$AE$29,19,AC504-1)&gt;0.01))*('Recurring Items'!$H$26&lt;&gt;"Skip")*(DAY(AB504)='Recurring Items'!$F$26)*IFERROR(N('Recurring Items'!$D$26),0)+(IF(AC504=1,'Debt Tracker'!$P$24&gt;0.01,INDEX('Debt Tracker'!$T$5:$AE$29,20,AC504-1)&gt;0.01))*('Recurring Items'!$H$27&lt;&gt;"Skip")*(DAY(AB504)='Recurring Items'!$F$27)*IFERROR(N('Recurring Items'!$D$27),0)+(IF(AC504=1,'Debt Tracker'!$P$25&gt;0.01,INDEX('Debt Tracker'!$T$5:$AE$29,21,AC504-1)&gt;0.01))*('Recurring Items'!$H$28&lt;&gt;"Skip")*(DAY(AB504)='Recurring Items'!$F$28)*IFERROR(N('Recurring Items'!$D$28),0)+(IF(AC504=1,'Debt Tracker'!$P$26&gt;0.01,INDEX('Debt Tracker'!$T$5:$AE$29,22,AC504-1)&gt;0.01))*('Recurring Items'!$H$29&lt;&gt;"Skip")*(DAY(AB504)='Recurring Items'!$F$29)*IFERROR(N('Recurring Items'!$D$29),0)+(IF(AC504=1,'Debt Tracker'!$P$27&gt;0.01,INDEX('Debt Tracker'!$T$5:$AE$29,23,AC504-1)&gt;0.01))*('Recurring Items'!$H$30&lt;&gt;"Skip")*(DAY(AB504)='Recurring Items'!$F$30)*IFERROR(N('Recurring Items'!$D$30),0)+(IF(AC504=1,'Debt Tracker'!$P$28&gt;0.01,INDEX('Debt Tracker'!$T$5:$AE$29,24,AC504-1)&gt;0.01))*('Recurring Items'!$H$31&lt;&gt;"Skip")*(DAY(AB504)='Recurring Items'!$F$31)*IFERROR(N('Recurring Items'!$D$31),0)+(IF(AC504=1,'Debt Tracker'!$P$29&gt;0.01,INDEX('Debt Tracker'!$T$5:$AE$29,25,AC504-1)&gt;0.01))*('Recurring Items'!$H$32&lt;&gt;"Skip")*(DAY(AB504)='Recurring Items'!$F$32)*IFERROR(N('Recurring Items'!$D$32),0)</f>
        <v>0</v>
      </c>
      <c r="AG504" s="1" t="n">
        <f aca="false">AD504-AE504-AF504</f>
        <v>-141.16</v>
      </c>
      <c r="AH504" s="1" t="n">
        <f aca="false">AH503+AG504</f>
        <v>22548.01</v>
      </c>
    </row>
    <row r="505" customFormat="false" ht="15" hidden="false" customHeight="true" outlineLevel="0" collapsed="false">
      <c r="AA505" s="1" t="n">
        <v>305</v>
      </c>
      <c r="AB505" s="145" t="n">
        <f aca="false">$D$3+305</f>
        <v>46448</v>
      </c>
      <c r="AC505" s="1" t="n">
        <f aca="false">MIN(12,1+DATEDIF($D$3,AB505,"M"))</f>
        <v>11</v>
      </c>
      <c r="AD505" s="1" t="n">
        <f aca="false">SUMPRODUCT(('Recurring Items'!$C$6:$C$56="Income")*('Recurring Items'!$H$6:$H$56&lt;&gt;"Skip")*IFERROR(N('Recurring Items'!$D$6:$D$56),0)*(('Recurring Items'!$E$6:$E$56="Monthly")*(DAY(AB505)='Recurring Items'!$F$6:$F$56)+('Recurring Items'!$E$6:$E$56="Bi-weekly")*(WEEKDAY(AB505)=IFERROR(WEEKDAY('Recurring Items'!$G$6:$G$56),0))*(MOD(AB505-IFERROR('Recurring Items'!$G$6:$G$56,0),14)=0)*(AB505&gt;=IFERROR('Recurring Items'!$G$6:$G$56,9000000000))+('Recurring Items'!$E$6:$E$56="Weekly")*(WEEKDAY(AB505)=IFERROR(WEEKDAY('Recurring Items'!$G$6:$G$56),0))*(AB505&gt;=IFERROR('Recurring Items'!$G$6:$G$56,9000000000))+('Recurring Items'!$E$6:$E$56="One-time")*(AB505='Recurring Items'!$G$6:$G$56)))</f>
        <v>0</v>
      </c>
      <c r="AE505" s="1" t="n">
        <f aca="false">SUMPRODUCT(('Recurring Items'!$C$6:$C$56="Expense")*('Recurring Items'!$H$6:$H$56&lt;&gt;"Skip")*IFERROR(N('Recurring Items'!$D$6:$D$56),0)*(('Recurring Items'!$E$6:$E$56="Monthly")*(DAY(AB505)='Recurring Items'!$F$6:$F$56)+('Recurring Items'!$E$6:$E$56="Bi-weekly")*(WEEKDAY(AB505)=IFERROR(WEEKDAY('Recurring Items'!$G$6:$G$56),0))*(MOD(AB505-IFERROR('Recurring Items'!$G$6:$G$56,0),14)=0)*(AB505&gt;=IFERROR('Recurring Items'!$G$6:$G$56,9000000000))+('Recurring Items'!$E$6:$E$56="Weekly")*(WEEKDAY(AB505)=IFERROR(WEEKDAY('Recurring Items'!$G$6:$G$56),0))*(AB505&gt;=IFERROR('Recurring Items'!$G$6:$G$56,9000000000))+('Recurring Items'!$E$6:$E$56="One-time")*(AB505='Recurring Items'!$G$6:$G$56)))</f>
        <v>0</v>
      </c>
      <c r="AF505" s="1" t="n">
        <f aca="false">(IF(AC505=1,'Debt Tracker'!$P$5&gt;0.01,INDEX('Debt Tracker'!$T$5:$AE$29,1,AC505-1)&gt;0.01))*('Recurring Items'!$H$8&lt;&gt;"Skip")*(DAY(AB505)='Recurring Items'!$F$8)*IFERROR(N('Recurring Items'!$D$8),0)+(IF(AC505=1,'Debt Tracker'!$P$6&gt;0.01,INDEX('Debt Tracker'!$T$5:$AE$29,2,AC505-1)&gt;0.01))*('Recurring Items'!$H$9&lt;&gt;"Skip")*(DAY(AB505)='Recurring Items'!$F$9)*IFERROR(N('Recurring Items'!$D$9),0)+(IF(AC505=1,'Debt Tracker'!$P$7&gt;0.01,INDEX('Debt Tracker'!$T$5:$AE$29,3,AC505-1)&gt;0.01))*('Recurring Items'!$H$10&lt;&gt;"Skip")*(DAY(AB505)='Recurring Items'!$F$10)*IFERROR(N('Recurring Items'!$D$10),0)+(IF(AC505=1,'Debt Tracker'!$P$8&gt;0.01,INDEX('Debt Tracker'!$T$5:$AE$29,4,AC505-1)&gt;0.01))*('Recurring Items'!$H$11&lt;&gt;"Skip")*(DAY(AB505)='Recurring Items'!$F$11)*IFERROR(N('Recurring Items'!$D$11),0)+(IF(AC505=1,'Debt Tracker'!$P$9&gt;0.01,INDEX('Debt Tracker'!$T$5:$AE$29,5,AC505-1)&gt;0.01))*('Recurring Items'!$H$12&lt;&gt;"Skip")*(DAY(AB505)='Recurring Items'!$F$12)*IFERROR(N('Recurring Items'!$D$12),0)+(IF(AC505=1,'Debt Tracker'!$P$10&gt;0.01,INDEX('Debt Tracker'!$T$5:$AE$29,6,AC505-1)&gt;0.01))*('Recurring Items'!$H$13&lt;&gt;"Skip")*(DAY(AB505)='Recurring Items'!$F$13)*IFERROR(N('Recurring Items'!$D$13),0)+(IF(AC505=1,'Debt Tracker'!$P$11&gt;0.01,INDEX('Debt Tracker'!$T$5:$AE$29,7,AC505-1)&gt;0.01))*('Recurring Items'!$H$14&lt;&gt;"Skip")*(DAY(AB505)='Recurring Items'!$F$14)*IFERROR(N('Recurring Items'!$D$14),0)+(IF(AC505=1,'Debt Tracker'!$P$12&gt;0.01,INDEX('Debt Tracker'!$T$5:$AE$29,8,AC505-1)&gt;0.01))*('Recurring Items'!$H$15&lt;&gt;"Skip")*(DAY(AB505)='Recurring Items'!$F$15)*IFERROR(N('Recurring Items'!$D$15),0)+(IF(AC505=1,'Debt Tracker'!$P$13&gt;0.01,INDEX('Debt Tracker'!$T$5:$AE$29,9,AC505-1)&gt;0.01))*('Recurring Items'!$H$16&lt;&gt;"Skip")*(DAY(AB505)='Recurring Items'!$F$16)*IFERROR(N('Recurring Items'!$D$16),0)+(IF(AC505=1,'Debt Tracker'!$P$14&gt;0.01,INDEX('Debt Tracker'!$T$5:$AE$29,10,AC505-1)&gt;0.01))*('Recurring Items'!$H$17&lt;&gt;"Skip")*(DAY(AB505)='Recurring Items'!$F$17)*IFERROR(N('Recurring Items'!$D$17),0)+(IF(AC505=1,'Debt Tracker'!$P$15&gt;0.01,INDEX('Debt Tracker'!$T$5:$AE$29,11,AC505-1)&gt;0.01))*('Recurring Items'!$H$18&lt;&gt;"Skip")*(DAY(AB505)='Recurring Items'!$F$18)*IFERROR(N('Recurring Items'!$D$18),0)+(IF(AC505=1,'Debt Tracker'!$P$16&gt;0.01,INDEX('Debt Tracker'!$T$5:$AE$29,12,AC505-1)&gt;0.01))*('Recurring Items'!$H$19&lt;&gt;"Skip")*(DAY(AB505)='Recurring Items'!$F$19)*IFERROR(N('Recurring Items'!$D$19),0)+(IF(AC505=1,'Debt Tracker'!$P$17&gt;0.01,INDEX('Debt Tracker'!$T$5:$AE$29,13,AC505-1)&gt;0.01))*('Recurring Items'!$H$20&lt;&gt;"Skip")*(DAY(AB505)='Recurring Items'!$F$20)*IFERROR(N('Recurring Items'!$D$20),0)+(IF(AC505=1,'Debt Tracker'!$P$18&gt;0.01,INDEX('Debt Tracker'!$T$5:$AE$29,14,AC505-1)&gt;0.01))*('Recurring Items'!$H$21&lt;&gt;"Skip")*(DAY(AB505)='Recurring Items'!$F$21)*IFERROR(N('Recurring Items'!$D$21),0)+(IF(AC505=1,'Debt Tracker'!$P$19&gt;0.01,INDEX('Debt Tracker'!$T$5:$AE$29,15,AC505-1)&gt;0.01))*('Recurring Items'!$H$22&lt;&gt;"Skip")*(DAY(AB505)='Recurring Items'!$F$22)*IFERROR(N('Recurring Items'!$D$22),0)+(IF(AC505=1,'Debt Tracker'!$P$20&gt;0.01,INDEX('Debt Tracker'!$T$5:$AE$29,16,AC505-1)&gt;0.01))*('Recurring Items'!$H$23&lt;&gt;"Skip")*(DAY(AB505)='Recurring Items'!$F$23)*IFERROR(N('Recurring Items'!$D$23),0)+(IF(AC505=1,'Debt Tracker'!$P$21&gt;0.01,INDEX('Debt Tracker'!$T$5:$AE$29,17,AC505-1)&gt;0.01))*('Recurring Items'!$H$24&lt;&gt;"Skip")*(DAY(AB505)='Recurring Items'!$F$24)*IFERROR(N('Recurring Items'!$D$24),0)+(IF(AC505=1,'Debt Tracker'!$P$22&gt;0.01,INDEX('Debt Tracker'!$T$5:$AE$29,18,AC505-1)&gt;0.01))*('Recurring Items'!$H$25&lt;&gt;"Skip")*(DAY(AB505)='Recurring Items'!$F$25)*IFERROR(N('Recurring Items'!$D$25),0)+(IF(AC505=1,'Debt Tracker'!$P$23&gt;0.01,INDEX('Debt Tracker'!$T$5:$AE$29,19,AC505-1)&gt;0.01))*('Recurring Items'!$H$26&lt;&gt;"Skip")*(DAY(AB505)='Recurring Items'!$F$26)*IFERROR(N('Recurring Items'!$D$26),0)+(IF(AC505=1,'Debt Tracker'!$P$24&gt;0.01,INDEX('Debt Tracker'!$T$5:$AE$29,20,AC505-1)&gt;0.01))*('Recurring Items'!$H$27&lt;&gt;"Skip")*(DAY(AB505)='Recurring Items'!$F$27)*IFERROR(N('Recurring Items'!$D$27),0)+(IF(AC505=1,'Debt Tracker'!$P$25&gt;0.01,INDEX('Debt Tracker'!$T$5:$AE$29,21,AC505-1)&gt;0.01))*('Recurring Items'!$H$28&lt;&gt;"Skip")*(DAY(AB505)='Recurring Items'!$F$28)*IFERROR(N('Recurring Items'!$D$28),0)+(IF(AC505=1,'Debt Tracker'!$P$26&gt;0.01,INDEX('Debt Tracker'!$T$5:$AE$29,22,AC505-1)&gt;0.01))*('Recurring Items'!$H$29&lt;&gt;"Skip")*(DAY(AB505)='Recurring Items'!$F$29)*IFERROR(N('Recurring Items'!$D$29),0)+(IF(AC505=1,'Debt Tracker'!$P$27&gt;0.01,INDEX('Debt Tracker'!$T$5:$AE$29,23,AC505-1)&gt;0.01))*('Recurring Items'!$H$30&lt;&gt;"Skip")*(DAY(AB505)='Recurring Items'!$F$30)*IFERROR(N('Recurring Items'!$D$30),0)+(IF(AC505=1,'Debt Tracker'!$P$28&gt;0.01,INDEX('Debt Tracker'!$T$5:$AE$29,24,AC505-1)&gt;0.01))*('Recurring Items'!$H$31&lt;&gt;"Skip")*(DAY(AB505)='Recurring Items'!$F$31)*IFERROR(N('Recurring Items'!$D$31),0)+(IF(AC505=1,'Debt Tracker'!$P$29&gt;0.01,INDEX('Debt Tracker'!$T$5:$AE$29,25,AC505-1)&gt;0.01))*('Recurring Items'!$H$32&lt;&gt;"Skip")*(DAY(AB505)='Recurring Items'!$F$32)*IFERROR(N('Recurring Items'!$D$32),0)</f>
        <v>1309.17</v>
      </c>
      <c r="AG505" s="1" t="n">
        <f aca="false">AD505-AE505-AF505</f>
        <v>-1309.17</v>
      </c>
      <c r="AH505" s="1" t="n">
        <f aca="false">AH504+AG505</f>
        <v>21238.84</v>
      </c>
    </row>
    <row r="506" customFormat="false" ht="15" hidden="false" customHeight="true" outlineLevel="0" collapsed="false">
      <c r="AA506" s="1" t="n">
        <v>306</v>
      </c>
      <c r="AB506" s="145" t="n">
        <f aca="false">$D$3+306</f>
        <v>46449</v>
      </c>
      <c r="AC506" s="1" t="n">
        <f aca="false">MIN(12,1+DATEDIF($D$3,AB506,"M"))</f>
        <v>11</v>
      </c>
      <c r="AD506" s="1" t="n">
        <f aca="false">SUMPRODUCT(('Recurring Items'!$C$6:$C$56="Income")*('Recurring Items'!$H$6:$H$56&lt;&gt;"Skip")*IFERROR(N('Recurring Items'!$D$6:$D$56),0)*(('Recurring Items'!$E$6:$E$56="Monthly")*(DAY(AB506)='Recurring Items'!$F$6:$F$56)+('Recurring Items'!$E$6:$E$56="Bi-weekly")*(WEEKDAY(AB506)=IFERROR(WEEKDAY('Recurring Items'!$G$6:$G$56),0))*(MOD(AB506-IFERROR('Recurring Items'!$G$6:$G$56,0),14)=0)*(AB506&gt;=IFERROR('Recurring Items'!$G$6:$G$56,9000000000))+('Recurring Items'!$E$6:$E$56="Weekly")*(WEEKDAY(AB506)=IFERROR(WEEKDAY('Recurring Items'!$G$6:$G$56),0))*(AB506&gt;=IFERROR('Recurring Items'!$G$6:$G$56,9000000000))+('Recurring Items'!$E$6:$E$56="One-time")*(AB506='Recurring Items'!$G$6:$G$56)))</f>
        <v>0</v>
      </c>
      <c r="AE506" s="1" t="n">
        <f aca="false">SUMPRODUCT(('Recurring Items'!$C$6:$C$56="Expense")*('Recurring Items'!$H$6:$H$56&lt;&gt;"Skip")*IFERROR(N('Recurring Items'!$D$6:$D$56),0)*(('Recurring Items'!$E$6:$E$56="Monthly")*(DAY(AB506)='Recurring Items'!$F$6:$F$56)+('Recurring Items'!$E$6:$E$56="Bi-weekly")*(WEEKDAY(AB506)=IFERROR(WEEKDAY('Recurring Items'!$G$6:$G$56),0))*(MOD(AB506-IFERROR('Recurring Items'!$G$6:$G$56,0),14)=0)*(AB506&gt;=IFERROR('Recurring Items'!$G$6:$G$56,9000000000))+('Recurring Items'!$E$6:$E$56="Weekly")*(WEEKDAY(AB506)=IFERROR(WEEKDAY('Recurring Items'!$G$6:$G$56),0))*(AB506&gt;=IFERROR('Recurring Items'!$G$6:$G$56,9000000000))+('Recurring Items'!$E$6:$E$56="One-time")*(AB506='Recurring Items'!$G$6:$G$56)))</f>
        <v>927.53</v>
      </c>
      <c r="AF506" s="1" t="n">
        <f aca="false">(IF(AC506=1,'Debt Tracker'!$P$5&gt;0.01,INDEX('Debt Tracker'!$T$5:$AE$29,1,AC506-1)&gt;0.01))*('Recurring Items'!$H$8&lt;&gt;"Skip")*(DAY(AB506)='Recurring Items'!$F$8)*IFERROR(N('Recurring Items'!$D$8),0)+(IF(AC506=1,'Debt Tracker'!$P$6&gt;0.01,INDEX('Debt Tracker'!$T$5:$AE$29,2,AC506-1)&gt;0.01))*('Recurring Items'!$H$9&lt;&gt;"Skip")*(DAY(AB506)='Recurring Items'!$F$9)*IFERROR(N('Recurring Items'!$D$9),0)+(IF(AC506=1,'Debt Tracker'!$P$7&gt;0.01,INDEX('Debt Tracker'!$T$5:$AE$29,3,AC506-1)&gt;0.01))*('Recurring Items'!$H$10&lt;&gt;"Skip")*(DAY(AB506)='Recurring Items'!$F$10)*IFERROR(N('Recurring Items'!$D$10),0)+(IF(AC506=1,'Debt Tracker'!$P$8&gt;0.01,INDEX('Debt Tracker'!$T$5:$AE$29,4,AC506-1)&gt;0.01))*('Recurring Items'!$H$11&lt;&gt;"Skip")*(DAY(AB506)='Recurring Items'!$F$11)*IFERROR(N('Recurring Items'!$D$11),0)+(IF(AC506=1,'Debt Tracker'!$P$9&gt;0.01,INDEX('Debt Tracker'!$T$5:$AE$29,5,AC506-1)&gt;0.01))*('Recurring Items'!$H$12&lt;&gt;"Skip")*(DAY(AB506)='Recurring Items'!$F$12)*IFERROR(N('Recurring Items'!$D$12),0)+(IF(AC506=1,'Debt Tracker'!$P$10&gt;0.01,INDEX('Debt Tracker'!$T$5:$AE$29,6,AC506-1)&gt;0.01))*('Recurring Items'!$H$13&lt;&gt;"Skip")*(DAY(AB506)='Recurring Items'!$F$13)*IFERROR(N('Recurring Items'!$D$13),0)+(IF(AC506=1,'Debt Tracker'!$P$11&gt;0.01,INDEX('Debt Tracker'!$T$5:$AE$29,7,AC506-1)&gt;0.01))*('Recurring Items'!$H$14&lt;&gt;"Skip")*(DAY(AB506)='Recurring Items'!$F$14)*IFERROR(N('Recurring Items'!$D$14),0)+(IF(AC506=1,'Debt Tracker'!$P$12&gt;0.01,INDEX('Debt Tracker'!$T$5:$AE$29,8,AC506-1)&gt;0.01))*('Recurring Items'!$H$15&lt;&gt;"Skip")*(DAY(AB506)='Recurring Items'!$F$15)*IFERROR(N('Recurring Items'!$D$15),0)+(IF(AC506=1,'Debt Tracker'!$P$13&gt;0.01,INDEX('Debt Tracker'!$T$5:$AE$29,9,AC506-1)&gt;0.01))*('Recurring Items'!$H$16&lt;&gt;"Skip")*(DAY(AB506)='Recurring Items'!$F$16)*IFERROR(N('Recurring Items'!$D$16),0)+(IF(AC506=1,'Debt Tracker'!$P$14&gt;0.01,INDEX('Debt Tracker'!$T$5:$AE$29,10,AC506-1)&gt;0.01))*('Recurring Items'!$H$17&lt;&gt;"Skip")*(DAY(AB506)='Recurring Items'!$F$17)*IFERROR(N('Recurring Items'!$D$17),0)+(IF(AC506=1,'Debt Tracker'!$P$15&gt;0.01,INDEX('Debt Tracker'!$T$5:$AE$29,11,AC506-1)&gt;0.01))*('Recurring Items'!$H$18&lt;&gt;"Skip")*(DAY(AB506)='Recurring Items'!$F$18)*IFERROR(N('Recurring Items'!$D$18),0)+(IF(AC506=1,'Debt Tracker'!$P$16&gt;0.01,INDEX('Debt Tracker'!$T$5:$AE$29,12,AC506-1)&gt;0.01))*('Recurring Items'!$H$19&lt;&gt;"Skip")*(DAY(AB506)='Recurring Items'!$F$19)*IFERROR(N('Recurring Items'!$D$19),0)+(IF(AC506=1,'Debt Tracker'!$P$17&gt;0.01,INDEX('Debt Tracker'!$T$5:$AE$29,13,AC506-1)&gt;0.01))*('Recurring Items'!$H$20&lt;&gt;"Skip")*(DAY(AB506)='Recurring Items'!$F$20)*IFERROR(N('Recurring Items'!$D$20),0)+(IF(AC506=1,'Debt Tracker'!$P$18&gt;0.01,INDEX('Debt Tracker'!$T$5:$AE$29,14,AC506-1)&gt;0.01))*('Recurring Items'!$H$21&lt;&gt;"Skip")*(DAY(AB506)='Recurring Items'!$F$21)*IFERROR(N('Recurring Items'!$D$21),0)+(IF(AC506=1,'Debt Tracker'!$P$19&gt;0.01,INDEX('Debt Tracker'!$T$5:$AE$29,15,AC506-1)&gt;0.01))*('Recurring Items'!$H$22&lt;&gt;"Skip")*(DAY(AB506)='Recurring Items'!$F$22)*IFERROR(N('Recurring Items'!$D$22),0)+(IF(AC506=1,'Debt Tracker'!$P$20&gt;0.01,INDEX('Debt Tracker'!$T$5:$AE$29,16,AC506-1)&gt;0.01))*('Recurring Items'!$H$23&lt;&gt;"Skip")*(DAY(AB506)='Recurring Items'!$F$23)*IFERROR(N('Recurring Items'!$D$23),0)+(IF(AC506=1,'Debt Tracker'!$P$21&gt;0.01,INDEX('Debt Tracker'!$T$5:$AE$29,17,AC506-1)&gt;0.01))*('Recurring Items'!$H$24&lt;&gt;"Skip")*(DAY(AB506)='Recurring Items'!$F$24)*IFERROR(N('Recurring Items'!$D$24),0)+(IF(AC506=1,'Debt Tracker'!$P$22&gt;0.01,INDEX('Debt Tracker'!$T$5:$AE$29,18,AC506-1)&gt;0.01))*('Recurring Items'!$H$25&lt;&gt;"Skip")*(DAY(AB506)='Recurring Items'!$F$25)*IFERROR(N('Recurring Items'!$D$25),0)+(IF(AC506=1,'Debt Tracker'!$P$23&gt;0.01,INDEX('Debt Tracker'!$T$5:$AE$29,19,AC506-1)&gt;0.01))*('Recurring Items'!$H$26&lt;&gt;"Skip")*(DAY(AB506)='Recurring Items'!$F$26)*IFERROR(N('Recurring Items'!$D$26),0)+(IF(AC506=1,'Debt Tracker'!$P$24&gt;0.01,INDEX('Debt Tracker'!$T$5:$AE$29,20,AC506-1)&gt;0.01))*('Recurring Items'!$H$27&lt;&gt;"Skip")*(DAY(AB506)='Recurring Items'!$F$27)*IFERROR(N('Recurring Items'!$D$27),0)+(IF(AC506=1,'Debt Tracker'!$P$25&gt;0.01,INDEX('Debt Tracker'!$T$5:$AE$29,21,AC506-1)&gt;0.01))*('Recurring Items'!$H$28&lt;&gt;"Skip")*(DAY(AB506)='Recurring Items'!$F$28)*IFERROR(N('Recurring Items'!$D$28),0)+(IF(AC506=1,'Debt Tracker'!$P$26&gt;0.01,INDEX('Debt Tracker'!$T$5:$AE$29,22,AC506-1)&gt;0.01))*('Recurring Items'!$H$29&lt;&gt;"Skip")*(DAY(AB506)='Recurring Items'!$F$29)*IFERROR(N('Recurring Items'!$D$29),0)+(IF(AC506=1,'Debt Tracker'!$P$27&gt;0.01,INDEX('Debt Tracker'!$T$5:$AE$29,23,AC506-1)&gt;0.01))*('Recurring Items'!$H$30&lt;&gt;"Skip")*(DAY(AB506)='Recurring Items'!$F$30)*IFERROR(N('Recurring Items'!$D$30),0)+(IF(AC506=1,'Debt Tracker'!$P$28&gt;0.01,INDEX('Debt Tracker'!$T$5:$AE$29,24,AC506-1)&gt;0.01))*('Recurring Items'!$H$31&lt;&gt;"Skip")*(DAY(AB506)='Recurring Items'!$F$31)*IFERROR(N('Recurring Items'!$D$31),0)+(IF(AC506=1,'Debt Tracker'!$P$29&gt;0.01,INDEX('Debt Tracker'!$T$5:$AE$29,25,AC506-1)&gt;0.01))*('Recurring Items'!$H$32&lt;&gt;"Skip")*(DAY(AB506)='Recurring Items'!$F$32)*IFERROR(N('Recurring Items'!$D$32),0)</f>
        <v>0</v>
      </c>
      <c r="AG506" s="1" t="n">
        <f aca="false">AD506-AE506-AF506</f>
        <v>-927.53</v>
      </c>
      <c r="AH506" s="1" t="n">
        <f aca="false">AH505+AG506</f>
        <v>20311.31</v>
      </c>
    </row>
    <row r="507" customFormat="false" ht="15" hidden="false" customHeight="true" outlineLevel="0" collapsed="false">
      <c r="AA507" s="1" t="n">
        <v>307</v>
      </c>
      <c r="AB507" s="145" t="n">
        <f aca="false">$D$3+307</f>
        <v>46450</v>
      </c>
      <c r="AC507" s="1" t="n">
        <f aca="false">MIN(12,1+DATEDIF($D$3,AB507,"M"))</f>
        <v>11</v>
      </c>
      <c r="AD507" s="1" t="n">
        <f aca="false">SUMPRODUCT(('Recurring Items'!$C$6:$C$56="Income")*('Recurring Items'!$H$6:$H$56&lt;&gt;"Skip")*IFERROR(N('Recurring Items'!$D$6:$D$56),0)*(('Recurring Items'!$E$6:$E$56="Monthly")*(DAY(AB507)='Recurring Items'!$F$6:$F$56)+('Recurring Items'!$E$6:$E$56="Bi-weekly")*(WEEKDAY(AB507)=IFERROR(WEEKDAY('Recurring Items'!$G$6:$G$56),0))*(MOD(AB507-IFERROR('Recurring Items'!$G$6:$G$56,0),14)=0)*(AB507&gt;=IFERROR('Recurring Items'!$G$6:$G$56,9000000000))+('Recurring Items'!$E$6:$E$56="Weekly")*(WEEKDAY(AB507)=IFERROR(WEEKDAY('Recurring Items'!$G$6:$G$56),0))*(AB507&gt;=IFERROR('Recurring Items'!$G$6:$G$56,9000000000))+('Recurring Items'!$E$6:$E$56="One-time")*(AB507='Recurring Items'!$G$6:$G$56)))</f>
        <v>0</v>
      </c>
      <c r="AE507" s="1" t="n">
        <f aca="false">SUMPRODUCT(('Recurring Items'!$C$6:$C$56="Expense")*('Recurring Items'!$H$6:$H$56&lt;&gt;"Skip")*IFERROR(N('Recurring Items'!$D$6:$D$56),0)*(('Recurring Items'!$E$6:$E$56="Monthly")*(DAY(AB507)='Recurring Items'!$F$6:$F$56)+('Recurring Items'!$E$6:$E$56="Bi-weekly")*(WEEKDAY(AB507)=IFERROR(WEEKDAY('Recurring Items'!$G$6:$G$56),0))*(MOD(AB507-IFERROR('Recurring Items'!$G$6:$G$56,0),14)=0)*(AB507&gt;=IFERROR('Recurring Items'!$G$6:$G$56,9000000000))+('Recurring Items'!$E$6:$E$56="Weekly")*(WEEKDAY(AB507)=IFERROR(WEEKDAY('Recurring Items'!$G$6:$G$56),0))*(AB507&gt;=IFERROR('Recurring Items'!$G$6:$G$56,9000000000))+('Recurring Items'!$E$6:$E$56="One-time")*(AB507='Recurring Items'!$G$6:$G$56)))</f>
        <v>0</v>
      </c>
      <c r="AF507" s="1" t="n">
        <f aca="false">(IF(AC507=1,'Debt Tracker'!$P$5&gt;0.01,INDEX('Debt Tracker'!$T$5:$AE$29,1,AC507-1)&gt;0.01))*('Recurring Items'!$H$8&lt;&gt;"Skip")*(DAY(AB507)='Recurring Items'!$F$8)*IFERROR(N('Recurring Items'!$D$8),0)+(IF(AC507=1,'Debt Tracker'!$P$6&gt;0.01,INDEX('Debt Tracker'!$T$5:$AE$29,2,AC507-1)&gt;0.01))*('Recurring Items'!$H$9&lt;&gt;"Skip")*(DAY(AB507)='Recurring Items'!$F$9)*IFERROR(N('Recurring Items'!$D$9),0)+(IF(AC507=1,'Debt Tracker'!$P$7&gt;0.01,INDEX('Debt Tracker'!$T$5:$AE$29,3,AC507-1)&gt;0.01))*('Recurring Items'!$H$10&lt;&gt;"Skip")*(DAY(AB507)='Recurring Items'!$F$10)*IFERROR(N('Recurring Items'!$D$10),0)+(IF(AC507=1,'Debt Tracker'!$P$8&gt;0.01,INDEX('Debt Tracker'!$T$5:$AE$29,4,AC507-1)&gt;0.01))*('Recurring Items'!$H$11&lt;&gt;"Skip")*(DAY(AB507)='Recurring Items'!$F$11)*IFERROR(N('Recurring Items'!$D$11),0)+(IF(AC507=1,'Debt Tracker'!$P$9&gt;0.01,INDEX('Debt Tracker'!$T$5:$AE$29,5,AC507-1)&gt;0.01))*('Recurring Items'!$H$12&lt;&gt;"Skip")*(DAY(AB507)='Recurring Items'!$F$12)*IFERROR(N('Recurring Items'!$D$12),0)+(IF(AC507=1,'Debt Tracker'!$P$10&gt;0.01,INDEX('Debt Tracker'!$T$5:$AE$29,6,AC507-1)&gt;0.01))*('Recurring Items'!$H$13&lt;&gt;"Skip")*(DAY(AB507)='Recurring Items'!$F$13)*IFERROR(N('Recurring Items'!$D$13),0)+(IF(AC507=1,'Debt Tracker'!$P$11&gt;0.01,INDEX('Debt Tracker'!$T$5:$AE$29,7,AC507-1)&gt;0.01))*('Recurring Items'!$H$14&lt;&gt;"Skip")*(DAY(AB507)='Recurring Items'!$F$14)*IFERROR(N('Recurring Items'!$D$14),0)+(IF(AC507=1,'Debt Tracker'!$P$12&gt;0.01,INDEX('Debt Tracker'!$T$5:$AE$29,8,AC507-1)&gt;0.01))*('Recurring Items'!$H$15&lt;&gt;"Skip")*(DAY(AB507)='Recurring Items'!$F$15)*IFERROR(N('Recurring Items'!$D$15),0)+(IF(AC507=1,'Debt Tracker'!$P$13&gt;0.01,INDEX('Debt Tracker'!$T$5:$AE$29,9,AC507-1)&gt;0.01))*('Recurring Items'!$H$16&lt;&gt;"Skip")*(DAY(AB507)='Recurring Items'!$F$16)*IFERROR(N('Recurring Items'!$D$16),0)+(IF(AC507=1,'Debt Tracker'!$P$14&gt;0.01,INDEX('Debt Tracker'!$T$5:$AE$29,10,AC507-1)&gt;0.01))*('Recurring Items'!$H$17&lt;&gt;"Skip")*(DAY(AB507)='Recurring Items'!$F$17)*IFERROR(N('Recurring Items'!$D$17),0)+(IF(AC507=1,'Debt Tracker'!$P$15&gt;0.01,INDEX('Debt Tracker'!$T$5:$AE$29,11,AC507-1)&gt;0.01))*('Recurring Items'!$H$18&lt;&gt;"Skip")*(DAY(AB507)='Recurring Items'!$F$18)*IFERROR(N('Recurring Items'!$D$18),0)+(IF(AC507=1,'Debt Tracker'!$P$16&gt;0.01,INDEX('Debt Tracker'!$T$5:$AE$29,12,AC507-1)&gt;0.01))*('Recurring Items'!$H$19&lt;&gt;"Skip")*(DAY(AB507)='Recurring Items'!$F$19)*IFERROR(N('Recurring Items'!$D$19),0)+(IF(AC507=1,'Debt Tracker'!$P$17&gt;0.01,INDEX('Debt Tracker'!$T$5:$AE$29,13,AC507-1)&gt;0.01))*('Recurring Items'!$H$20&lt;&gt;"Skip")*(DAY(AB507)='Recurring Items'!$F$20)*IFERROR(N('Recurring Items'!$D$20),0)+(IF(AC507=1,'Debt Tracker'!$P$18&gt;0.01,INDEX('Debt Tracker'!$T$5:$AE$29,14,AC507-1)&gt;0.01))*('Recurring Items'!$H$21&lt;&gt;"Skip")*(DAY(AB507)='Recurring Items'!$F$21)*IFERROR(N('Recurring Items'!$D$21),0)+(IF(AC507=1,'Debt Tracker'!$P$19&gt;0.01,INDEX('Debt Tracker'!$T$5:$AE$29,15,AC507-1)&gt;0.01))*('Recurring Items'!$H$22&lt;&gt;"Skip")*(DAY(AB507)='Recurring Items'!$F$22)*IFERROR(N('Recurring Items'!$D$22),0)+(IF(AC507=1,'Debt Tracker'!$P$20&gt;0.01,INDEX('Debt Tracker'!$T$5:$AE$29,16,AC507-1)&gt;0.01))*('Recurring Items'!$H$23&lt;&gt;"Skip")*(DAY(AB507)='Recurring Items'!$F$23)*IFERROR(N('Recurring Items'!$D$23),0)+(IF(AC507=1,'Debt Tracker'!$P$21&gt;0.01,INDEX('Debt Tracker'!$T$5:$AE$29,17,AC507-1)&gt;0.01))*('Recurring Items'!$H$24&lt;&gt;"Skip")*(DAY(AB507)='Recurring Items'!$F$24)*IFERROR(N('Recurring Items'!$D$24),0)+(IF(AC507=1,'Debt Tracker'!$P$22&gt;0.01,INDEX('Debt Tracker'!$T$5:$AE$29,18,AC507-1)&gt;0.01))*('Recurring Items'!$H$25&lt;&gt;"Skip")*(DAY(AB507)='Recurring Items'!$F$25)*IFERROR(N('Recurring Items'!$D$25),0)+(IF(AC507=1,'Debt Tracker'!$P$23&gt;0.01,INDEX('Debt Tracker'!$T$5:$AE$29,19,AC507-1)&gt;0.01))*('Recurring Items'!$H$26&lt;&gt;"Skip")*(DAY(AB507)='Recurring Items'!$F$26)*IFERROR(N('Recurring Items'!$D$26),0)+(IF(AC507=1,'Debt Tracker'!$P$24&gt;0.01,INDEX('Debt Tracker'!$T$5:$AE$29,20,AC507-1)&gt;0.01))*('Recurring Items'!$H$27&lt;&gt;"Skip")*(DAY(AB507)='Recurring Items'!$F$27)*IFERROR(N('Recurring Items'!$D$27),0)+(IF(AC507=1,'Debt Tracker'!$P$25&gt;0.01,INDEX('Debt Tracker'!$T$5:$AE$29,21,AC507-1)&gt;0.01))*('Recurring Items'!$H$28&lt;&gt;"Skip")*(DAY(AB507)='Recurring Items'!$F$28)*IFERROR(N('Recurring Items'!$D$28),0)+(IF(AC507=1,'Debt Tracker'!$P$26&gt;0.01,INDEX('Debt Tracker'!$T$5:$AE$29,22,AC507-1)&gt;0.01))*('Recurring Items'!$H$29&lt;&gt;"Skip")*(DAY(AB507)='Recurring Items'!$F$29)*IFERROR(N('Recurring Items'!$D$29),0)+(IF(AC507=1,'Debt Tracker'!$P$27&gt;0.01,INDEX('Debt Tracker'!$T$5:$AE$29,23,AC507-1)&gt;0.01))*('Recurring Items'!$H$30&lt;&gt;"Skip")*(DAY(AB507)='Recurring Items'!$F$30)*IFERROR(N('Recurring Items'!$D$30),0)+(IF(AC507=1,'Debt Tracker'!$P$28&gt;0.01,INDEX('Debt Tracker'!$T$5:$AE$29,24,AC507-1)&gt;0.01))*('Recurring Items'!$H$31&lt;&gt;"Skip")*(DAY(AB507)='Recurring Items'!$F$31)*IFERROR(N('Recurring Items'!$D$31),0)+(IF(AC507=1,'Debt Tracker'!$P$29&gt;0.01,INDEX('Debt Tracker'!$T$5:$AE$29,25,AC507-1)&gt;0.01))*('Recurring Items'!$H$32&lt;&gt;"Skip")*(DAY(AB507)='Recurring Items'!$F$32)*IFERROR(N('Recurring Items'!$D$32),0)</f>
        <v>0</v>
      </c>
      <c r="AG507" s="1" t="n">
        <f aca="false">AD507-AE507-AF507</f>
        <v>0</v>
      </c>
      <c r="AH507" s="1" t="n">
        <f aca="false">AH506+AG507</f>
        <v>20311.31</v>
      </c>
    </row>
    <row r="508" customFormat="false" ht="15" hidden="false" customHeight="true" outlineLevel="0" collapsed="false">
      <c r="AA508" s="1" t="n">
        <v>308</v>
      </c>
      <c r="AB508" s="145" t="n">
        <f aca="false">$D$3+308</f>
        <v>46451</v>
      </c>
      <c r="AC508" s="1" t="n">
        <f aca="false">MIN(12,1+DATEDIF($D$3,AB508,"M"))</f>
        <v>11</v>
      </c>
      <c r="AD508" s="1" t="n">
        <f aca="false">SUMPRODUCT(('Recurring Items'!$C$6:$C$56="Income")*('Recurring Items'!$H$6:$H$56&lt;&gt;"Skip")*IFERROR(N('Recurring Items'!$D$6:$D$56),0)*(('Recurring Items'!$E$6:$E$56="Monthly")*(DAY(AB508)='Recurring Items'!$F$6:$F$56)+('Recurring Items'!$E$6:$E$56="Bi-weekly")*(WEEKDAY(AB508)=IFERROR(WEEKDAY('Recurring Items'!$G$6:$G$56),0))*(MOD(AB508-IFERROR('Recurring Items'!$G$6:$G$56,0),14)=0)*(AB508&gt;=IFERROR('Recurring Items'!$G$6:$G$56,9000000000))+('Recurring Items'!$E$6:$E$56="Weekly")*(WEEKDAY(AB508)=IFERROR(WEEKDAY('Recurring Items'!$G$6:$G$56),0))*(AB508&gt;=IFERROR('Recurring Items'!$G$6:$G$56,9000000000))+('Recurring Items'!$E$6:$E$56="One-time")*(AB508='Recurring Items'!$G$6:$G$56)))</f>
        <v>3819.79</v>
      </c>
      <c r="AE508" s="1" t="n">
        <f aca="false">SUMPRODUCT(('Recurring Items'!$C$6:$C$56="Expense")*('Recurring Items'!$H$6:$H$56&lt;&gt;"Skip")*IFERROR(N('Recurring Items'!$D$6:$D$56),0)*(('Recurring Items'!$E$6:$E$56="Monthly")*(DAY(AB508)='Recurring Items'!$F$6:$F$56)+('Recurring Items'!$E$6:$E$56="Bi-weekly")*(WEEKDAY(AB508)=IFERROR(WEEKDAY('Recurring Items'!$G$6:$G$56),0))*(MOD(AB508-IFERROR('Recurring Items'!$G$6:$G$56,0),14)=0)*(AB508&gt;=IFERROR('Recurring Items'!$G$6:$G$56,9000000000))+('Recurring Items'!$E$6:$E$56="Weekly")*(WEEKDAY(AB508)=IFERROR(WEEKDAY('Recurring Items'!$G$6:$G$56),0))*(AB508&gt;=IFERROR('Recurring Items'!$G$6:$G$56,9000000000))+('Recurring Items'!$E$6:$E$56="One-time")*(AB508='Recurring Items'!$G$6:$G$56)))</f>
        <v>511.01</v>
      </c>
      <c r="AF508" s="1" t="n">
        <f aca="false">(IF(AC508=1,'Debt Tracker'!$P$5&gt;0.01,INDEX('Debt Tracker'!$T$5:$AE$29,1,AC508-1)&gt;0.01))*('Recurring Items'!$H$8&lt;&gt;"Skip")*(DAY(AB508)='Recurring Items'!$F$8)*IFERROR(N('Recurring Items'!$D$8),0)+(IF(AC508=1,'Debt Tracker'!$P$6&gt;0.01,INDEX('Debt Tracker'!$T$5:$AE$29,2,AC508-1)&gt;0.01))*('Recurring Items'!$H$9&lt;&gt;"Skip")*(DAY(AB508)='Recurring Items'!$F$9)*IFERROR(N('Recurring Items'!$D$9),0)+(IF(AC508=1,'Debt Tracker'!$P$7&gt;0.01,INDEX('Debt Tracker'!$T$5:$AE$29,3,AC508-1)&gt;0.01))*('Recurring Items'!$H$10&lt;&gt;"Skip")*(DAY(AB508)='Recurring Items'!$F$10)*IFERROR(N('Recurring Items'!$D$10),0)+(IF(AC508=1,'Debt Tracker'!$P$8&gt;0.01,INDEX('Debt Tracker'!$T$5:$AE$29,4,AC508-1)&gt;0.01))*('Recurring Items'!$H$11&lt;&gt;"Skip")*(DAY(AB508)='Recurring Items'!$F$11)*IFERROR(N('Recurring Items'!$D$11),0)+(IF(AC508=1,'Debt Tracker'!$P$9&gt;0.01,INDEX('Debt Tracker'!$T$5:$AE$29,5,AC508-1)&gt;0.01))*('Recurring Items'!$H$12&lt;&gt;"Skip")*(DAY(AB508)='Recurring Items'!$F$12)*IFERROR(N('Recurring Items'!$D$12),0)+(IF(AC508=1,'Debt Tracker'!$P$10&gt;0.01,INDEX('Debt Tracker'!$T$5:$AE$29,6,AC508-1)&gt;0.01))*('Recurring Items'!$H$13&lt;&gt;"Skip")*(DAY(AB508)='Recurring Items'!$F$13)*IFERROR(N('Recurring Items'!$D$13),0)+(IF(AC508=1,'Debt Tracker'!$P$11&gt;0.01,INDEX('Debt Tracker'!$T$5:$AE$29,7,AC508-1)&gt;0.01))*('Recurring Items'!$H$14&lt;&gt;"Skip")*(DAY(AB508)='Recurring Items'!$F$14)*IFERROR(N('Recurring Items'!$D$14),0)+(IF(AC508=1,'Debt Tracker'!$P$12&gt;0.01,INDEX('Debt Tracker'!$T$5:$AE$29,8,AC508-1)&gt;0.01))*('Recurring Items'!$H$15&lt;&gt;"Skip")*(DAY(AB508)='Recurring Items'!$F$15)*IFERROR(N('Recurring Items'!$D$15),0)+(IF(AC508=1,'Debt Tracker'!$P$13&gt;0.01,INDEX('Debt Tracker'!$T$5:$AE$29,9,AC508-1)&gt;0.01))*('Recurring Items'!$H$16&lt;&gt;"Skip")*(DAY(AB508)='Recurring Items'!$F$16)*IFERROR(N('Recurring Items'!$D$16),0)+(IF(AC508=1,'Debt Tracker'!$P$14&gt;0.01,INDEX('Debt Tracker'!$T$5:$AE$29,10,AC508-1)&gt;0.01))*('Recurring Items'!$H$17&lt;&gt;"Skip")*(DAY(AB508)='Recurring Items'!$F$17)*IFERROR(N('Recurring Items'!$D$17),0)+(IF(AC508=1,'Debt Tracker'!$P$15&gt;0.01,INDEX('Debt Tracker'!$T$5:$AE$29,11,AC508-1)&gt;0.01))*('Recurring Items'!$H$18&lt;&gt;"Skip")*(DAY(AB508)='Recurring Items'!$F$18)*IFERROR(N('Recurring Items'!$D$18),0)+(IF(AC508=1,'Debt Tracker'!$P$16&gt;0.01,INDEX('Debt Tracker'!$T$5:$AE$29,12,AC508-1)&gt;0.01))*('Recurring Items'!$H$19&lt;&gt;"Skip")*(DAY(AB508)='Recurring Items'!$F$19)*IFERROR(N('Recurring Items'!$D$19),0)+(IF(AC508=1,'Debt Tracker'!$P$17&gt;0.01,INDEX('Debt Tracker'!$T$5:$AE$29,13,AC508-1)&gt;0.01))*('Recurring Items'!$H$20&lt;&gt;"Skip")*(DAY(AB508)='Recurring Items'!$F$20)*IFERROR(N('Recurring Items'!$D$20),0)+(IF(AC508=1,'Debt Tracker'!$P$18&gt;0.01,INDEX('Debt Tracker'!$T$5:$AE$29,14,AC508-1)&gt;0.01))*('Recurring Items'!$H$21&lt;&gt;"Skip")*(DAY(AB508)='Recurring Items'!$F$21)*IFERROR(N('Recurring Items'!$D$21),0)+(IF(AC508=1,'Debt Tracker'!$P$19&gt;0.01,INDEX('Debt Tracker'!$T$5:$AE$29,15,AC508-1)&gt;0.01))*('Recurring Items'!$H$22&lt;&gt;"Skip")*(DAY(AB508)='Recurring Items'!$F$22)*IFERROR(N('Recurring Items'!$D$22),0)+(IF(AC508=1,'Debt Tracker'!$P$20&gt;0.01,INDEX('Debt Tracker'!$T$5:$AE$29,16,AC508-1)&gt;0.01))*('Recurring Items'!$H$23&lt;&gt;"Skip")*(DAY(AB508)='Recurring Items'!$F$23)*IFERROR(N('Recurring Items'!$D$23),0)+(IF(AC508=1,'Debt Tracker'!$P$21&gt;0.01,INDEX('Debt Tracker'!$T$5:$AE$29,17,AC508-1)&gt;0.01))*('Recurring Items'!$H$24&lt;&gt;"Skip")*(DAY(AB508)='Recurring Items'!$F$24)*IFERROR(N('Recurring Items'!$D$24),0)+(IF(AC508=1,'Debt Tracker'!$P$22&gt;0.01,INDEX('Debt Tracker'!$T$5:$AE$29,18,AC508-1)&gt;0.01))*('Recurring Items'!$H$25&lt;&gt;"Skip")*(DAY(AB508)='Recurring Items'!$F$25)*IFERROR(N('Recurring Items'!$D$25),0)+(IF(AC508=1,'Debt Tracker'!$P$23&gt;0.01,INDEX('Debt Tracker'!$T$5:$AE$29,19,AC508-1)&gt;0.01))*('Recurring Items'!$H$26&lt;&gt;"Skip")*(DAY(AB508)='Recurring Items'!$F$26)*IFERROR(N('Recurring Items'!$D$26),0)+(IF(AC508=1,'Debt Tracker'!$P$24&gt;0.01,INDEX('Debt Tracker'!$T$5:$AE$29,20,AC508-1)&gt;0.01))*('Recurring Items'!$H$27&lt;&gt;"Skip")*(DAY(AB508)='Recurring Items'!$F$27)*IFERROR(N('Recurring Items'!$D$27),0)+(IF(AC508=1,'Debt Tracker'!$P$25&gt;0.01,INDEX('Debt Tracker'!$T$5:$AE$29,21,AC508-1)&gt;0.01))*('Recurring Items'!$H$28&lt;&gt;"Skip")*(DAY(AB508)='Recurring Items'!$F$28)*IFERROR(N('Recurring Items'!$D$28),0)+(IF(AC508=1,'Debt Tracker'!$P$26&gt;0.01,INDEX('Debt Tracker'!$T$5:$AE$29,22,AC508-1)&gt;0.01))*('Recurring Items'!$H$29&lt;&gt;"Skip")*(DAY(AB508)='Recurring Items'!$F$29)*IFERROR(N('Recurring Items'!$D$29),0)+(IF(AC508=1,'Debt Tracker'!$P$27&gt;0.01,INDEX('Debt Tracker'!$T$5:$AE$29,23,AC508-1)&gt;0.01))*('Recurring Items'!$H$30&lt;&gt;"Skip")*(DAY(AB508)='Recurring Items'!$F$30)*IFERROR(N('Recurring Items'!$D$30),0)+(IF(AC508=1,'Debt Tracker'!$P$28&gt;0.01,INDEX('Debt Tracker'!$T$5:$AE$29,24,AC508-1)&gt;0.01))*('Recurring Items'!$H$31&lt;&gt;"Skip")*(DAY(AB508)='Recurring Items'!$F$31)*IFERROR(N('Recurring Items'!$D$31),0)+(IF(AC508=1,'Debt Tracker'!$P$29&gt;0.01,INDEX('Debt Tracker'!$T$5:$AE$29,25,AC508-1)&gt;0.01))*('Recurring Items'!$H$32&lt;&gt;"Skip")*(DAY(AB508)='Recurring Items'!$F$32)*IFERROR(N('Recurring Items'!$D$32),0)</f>
        <v>0</v>
      </c>
      <c r="AG508" s="1" t="n">
        <f aca="false">AD508-AE508-AF508</f>
        <v>3308.78</v>
      </c>
      <c r="AH508" s="1" t="n">
        <f aca="false">AH507+AG508</f>
        <v>23620.09</v>
      </c>
    </row>
    <row r="509" customFormat="false" ht="15" hidden="false" customHeight="true" outlineLevel="0" collapsed="false">
      <c r="AA509" s="1" t="n">
        <v>309</v>
      </c>
      <c r="AB509" s="145" t="n">
        <f aca="false">$D$3+309</f>
        <v>46452</v>
      </c>
      <c r="AC509" s="1" t="n">
        <f aca="false">MIN(12,1+DATEDIF($D$3,AB509,"M"))</f>
        <v>11</v>
      </c>
      <c r="AD509" s="1" t="n">
        <f aca="false">SUMPRODUCT(('Recurring Items'!$C$6:$C$56="Income")*('Recurring Items'!$H$6:$H$56&lt;&gt;"Skip")*IFERROR(N('Recurring Items'!$D$6:$D$56),0)*(('Recurring Items'!$E$6:$E$56="Monthly")*(DAY(AB509)='Recurring Items'!$F$6:$F$56)+('Recurring Items'!$E$6:$E$56="Bi-weekly")*(WEEKDAY(AB509)=IFERROR(WEEKDAY('Recurring Items'!$G$6:$G$56),0))*(MOD(AB509-IFERROR('Recurring Items'!$G$6:$G$56,0),14)=0)*(AB509&gt;=IFERROR('Recurring Items'!$G$6:$G$56,9000000000))+('Recurring Items'!$E$6:$E$56="Weekly")*(WEEKDAY(AB509)=IFERROR(WEEKDAY('Recurring Items'!$G$6:$G$56),0))*(AB509&gt;=IFERROR('Recurring Items'!$G$6:$G$56,9000000000))+('Recurring Items'!$E$6:$E$56="One-time")*(AB509='Recurring Items'!$G$6:$G$56)))</f>
        <v>0</v>
      </c>
      <c r="AE509" s="1" t="n">
        <f aca="false">SUMPRODUCT(('Recurring Items'!$C$6:$C$56="Expense")*('Recurring Items'!$H$6:$H$56&lt;&gt;"Skip")*IFERROR(N('Recurring Items'!$D$6:$D$56),0)*(('Recurring Items'!$E$6:$E$56="Monthly")*(DAY(AB509)='Recurring Items'!$F$6:$F$56)+('Recurring Items'!$E$6:$E$56="Bi-weekly")*(WEEKDAY(AB509)=IFERROR(WEEKDAY('Recurring Items'!$G$6:$G$56),0))*(MOD(AB509-IFERROR('Recurring Items'!$G$6:$G$56,0),14)=0)*(AB509&gt;=IFERROR('Recurring Items'!$G$6:$G$56,9000000000))+('Recurring Items'!$E$6:$E$56="Weekly")*(WEEKDAY(AB509)=IFERROR(WEEKDAY('Recurring Items'!$G$6:$G$56),0))*(AB509&gt;=IFERROR('Recurring Items'!$G$6:$G$56,9000000000))+('Recurring Items'!$E$6:$E$56="One-time")*(AB509='Recurring Items'!$G$6:$G$56)))</f>
        <v>651.55</v>
      </c>
      <c r="AF509" s="1" t="n">
        <f aca="false">(IF(AC509=1,'Debt Tracker'!$P$5&gt;0.01,INDEX('Debt Tracker'!$T$5:$AE$29,1,AC509-1)&gt;0.01))*('Recurring Items'!$H$8&lt;&gt;"Skip")*(DAY(AB509)='Recurring Items'!$F$8)*IFERROR(N('Recurring Items'!$D$8),0)+(IF(AC509=1,'Debt Tracker'!$P$6&gt;0.01,INDEX('Debt Tracker'!$T$5:$AE$29,2,AC509-1)&gt;0.01))*('Recurring Items'!$H$9&lt;&gt;"Skip")*(DAY(AB509)='Recurring Items'!$F$9)*IFERROR(N('Recurring Items'!$D$9),0)+(IF(AC509=1,'Debt Tracker'!$P$7&gt;0.01,INDEX('Debt Tracker'!$T$5:$AE$29,3,AC509-1)&gt;0.01))*('Recurring Items'!$H$10&lt;&gt;"Skip")*(DAY(AB509)='Recurring Items'!$F$10)*IFERROR(N('Recurring Items'!$D$10),0)+(IF(AC509=1,'Debt Tracker'!$P$8&gt;0.01,INDEX('Debt Tracker'!$T$5:$AE$29,4,AC509-1)&gt;0.01))*('Recurring Items'!$H$11&lt;&gt;"Skip")*(DAY(AB509)='Recurring Items'!$F$11)*IFERROR(N('Recurring Items'!$D$11),0)+(IF(AC509=1,'Debt Tracker'!$P$9&gt;0.01,INDEX('Debt Tracker'!$T$5:$AE$29,5,AC509-1)&gt;0.01))*('Recurring Items'!$H$12&lt;&gt;"Skip")*(DAY(AB509)='Recurring Items'!$F$12)*IFERROR(N('Recurring Items'!$D$12),0)+(IF(AC509=1,'Debt Tracker'!$P$10&gt;0.01,INDEX('Debt Tracker'!$T$5:$AE$29,6,AC509-1)&gt;0.01))*('Recurring Items'!$H$13&lt;&gt;"Skip")*(DAY(AB509)='Recurring Items'!$F$13)*IFERROR(N('Recurring Items'!$D$13),0)+(IF(AC509=1,'Debt Tracker'!$P$11&gt;0.01,INDEX('Debt Tracker'!$T$5:$AE$29,7,AC509-1)&gt;0.01))*('Recurring Items'!$H$14&lt;&gt;"Skip")*(DAY(AB509)='Recurring Items'!$F$14)*IFERROR(N('Recurring Items'!$D$14),0)+(IF(AC509=1,'Debt Tracker'!$P$12&gt;0.01,INDEX('Debt Tracker'!$T$5:$AE$29,8,AC509-1)&gt;0.01))*('Recurring Items'!$H$15&lt;&gt;"Skip")*(DAY(AB509)='Recurring Items'!$F$15)*IFERROR(N('Recurring Items'!$D$15),0)+(IF(AC509=1,'Debt Tracker'!$P$13&gt;0.01,INDEX('Debt Tracker'!$T$5:$AE$29,9,AC509-1)&gt;0.01))*('Recurring Items'!$H$16&lt;&gt;"Skip")*(DAY(AB509)='Recurring Items'!$F$16)*IFERROR(N('Recurring Items'!$D$16),0)+(IF(AC509=1,'Debt Tracker'!$P$14&gt;0.01,INDEX('Debt Tracker'!$T$5:$AE$29,10,AC509-1)&gt;0.01))*('Recurring Items'!$H$17&lt;&gt;"Skip")*(DAY(AB509)='Recurring Items'!$F$17)*IFERROR(N('Recurring Items'!$D$17),0)+(IF(AC509=1,'Debt Tracker'!$P$15&gt;0.01,INDEX('Debt Tracker'!$T$5:$AE$29,11,AC509-1)&gt;0.01))*('Recurring Items'!$H$18&lt;&gt;"Skip")*(DAY(AB509)='Recurring Items'!$F$18)*IFERROR(N('Recurring Items'!$D$18),0)+(IF(AC509=1,'Debt Tracker'!$P$16&gt;0.01,INDEX('Debt Tracker'!$T$5:$AE$29,12,AC509-1)&gt;0.01))*('Recurring Items'!$H$19&lt;&gt;"Skip")*(DAY(AB509)='Recurring Items'!$F$19)*IFERROR(N('Recurring Items'!$D$19),0)+(IF(AC509=1,'Debt Tracker'!$P$17&gt;0.01,INDEX('Debt Tracker'!$T$5:$AE$29,13,AC509-1)&gt;0.01))*('Recurring Items'!$H$20&lt;&gt;"Skip")*(DAY(AB509)='Recurring Items'!$F$20)*IFERROR(N('Recurring Items'!$D$20),0)+(IF(AC509=1,'Debt Tracker'!$P$18&gt;0.01,INDEX('Debt Tracker'!$T$5:$AE$29,14,AC509-1)&gt;0.01))*('Recurring Items'!$H$21&lt;&gt;"Skip")*(DAY(AB509)='Recurring Items'!$F$21)*IFERROR(N('Recurring Items'!$D$21),0)+(IF(AC509=1,'Debt Tracker'!$P$19&gt;0.01,INDEX('Debt Tracker'!$T$5:$AE$29,15,AC509-1)&gt;0.01))*('Recurring Items'!$H$22&lt;&gt;"Skip")*(DAY(AB509)='Recurring Items'!$F$22)*IFERROR(N('Recurring Items'!$D$22),0)+(IF(AC509=1,'Debt Tracker'!$P$20&gt;0.01,INDEX('Debt Tracker'!$T$5:$AE$29,16,AC509-1)&gt;0.01))*('Recurring Items'!$H$23&lt;&gt;"Skip")*(DAY(AB509)='Recurring Items'!$F$23)*IFERROR(N('Recurring Items'!$D$23),0)+(IF(AC509=1,'Debt Tracker'!$P$21&gt;0.01,INDEX('Debt Tracker'!$T$5:$AE$29,17,AC509-1)&gt;0.01))*('Recurring Items'!$H$24&lt;&gt;"Skip")*(DAY(AB509)='Recurring Items'!$F$24)*IFERROR(N('Recurring Items'!$D$24),0)+(IF(AC509=1,'Debt Tracker'!$P$22&gt;0.01,INDEX('Debt Tracker'!$T$5:$AE$29,18,AC509-1)&gt;0.01))*('Recurring Items'!$H$25&lt;&gt;"Skip")*(DAY(AB509)='Recurring Items'!$F$25)*IFERROR(N('Recurring Items'!$D$25),0)+(IF(AC509=1,'Debt Tracker'!$P$23&gt;0.01,INDEX('Debt Tracker'!$T$5:$AE$29,19,AC509-1)&gt;0.01))*('Recurring Items'!$H$26&lt;&gt;"Skip")*(DAY(AB509)='Recurring Items'!$F$26)*IFERROR(N('Recurring Items'!$D$26),0)+(IF(AC509=1,'Debt Tracker'!$P$24&gt;0.01,INDEX('Debt Tracker'!$T$5:$AE$29,20,AC509-1)&gt;0.01))*('Recurring Items'!$H$27&lt;&gt;"Skip")*(DAY(AB509)='Recurring Items'!$F$27)*IFERROR(N('Recurring Items'!$D$27),0)+(IF(AC509=1,'Debt Tracker'!$P$25&gt;0.01,INDEX('Debt Tracker'!$T$5:$AE$29,21,AC509-1)&gt;0.01))*('Recurring Items'!$H$28&lt;&gt;"Skip")*(DAY(AB509)='Recurring Items'!$F$28)*IFERROR(N('Recurring Items'!$D$28),0)+(IF(AC509=1,'Debt Tracker'!$P$26&gt;0.01,INDEX('Debt Tracker'!$T$5:$AE$29,22,AC509-1)&gt;0.01))*('Recurring Items'!$H$29&lt;&gt;"Skip")*(DAY(AB509)='Recurring Items'!$F$29)*IFERROR(N('Recurring Items'!$D$29),0)+(IF(AC509=1,'Debt Tracker'!$P$27&gt;0.01,INDEX('Debt Tracker'!$T$5:$AE$29,23,AC509-1)&gt;0.01))*('Recurring Items'!$H$30&lt;&gt;"Skip")*(DAY(AB509)='Recurring Items'!$F$30)*IFERROR(N('Recurring Items'!$D$30),0)+(IF(AC509=1,'Debt Tracker'!$P$28&gt;0.01,INDEX('Debt Tracker'!$T$5:$AE$29,24,AC509-1)&gt;0.01))*('Recurring Items'!$H$31&lt;&gt;"Skip")*(DAY(AB509)='Recurring Items'!$F$31)*IFERROR(N('Recurring Items'!$D$31),0)+(IF(AC509=1,'Debt Tracker'!$P$29&gt;0.01,INDEX('Debt Tracker'!$T$5:$AE$29,25,AC509-1)&gt;0.01))*('Recurring Items'!$H$32&lt;&gt;"Skip")*(DAY(AB509)='Recurring Items'!$F$32)*IFERROR(N('Recurring Items'!$D$32),0)</f>
        <v>0</v>
      </c>
      <c r="AG509" s="1" t="n">
        <f aca="false">AD509-AE509-AF509</f>
        <v>-651.55</v>
      </c>
      <c r="AH509" s="1" t="n">
        <f aca="false">AH508+AG509</f>
        <v>22968.54</v>
      </c>
    </row>
    <row r="510" customFormat="false" ht="15" hidden="false" customHeight="true" outlineLevel="0" collapsed="false">
      <c r="AA510" s="1" t="n">
        <v>310</v>
      </c>
      <c r="AB510" s="145" t="n">
        <f aca="false">$D$3+310</f>
        <v>46453</v>
      </c>
      <c r="AC510" s="1" t="n">
        <f aca="false">MIN(12,1+DATEDIF($D$3,AB510,"M"))</f>
        <v>11</v>
      </c>
      <c r="AD510" s="1" t="n">
        <f aca="false">SUMPRODUCT(('Recurring Items'!$C$6:$C$56="Income")*('Recurring Items'!$H$6:$H$56&lt;&gt;"Skip")*IFERROR(N('Recurring Items'!$D$6:$D$56),0)*(('Recurring Items'!$E$6:$E$56="Monthly")*(DAY(AB510)='Recurring Items'!$F$6:$F$56)+('Recurring Items'!$E$6:$E$56="Bi-weekly")*(WEEKDAY(AB510)=IFERROR(WEEKDAY('Recurring Items'!$G$6:$G$56),0))*(MOD(AB510-IFERROR('Recurring Items'!$G$6:$G$56,0),14)=0)*(AB510&gt;=IFERROR('Recurring Items'!$G$6:$G$56,9000000000))+('Recurring Items'!$E$6:$E$56="Weekly")*(WEEKDAY(AB510)=IFERROR(WEEKDAY('Recurring Items'!$G$6:$G$56),0))*(AB510&gt;=IFERROR('Recurring Items'!$G$6:$G$56,9000000000))+('Recurring Items'!$E$6:$E$56="One-time")*(AB510='Recurring Items'!$G$6:$G$56)))</f>
        <v>0</v>
      </c>
      <c r="AE510" s="1" t="n">
        <f aca="false">SUMPRODUCT(('Recurring Items'!$C$6:$C$56="Expense")*('Recurring Items'!$H$6:$H$56&lt;&gt;"Skip")*IFERROR(N('Recurring Items'!$D$6:$D$56),0)*(('Recurring Items'!$E$6:$E$56="Monthly")*(DAY(AB510)='Recurring Items'!$F$6:$F$56)+('Recurring Items'!$E$6:$E$56="Bi-weekly")*(WEEKDAY(AB510)=IFERROR(WEEKDAY('Recurring Items'!$G$6:$G$56),0))*(MOD(AB510-IFERROR('Recurring Items'!$G$6:$G$56,0),14)=0)*(AB510&gt;=IFERROR('Recurring Items'!$G$6:$G$56,9000000000))+('Recurring Items'!$E$6:$E$56="Weekly")*(WEEKDAY(AB510)=IFERROR(WEEKDAY('Recurring Items'!$G$6:$G$56),0))*(AB510&gt;=IFERROR('Recurring Items'!$G$6:$G$56,9000000000))+('Recurring Items'!$E$6:$E$56="One-time")*(AB510='Recurring Items'!$G$6:$G$56)))</f>
        <v>672.8</v>
      </c>
      <c r="AF510" s="1" t="n">
        <f aca="false">(IF(AC510=1,'Debt Tracker'!$P$5&gt;0.01,INDEX('Debt Tracker'!$T$5:$AE$29,1,AC510-1)&gt;0.01))*('Recurring Items'!$H$8&lt;&gt;"Skip")*(DAY(AB510)='Recurring Items'!$F$8)*IFERROR(N('Recurring Items'!$D$8),0)+(IF(AC510=1,'Debt Tracker'!$P$6&gt;0.01,INDEX('Debt Tracker'!$T$5:$AE$29,2,AC510-1)&gt;0.01))*('Recurring Items'!$H$9&lt;&gt;"Skip")*(DAY(AB510)='Recurring Items'!$F$9)*IFERROR(N('Recurring Items'!$D$9),0)+(IF(AC510=1,'Debt Tracker'!$P$7&gt;0.01,INDEX('Debt Tracker'!$T$5:$AE$29,3,AC510-1)&gt;0.01))*('Recurring Items'!$H$10&lt;&gt;"Skip")*(DAY(AB510)='Recurring Items'!$F$10)*IFERROR(N('Recurring Items'!$D$10),0)+(IF(AC510=1,'Debt Tracker'!$P$8&gt;0.01,INDEX('Debt Tracker'!$T$5:$AE$29,4,AC510-1)&gt;0.01))*('Recurring Items'!$H$11&lt;&gt;"Skip")*(DAY(AB510)='Recurring Items'!$F$11)*IFERROR(N('Recurring Items'!$D$11),0)+(IF(AC510=1,'Debt Tracker'!$P$9&gt;0.01,INDEX('Debt Tracker'!$T$5:$AE$29,5,AC510-1)&gt;0.01))*('Recurring Items'!$H$12&lt;&gt;"Skip")*(DAY(AB510)='Recurring Items'!$F$12)*IFERROR(N('Recurring Items'!$D$12),0)+(IF(AC510=1,'Debt Tracker'!$P$10&gt;0.01,INDEX('Debt Tracker'!$T$5:$AE$29,6,AC510-1)&gt;0.01))*('Recurring Items'!$H$13&lt;&gt;"Skip")*(DAY(AB510)='Recurring Items'!$F$13)*IFERROR(N('Recurring Items'!$D$13),0)+(IF(AC510=1,'Debt Tracker'!$P$11&gt;0.01,INDEX('Debt Tracker'!$T$5:$AE$29,7,AC510-1)&gt;0.01))*('Recurring Items'!$H$14&lt;&gt;"Skip")*(DAY(AB510)='Recurring Items'!$F$14)*IFERROR(N('Recurring Items'!$D$14),0)+(IF(AC510=1,'Debt Tracker'!$P$12&gt;0.01,INDEX('Debt Tracker'!$T$5:$AE$29,8,AC510-1)&gt;0.01))*('Recurring Items'!$H$15&lt;&gt;"Skip")*(DAY(AB510)='Recurring Items'!$F$15)*IFERROR(N('Recurring Items'!$D$15),0)+(IF(AC510=1,'Debt Tracker'!$P$13&gt;0.01,INDEX('Debt Tracker'!$T$5:$AE$29,9,AC510-1)&gt;0.01))*('Recurring Items'!$H$16&lt;&gt;"Skip")*(DAY(AB510)='Recurring Items'!$F$16)*IFERROR(N('Recurring Items'!$D$16),0)+(IF(AC510=1,'Debt Tracker'!$P$14&gt;0.01,INDEX('Debt Tracker'!$T$5:$AE$29,10,AC510-1)&gt;0.01))*('Recurring Items'!$H$17&lt;&gt;"Skip")*(DAY(AB510)='Recurring Items'!$F$17)*IFERROR(N('Recurring Items'!$D$17),0)+(IF(AC510=1,'Debt Tracker'!$P$15&gt;0.01,INDEX('Debt Tracker'!$T$5:$AE$29,11,AC510-1)&gt;0.01))*('Recurring Items'!$H$18&lt;&gt;"Skip")*(DAY(AB510)='Recurring Items'!$F$18)*IFERROR(N('Recurring Items'!$D$18),0)+(IF(AC510=1,'Debt Tracker'!$P$16&gt;0.01,INDEX('Debt Tracker'!$T$5:$AE$29,12,AC510-1)&gt;0.01))*('Recurring Items'!$H$19&lt;&gt;"Skip")*(DAY(AB510)='Recurring Items'!$F$19)*IFERROR(N('Recurring Items'!$D$19),0)+(IF(AC510=1,'Debt Tracker'!$P$17&gt;0.01,INDEX('Debt Tracker'!$T$5:$AE$29,13,AC510-1)&gt;0.01))*('Recurring Items'!$H$20&lt;&gt;"Skip")*(DAY(AB510)='Recurring Items'!$F$20)*IFERROR(N('Recurring Items'!$D$20),0)+(IF(AC510=1,'Debt Tracker'!$P$18&gt;0.01,INDEX('Debt Tracker'!$T$5:$AE$29,14,AC510-1)&gt;0.01))*('Recurring Items'!$H$21&lt;&gt;"Skip")*(DAY(AB510)='Recurring Items'!$F$21)*IFERROR(N('Recurring Items'!$D$21),0)+(IF(AC510=1,'Debt Tracker'!$P$19&gt;0.01,INDEX('Debt Tracker'!$T$5:$AE$29,15,AC510-1)&gt;0.01))*('Recurring Items'!$H$22&lt;&gt;"Skip")*(DAY(AB510)='Recurring Items'!$F$22)*IFERROR(N('Recurring Items'!$D$22),0)+(IF(AC510=1,'Debt Tracker'!$P$20&gt;0.01,INDEX('Debt Tracker'!$T$5:$AE$29,16,AC510-1)&gt;0.01))*('Recurring Items'!$H$23&lt;&gt;"Skip")*(DAY(AB510)='Recurring Items'!$F$23)*IFERROR(N('Recurring Items'!$D$23),0)+(IF(AC510=1,'Debt Tracker'!$P$21&gt;0.01,INDEX('Debt Tracker'!$T$5:$AE$29,17,AC510-1)&gt;0.01))*('Recurring Items'!$H$24&lt;&gt;"Skip")*(DAY(AB510)='Recurring Items'!$F$24)*IFERROR(N('Recurring Items'!$D$24),0)+(IF(AC510=1,'Debt Tracker'!$P$22&gt;0.01,INDEX('Debt Tracker'!$T$5:$AE$29,18,AC510-1)&gt;0.01))*('Recurring Items'!$H$25&lt;&gt;"Skip")*(DAY(AB510)='Recurring Items'!$F$25)*IFERROR(N('Recurring Items'!$D$25),0)+(IF(AC510=1,'Debt Tracker'!$P$23&gt;0.01,INDEX('Debt Tracker'!$T$5:$AE$29,19,AC510-1)&gt;0.01))*('Recurring Items'!$H$26&lt;&gt;"Skip")*(DAY(AB510)='Recurring Items'!$F$26)*IFERROR(N('Recurring Items'!$D$26),0)+(IF(AC510=1,'Debt Tracker'!$P$24&gt;0.01,INDEX('Debt Tracker'!$T$5:$AE$29,20,AC510-1)&gt;0.01))*('Recurring Items'!$H$27&lt;&gt;"Skip")*(DAY(AB510)='Recurring Items'!$F$27)*IFERROR(N('Recurring Items'!$D$27),0)+(IF(AC510=1,'Debt Tracker'!$P$25&gt;0.01,INDEX('Debt Tracker'!$T$5:$AE$29,21,AC510-1)&gt;0.01))*('Recurring Items'!$H$28&lt;&gt;"Skip")*(DAY(AB510)='Recurring Items'!$F$28)*IFERROR(N('Recurring Items'!$D$28),0)+(IF(AC510=1,'Debt Tracker'!$P$26&gt;0.01,INDEX('Debt Tracker'!$T$5:$AE$29,22,AC510-1)&gt;0.01))*('Recurring Items'!$H$29&lt;&gt;"Skip")*(DAY(AB510)='Recurring Items'!$F$29)*IFERROR(N('Recurring Items'!$D$29),0)+(IF(AC510=1,'Debt Tracker'!$P$27&gt;0.01,INDEX('Debt Tracker'!$T$5:$AE$29,23,AC510-1)&gt;0.01))*('Recurring Items'!$H$30&lt;&gt;"Skip")*(DAY(AB510)='Recurring Items'!$F$30)*IFERROR(N('Recurring Items'!$D$30),0)+(IF(AC510=1,'Debt Tracker'!$P$28&gt;0.01,INDEX('Debt Tracker'!$T$5:$AE$29,24,AC510-1)&gt;0.01))*('Recurring Items'!$H$31&lt;&gt;"Skip")*(DAY(AB510)='Recurring Items'!$F$31)*IFERROR(N('Recurring Items'!$D$31),0)+(IF(AC510=1,'Debt Tracker'!$P$29&gt;0.01,INDEX('Debt Tracker'!$T$5:$AE$29,25,AC510-1)&gt;0.01))*('Recurring Items'!$H$32&lt;&gt;"Skip")*(DAY(AB510)='Recurring Items'!$F$32)*IFERROR(N('Recurring Items'!$D$32),0)</f>
        <v>0</v>
      </c>
      <c r="AG510" s="1" t="n">
        <f aca="false">AD510-AE510-AF510</f>
        <v>-672.8</v>
      </c>
      <c r="AH510" s="1" t="n">
        <f aca="false">AH509+AG510</f>
        <v>22295.74</v>
      </c>
    </row>
    <row r="511" customFormat="false" ht="15" hidden="false" customHeight="true" outlineLevel="0" collapsed="false">
      <c r="AA511" s="1" t="n">
        <v>311</v>
      </c>
      <c r="AB511" s="145" t="n">
        <f aca="false">$D$3+311</f>
        <v>46454</v>
      </c>
      <c r="AC511" s="1" t="n">
        <f aca="false">MIN(12,1+DATEDIF($D$3,AB511,"M"))</f>
        <v>11</v>
      </c>
      <c r="AD511" s="1" t="n">
        <f aca="false">SUMPRODUCT(('Recurring Items'!$C$6:$C$56="Income")*('Recurring Items'!$H$6:$H$56&lt;&gt;"Skip")*IFERROR(N('Recurring Items'!$D$6:$D$56),0)*(('Recurring Items'!$E$6:$E$56="Monthly")*(DAY(AB511)='Recurring Items'!$F$6:$F$56)+('Recurring Items'!$E$6:$E$56="Bi-weekly")*(WEEKDAY(AB511)=IFERROR(WEEKDAY('Recurring Items'!$G$6:$G$56),0))*(MOD(AB511-IFERROR('Recurring Items'!$G$6:$G$56,0),14)=0)*(AB511&gt;=IFERROR('Recurring Items'!$G$6:$G$56,9000000000))+('Recurring Items'!$E$6:$E$56="Weekly")*(WEEKDAY(AB511)=IFERROR(WEEKDAY('Recurring Items'!$G$6:$G$56),0))*(AB511&gt;=IFERROR('Recurring Items'!$G$6:$G$56,9000000000))+('Recurring Items'!$E$6:$E$56="One-time")*(AB511='Recurring Items'!$G$6:$G$56)))</f>
        <v>0</v>
      </c>
      <c r="AE511" s="1" t="n">
        <f aca="false">SUMPRODUCT(('Recurring Items'!$C$6:$C$56="Expense")*('Recurring Items'!$H$6:$H$56&lt;&gt;"Skip")*IFERROR(N('Recurring Items'!$D$6:$D$56),0)*(('Recurring Items'!$E$6:$E$56="Monthly")*(DAY(AB511)='Recurring Items'!$F$6:$F$56)+('Recurring Items'!$E$6:$E$56="Bi-weekly")*(WEEKDAY(AB511)=IFERROR(WEEKDAY('Recurring Items'!$G$6:$G$56),0))*(MOD(AB511-IFERROR('Recurring Items'!$G$6:$G$56,0),14)=0)*(AB511&gt;=IFERROR('Recurring Items'!$G$6:$G$56,9000000000))+('Recurring Items'!$E$6:$E$56="Weekly")*(WEEKDAY(AB511)=IFERROR(WEEKDAY('Recurring Items'!$G$6:$G$56),0))*(AB511&gt;=IFERROR('Recurring Items'!$G$6:$G$56,9000000000))+('Recurring Items'!$E$6:$E$56="One-time")*(AB511='Recurring Items'!$G$6:$G$56)))</f>
        <v>53.85</v>
      </c>
      <c r="AF511" s="1" t="n">
        <f aca="false">(IF(AC511=1,'Debt Tracker'!$P$5&gt;0.01,INDEX('Debt Tracker'!$T$5:$AE$29,1,AC511-1)&gt;0.01))*('Recurring Items'!$H$8&lt;&gt;"Skip")*(DAY(AB511)='Recurring Items'!$F$8)*IFERROR(N('Recurring Items'!$D$8),0)+(IF(AC511=1,'Debt Tracker'!$P$6&gt;0.01,INDEX('Debt Tracker'!$T$5:$AE$29,2,AC511-1)&gt;0.01))*('Recurring Items'!$H$9&lt;&gt;"Skip")*(DAY(AB511)='Recurring Items'!$F$9)*IFERROR(N('Recurring Items'!$D$9),0)+(IF(AC511=1,'Debt Tracker'!$P$7&gt;0.01,INDEX('Debt Tracker'!$T$5:$AE$29,3,AC511-1)&gt;0.01))*('Recurring Items'!$H$10&lt;&gt;"Skip")*(DAY(AB511)='Recurring Items'!$F$10)*IFERROR(N('Recurring Items'!$D$10),0)+(IF(AC511=1,'Debt Tracker'!$P$8&gt;0.01,INDEX('Debt Tracker'!$T$5:$AE$29,4,AC511-1)&gt;0.01))*('Recurring Items'!$H$11&lt;&gt;"Skip")*(DAY(AB511)='Recurring Items'!$F$11)*IFERROR(N('Recurring Items'!$D$11),0)+(IF(AC511=1,'Debt Tracker'!$P$9&gt;0.01,INDEX('Debt Tracker'!$T$5:$AE$29,5,AC511-1)&gt;0.01))*('Recurring Items'!$H$12&lt;&gt;"Skip")*(DAY(AB511)='Recurring Items'!$F$12)*IFERROR(N('Recurring Items'!$D$12),0)+(IF(AC511=1,'Debt Tracker'!$P$10&gt;0.01,INDEX('Debt Tracker'!$T$5:$AE$29,6,AC511-1)&gt;0.01))*('Recurring Items'!$H$13&lt;&gt;"Skip")*(DAY(AB511)='Recurring Items'!$F$13)*IFERROR(N('Recurring Items'!$D$13),0)+(IF(AC511=1,'Debt Tracker'!$P$11&gt;0.01,INDEX('Debt Tracker'!$T$5:$AE$29,7,AC511-1)&gt;0.01))*('Recurring Items'!$H$14&lt;&gt;"Skip")*(DAY(AB511)='Recurring Items'!$F$14)*IFERROR(N('Recurring Items'!$D$14),0)+(IF(AC511=1,'Debt Tracker'!$P$12&gt;0.01,INDEX('Debt Tracker'!$T$5:$AE$29,8,AC511-1)&gt;0.01))*('Recurring Items'!$H$15&lt;&gt;"Skip")*(DAY(AB511)='Recurring Items'!$F$15)*IFERROR(N('Recurring Items'!$D$15),0)+(IF(AC511=1,'Debt Tracker'!$P$13&gt;0.01,INDEX('Debt Tracker'!$T$5:$AE$29,9,AC511-1)&gt;0.01))*('Recurring Items'!$H$16&lt;&gt;"Skip")*(DAY(AB511)='Recurring Items'!$F$16)*IFERROR(N('Recurring Items'!$D$16),0)+(IF(AC511=1,'Debt Tracker'!$P$14&gt;0.01,INDEX('Debt Tracker'!$T$5:$AE$29,10,AC511-1)&gt;0.01))*('Recurring Items'!$H$17&lt;&gt;"Skip")*(DAY(AB511)='Recurring Items'!$F$17)*IFERROR(N('Recurring Items'!$D$17),0)+(IF(AC511=1,'Debt Tracker'!$P$15&gt;0.01,INDEX('Debt Tracker'!$T$5:$AE$29,11,AC511-1)&gt;0.01))*('Recurring Items'!$H$18&lt;&gt;"Skip")*(DAY(AB511)='Recurring Items'!$F$18)*IFERROR(N('Recurring Items'!$D$18),0)+(IF(AC511=1,'Debt Tracker'!$P$16&gt;0.01,INDEX('Debt Tracker'!$T$5:$AE$29,12,AC511-1)&gt;0.01))*('Recurring Items'!$H$19&lt;&gt;"Skip")*(DAY(AB511)='Recurring Items'!$F$19)*IFERROR(N('Recurring Items'!$D$19),0)+(IF(AC511=1,'Debt Tracker'!$P$17&gt;0.01,INDEX('Debt Tracker'!$T$5:$AE$29,13,AC511-1)&gt;0.01))*('Recurring Items'!$H$20&lt;&gt;"Skip")*(DAY(AB511)='Recurring Items'!$F$20)*IFERROR(N('Recurring Items'!$D$20),0)+(IF(AC511=1,'Debt Tracker'!$P$18&gt;0.01,INDEX('Debt Tracker'!$T$5:$AE$29,14,AC511-1)&gt;0.01))*('Recurring Items'!$H$21&lt;&gt;"Skip")*(DAY(AB511)='Recurring Items'!$F$21)*IFERROR(N('Recurring Items'!$D$21),0)+(IF(AC511=1,'Debt Tracker'!$P$19&gt;0.01,INDEX('Debt Tracker'!$T$5:$AE$29,15,AC511-1)&gt;0.01))*('Recurring Items'!$H$22&lt;&gt;"Skip")*(DAY(AB511)='Recurring Items'!$F$22)*IFERROR(N('Recurring Items'!$D$22),0)+(IF(AC511=1,'Debt Tracker'!$P$20&gt;0.01,INDEX('Debt Tracker'!$T$5:$AE$29,16,AC511-1)&gt;0.01))*('Recurring Items'!$H$23&lt;&gt;"Skip")*(DAY(AB511)='Recurring Items'!$F$23)*IFERROR(N('Recurring Items'!$D$23),0)+(IF(AC511=1,'Debt Tracker'!$P$21&gt;0.01,INDEX('Debt Tracker'!$T$5:$AE$29,17,AC511-1)&gt;0.01))*('Recurring Items'!$H$24&lt;&gt;"Skip")*(DAY(AB511)='Recurring Items'!$F$24)*IFERROR(N('Recurring Items'!$D$24),0)+(IF(AC511=1,'Debt Tracker'!$P$22&gt;0.01,INDEX('Debt Tracker'!$T$5:$AE$29,18,AC511-1)&gt;0.01))*('Recurring Items'!$H$25&lt;&gt;"Skip")*(DAY(AB511)='Recurring Items'!$F$25)*IFERROR(N('Recurring Items'!$D$25),0)+(IF(AC511=1,'Debt Tracker'!$P$23&gt;0.01,INDEX('Debt Tracker'!$T$5:$AE$29,19,AC511-1)&gt;0.01))*('Recurring Items'!$H$26&lt;&gt;"Skip")*(DAY(AB511)='Recurring Items'!$F$26)*IFERROR(N('Recurring Items'!$D$26),0)+(IF(AC511=1,'Debt Tracker'!$P$24&gt;0.01,INDEX('Debt Tracker'!$T$5:$AE$29,20,AC511-1)&gt;0.01))*('Recurring Items'!$H$27&lt;&gt;"Skip")*(DAY(AB511)='Recurring Items'!$F$27)*IFERROR(N('Recurring Items'!$D$27),0)+(IF(AC511=1,'Debt Tracker'!$P$25&gt;0.01,INDEX('Debt Tracker'!$T$5:$AE$29,21,AC511-1)&gt;0.01))*('Recurring Items'!$H$28&lt;&gt;"Skip")*(DAY(AB511)='Recurring Items'!$F$28)*IFERROR(N('Recurring Items'!$D$28),0)+(IF(AC511=1,'Debt Tracker'!$P$26&gt;0.01,INDEX('Debt Tracker'!$T$5:$AE$29,22,AC511-1)&gt;0.01))*('Recurring Items'!$H$29&lt;&gt;"Skip")*(DAY(AB511)='Recurring Items'!$F$29)*IFERROR(N('Recurring Items'!$D$29),0)+(IF(AC511=1,'Debt Tracker'!$P$27&gt;0.01,INDEX('Debt Tracker'!$T$5:$AE$29,23,AC511-1)&gt;0.01))*('Recurring Items'!$H$30&lt;&gt;"Skip")*(DAY(AB511)='Recurring Items'!$F$30)*IFERROR(N('Recurring Items'!$D$30),0)+(IF(AC511=1,'Debt Tracker'!$P$28&gt;0.01,INDEX('Debt Tracker'!$T$5:$AE$29,24,AC511-1)&gt;0.01))*('Recurring Items'!$H$31&lt;&gt;"Skip")*(DAY(AB511)='Recurring Items'!$F$31)*IFERROR(N('Recurring Items'!$D$31),0)+(IF(AC511=1,'Debt Tracker'!$P$29&gt;0.01,INDEX('Debt Tracker'!$T$5:$AE$29,25,AC511-1)&gt;0.01))*('Recurring Items'!$H$32&lt;&gt;"Skip")*(DAY(AB511)='Recurring Items'!$F$32)*IFERROR(N('Recurring Items'!$D$32),0)</f>
        <v>0</v>
      </c>
      <c r="AG511" s="1" t="n">
        <f aca="false">AD511-AE511-AF511</f>
        <v>-53.85</v>
      </c>
      <c r="AH511" s="1" t="n">
        <f aca="false">AH510+AG511</f>
        <v>22241.89</v>
      </c>
    </row>
    <row r="512" customFormat="false" ht="15" hidden="false" customHeight="true" outlineLevel="0" collapsed="false">
      <c r="AA512" s="1" t="n">
        <v>312</v>
      </c>
      <c r="AB512" s="145" t="n">
        <f aca="false">$D$3+312</f>
        <v>46455</v>
      </c>
      <c r="AC512" s="1" t="n">
        <f aca="false">MIN(12,1+DATEDIF($D$3,AB512,"M"))</f>
        <v>11</v>
      </c>
      <c r="AD512" s="1" t="n">
        <f aca="false">SUMPRODUCT(('Recurring Items'!$C$6:$C$56="Income")*('Recurring Items'!$H$6:$H$56&lt;&gt;"Skip")*IFERROR(N('Recurring Items'!$D$6:$D$56),0)*(('Recurring Items'!$E$6:$E$56="Monthly")*(DAY(AB512)='Recurring Items'!$F$6:$F$56)+('Recurring Items'!$E$6:$E$56="Bi-weekly")*(WEEKDAY(AB512)=IFERROR(WEEKDAY('Recurring Items'!$G$6:$G$56),0))*(MOD(AB512-IFERROR('Recurring Items'!$G$6:$G$56,0),14)=0)*(AB512&gt;=IFERROR('Recurring Items'!$G$6:$G$56,9000000000))+('Recurring Items'!$E$6:$E$56="Weekly")*(WEEKDAY(AB512)=IFERROR(WEEKDAY('Recurring Items'!$G$6:$G$56),0))*(AB512&gt;=IFERROR('Recurring Items'!$G$6:$G$56,9000000000))+('Recurring Items'!$E$6:$E$56="One-time")*(AB512='Recurring Items'!$G$6:$G$56)))</f>
        <v>0</v>
      </c>
      <c r="AE512" s="1" t="n">
        <f aca="false">SUMPRODUCT(('Recurring Items'!$C$6:$C$56="Expense")*('Recurring Items'!$H$6:$H$56&lt;&gt;"Skip")*IFERROR(N('Recurring Items'!$D$6:$D$56),0)*(('Recurring Items'!$E$6:$E$56="Monthly")*(DAY(AB512)='Recurring Items'!$F$6:$F$56)+('Recurring Items'!$E$6:$E$56="Bi-weekly")*(WEEKDAY(AB512)=IFERROR(WEEKDAY('Recurring Items'!$G$6:$G$56),0))*(MOD(AB512-IFERROR('Recurring Items'!$G$6:$G$56,0),14)=0)*(AB512&gt;=IFERROR('Recurring Items'!$G$6:$G$56,9000000000))+('Recurring Items'!$E$6:$E$56="Weekly")*(WEEKDAY(AB512)=IFERROR(WEEKDAY('Recurring Items'!$G$6:$G$56),0))*(AB512&gt;=IFERROR('Recurring Items'!$G$6:$G$56,9000000000))+('Recurring Items'!$E$6:$E$56="One-time")*(AB512='Recurring Items'!$G$6:$G$56)))</f>
        <v>0</v>
      </c>
      <c r="AF512" s="1" t="n">
        <f aca="false">(IF(AC512=1,'Debt Tracker'!$P$5&gt;0.01,INDEX('Debt Tracker'!$T$5:$AE$29,1,AC512-1)&gt;0.01))*('Recurring Items'!$H$8&lt;&gt;"Skip")*(DAY(AB512)='Recurring Items'!$F$8)*IFERROR(N('Recurring Items'!$D$8),0)+(IF(AC512=1,'Debt Tracker'!$P$6&gt;0.01,INDEX('Debt Tracker'!$T$5:$AE$29,2,AC512-1)&gt;0.01))*('Recurring Items'!$H$9&lt;&gt;"Skip")*(DAY(AB512)='Recurring Items'!$F$9)*IFERROR(N('Recurring Items'!$D$9),0)+(IF(AC512=1,'Debt Tracker'!$P$7&gt;0.01,INDEX('Debt Tracker'!$T$5:$AE$29,3,AC512-1)&gt;0.01))*('Recurring Items'!$H$10&lt;&gt;"Skip")*(DAY(AB512)='Recurring Items'!$F$10)*IFERROR(N('Recurring Items'!$D$10),0)+(IF(AC512=1,'Debt Tracker'!$P$8&gt;0.01,INDEX('Debt Tracker'!$T$5:$AE$29,4,AC512-1)&gt;0.01))*('Recurring Items'!$H$11&lt;&gt;"Skip")*(DAY(AB512)='Recurring Items'!$F$11)*IFERROR(N('Recurring Items'!$D$11),0)+(IF(AC512=1,'Debt Tracker'!$P$9&gt;0.01,INDEX('Debt Tracker'!$T$5:$AE$29,5,AC512-1)&gt;0.01))*('Recurring Items'!$H$12&lt;&gt;"Skip")*(DAY(AB512)='Recurring Items'!$F$12)*IFERROR(N('Recurring Items'!$D$12),0)+(IF(AC512=1,'Debt Tracker'!$P$10&gt;0.01,INDEX('Debt Tracker'!$T$5:$AE$29,6,AC512-1)&gt;0.01))*('Recurring Items'!$H$13&lt;&gt;"Skip")*(DAY(AB512)='Recurring Items'!$F$13)*IFERROR(N('Recurring Items'!$D$13),0)+(IF(AC512=1,'Debt Tracker'!$P$11&gt;0.01,INDEX('Debt Tracker'!$T$5:$AE$29,7,AC512-1)&gt;0.01))*('Recurring Items'!$H$14&lt;&gt;"Skip")*(DAY(AB512)='Recurring Items'!$F$14)*IFERROR(N('Recurring Items'!$D$14),0)+(IF(AC512=1,'Debt Tracker'!$P$12&gt;0.01,INDEX('Debt Tracker'!$T$5:$AE$29,8,AC512-1)&gt;0.01))*('Recurring Items'!$H$15&lt;&gt;"Skip")*(DAY(AB512)='Recurring Items'!$F$15)*IFERROR(N('Recurring Items'!$D$15),0)+(IF(AC512=1,'Debt Tracker'!$P$13&gt;0.01,INDEX('Debt Tracker'!$T$5:$AE$29,9,AC512-1)&gt;0.01))*('Recurring Items'!$H$16&lt;&gt;"Skip")*(DAY(AB512)='Recurring Items'!$F$16)*IFERROR(N('Recurring Items'!$D$16),0)+(IF(AC512=1,'Debt Tracker'!$P$14&gt;0.01,INDEX('Debt Tracker'!$T$5:$AE$29,10,AC512-1)&gt;0.01))*('Recurring Items'!$H$17&lt;&gt;"Skip")*(DAY(AB512)='Recurring Items'!$F$17)*IFERROR(N('Recurring Items'!$D$17),0)+(IF(AC512=1,'Debt Tracker'!$P$15&gt;0.01,INDEX('Debt Tracker'!$T$5:$AE$29,11,AC512-1)&gt;0.01))*('Recurring Items'!$H$18&lt;&gt;"Skip")*(DAY(AB512)='Recurring Items'!$F$18)*IFERROR(N('Recurring Items'!$D$18),0)+(IF(AC512=1,'Debt Tracker'!$P$16&gt;0.01,INDEX('Debt Tracker'!$T$5:$AE$29,12,AC512-1)&gt;0.01))*('Recurring Items'!$H$19&lt;&gt;"Skip")*(DAY(AB512)='Recurring Items'!$F$19)*IFERROR(N('Recurring Items'!$D$19),0)+(IF(AC512=1,'Debt Tracker'!$P$17&gt;0.01,INDEX('Debt Tracker'!$T$5:$AE$29,13,AC512-1)&gt;0.01))*('Recurring Items'!$H$20&lt;&gt;"Skip")*(DAY(AB512)='Recurring Items'!$F$20)*IFERROR(N('Recurring Items'!$D$20),0)+(IF(AC512=1,'Debt Tracker'!$P$18&gt;0.01,INDEX('Debt Tracker'!$T$5:$AE$29,14,AC512-1)&gt;0.01))*('Recurring Items'!$H$21&lt;&gt;"Skip")*(DAY(AB512)='Recurring Items'!$F$21)*IFERROR(N('Recurring Items'!$D$21),0)+(IF(AC512=1,'Debt Tracker'!$P$19&gt;0.01,INDEX('Debt Tracker'!$T$5:$AE$29,15,AC512-1)&gt;0.01))*('Recurring Items'!$H$22&lt;&gt;"Skip")*(DAY(AB512)='Recurring Items'!$F$22)*IFERROR(N('Recurring Items'!$D$22),0)+(IF(AC512=1,'Debt Tracker'!$P$20&gt;0.01,INDEX('Debt Tracker'!$T$5:$AE$29,16,AC512-1)&gt;0.01))*('Recurring Items'!$H$23&lt;&gt;"Skip")*(DAY(AB512)='Recurring Items'!$F$23)*IFERROR(N('Recurring Items'!$D$23),0)+(IF(AC512=1,'Debt Tracker'!$P$21&gt;0.01,INDEX('Debt Tracker'!$T$5:$AE$29,17,AC512-1)&gt;0.01))*('Recurring Items'!$H$24&lt;&gt;"Skip")*(DAY(AB512)='Recurring Items'!$F$24)*IFERROR(N('Recurring Items'!$D$24),0)+(IF(AC512=1,'Debt Tracker'!$P$22&gt;0.01,INDEX('Debt Tracker'!$T$5:$AE$29,18,AC512-1)&gt;0.01))*('Recurring Items'!$H$25&lt;&gt;"Skip")*(DAY(AB512)='Recurring Items'!$F$25)*IFERROR(N('Recurring Items'!$D$25),0)+(IF(AC512=1,'Debt Tracker'!$P$23&gt;0.01,INDEX('Debt Tracker'!$T$5:$AE$29,19,AC512-1)&gt;0.01))*('Recurring Items'!$H$26&lt;&gt;"Skip")*(DAY(AB512)='Recurring Items'!$F$26)*IFERROR(N('Recurring Items'!$D$26),0)+(IF(AC512=1,'Debt Tracker'!$P$24&gt;0.01,INDEX('Debt Tracker'!$T$5:$AE$29,20,AC512-1)&gt;0.01))*('Recurring Items'!$H$27&lt;&gt;"Skip")*(DAY(AB512)='Recurring Items'!$F$27)*IFERROR(N('Recurring Items'!$D$27),0)+(IF(AC512=1,'Debt Tracker'!$P$25&gt;0.01,INDEX('Debt Tracker'!$T$5:$AE$29,21,AC512-1)&gt;0.01))*('Recurring Items'!$H$28&lt;&gt;"Skip")*(DAY(AB512)='Recurring Items'!$F$28)*IFERROR(N('Recurring Items'!$D$28),0)+(IF(AC512=1,'Debt Tracker'!$P$26&gt;0.01,INDEX('Debt Tracker'!$T$5:$AE$29,22,AC512-1)&gt;0.01))*('Recurring Items'!$H$29&lt;&gt;"Skip")*(DAY(AB512)='Recurring Items'!$F$29)*IFERROR(N('Recurring Items'!$D$29),0)+(IF(AC512=1,'Debt Tracker'!$P$27&gt;0.01,INDEX('Debt Tracker'!$T$5:$AE$29,23,AC512-1)&gt;0.01))*('Recurring Items'!$H$30&lt;&gt;"Skip")*(DAY(AB512)='Recurring Items'!$F$30)*IFERROR(N('Recurring Items'!$D$30),0)+(IF(AC512=1,'Debt Tracker'!$P$28&gt;0.01,INDEX('Debt Tracker'!$T$5:$AE$29,24,AC512-1)&gt;0.01))*('Recurring Items'!$H$31&lt;&gt;"Skip")*(DAY(AB512)='Recurring Items'!$F$31)*IFERROR(N('Recurring Items'!$D$31),0)+(IF(AC512=1,'Debt Tracker'!$P$29&gt;0.01,INDEX('Debt Tracker'!$T$5:$AE$29,25,AC512-1)&gt;0.01))*('Recurring Items'!$H$32&lt;&gt;"Skip")*(DAY(AB512)='Recurring Items'!$F$32)*IFERROR(N('Recurring Items'!$D$32),0)</f>
        <v>0</v>
      </c>
      <c r="AG512" s="1" t="n">
        <f aca="false">AD512-AE512-AF512</f>
        <v>0</v>
      </c>
      <c r="AH512" s="1" t="n">
        <f aca="false">AH511+AG512</f>
        <v>22241.89</v>
      </c>
    </row>
    <row r="513" customFormat="false" ht="15" hidden="false" customHeight="true" outlineLevel="0" collapsed="false">
      <c r="AA513" s="1" t="n">
        <v>313</v>
      </c>
      <c r="AB513" s="145" t="n">
        <f aca="false">$D$3+313</f>
        <v>46456</v>
      </c>
      <c r="AC513" s="1" t="n">
        <f aca="false">MIN(12,1+DATEDIF($D$3,AB513,"M"))</f>
        <v>11</v>
      </c>
      <c r="AD513" s="1" t="n">
        <f aca="false">SUMPRODUCT(('Recurring Items'!$C$6:$C$56="Income")*('Recurring Items'!$H$6:$H$56&lt;&gt;"Skip")*IFERROR(N('Recurring Items'!$D$6:$D$56),0)*(('Recurring Items'!$E$6:$E$56="Monthly")*(DAY(AB513)='Recurring Items'!$F$6:$F$56)+('Recurring Items'!$E$6:$E$56="Bi-weekly")*(WEEKDAY(AB513)=IFERROR(WEEKDAY('Recurring Items'!$G$6:$G$56),0))*(MOD(AB513-IFERROR('Recurring Items'!$G$6:$G$56,0),14)=0)*(AB513&gt;=IFERROR('Recurring Items'!$G$6:$G$56,9000000000))+('Recurring Items'!$E$6:$E$56="Weekly")*(WEEKDAY(AB513)=IFERROR(WEEKDAY('Recurring Items'!$G$6:$G$56),0))*(AB513&gt;=IFERROR('Recurring Items'!$G$6:$G$56,9000000000))+('Recurring Items'!$E$6:$E$56="One-time")*(AB513='Recurring Items'!$G$6:$G$56)))</f>
        <v>0</v>
      </c>
      <c r="AE513" s="1" t="n">
        <f aca="false">SUMPRODUCT(('Recurring Items'!$C$6:$C$56="Expense")*('Recurring Items'!$H$6:$H$56&lt;&gt;"Skip")*IFERROR(N('Recurring Items'!$D$6:$D$56),0)*(('Recurring Items'!$E$6:$E$56="Monthly")*(DAY(AB513)='Recurring Items'!$F$6:$F$56)+('Recurring Items'!$E$6:$E$56="Bi-weekly")*(WEEKDAY(AB513)=IFERROR(WEEKDAY('Recurring Items'!$G$6:$G$56),0))*(MOD(AB513-IFERROR('Recurring Items'!$G$6:$G$56,0),14)=0)*(AB513&gt;=IFERROR('Recurring Items'!$G$6:$G$56,9000000000))+('Recurring Items'!$E$6:$E$56="Weekly")*(WEEKDAY(AB513)=IFERROR(WEEKDAY('Recurring Items'!$G$6:$G$56),0))*(AB513&gt;=IFERROR('Recurring Items'!$G$6:$G$56,9000000000))+('Recurring Items'!$E$6:$E$56="One-time")*(AB513='Recurring Items'!$G$6:$G$56)))</f>
        <v>340.22</v>
      </c>
      <c r="AF513" s="1" t="n">
        <f aca="false">(IF(AC513=1,'Debt Tracker'!$P$5&gt;0.01,INDEX('Debt Tracker'!$T$5:$AE$29,1,AC513-1)&gt;0.01))*('Recurring Items'!$H$8&lt;&gt;"Skip")*(DAY(AB513)='Recurring Items'!$F$8)*IFERROR(N('Recurring Items'!$D$8),0)+(IF(AC513=1,'Debt Tracker'!$P$6&gt;0.01,INDEX('Debt Tracker'!$T$5:$AE$29,2,AC513-1)&gt;0.01))*('Recurring Items'!$H$9&lt;&gt;"Skip")*(DAY(AB513)='Recurring Items'!$F$9)*IFERROR(N('Recurring Items'!$D$9),0)+(IF(AC513=1,'Debt Tracker'!$P$7&gt;0.01,INDEX('Debt Tracker'!$T$5:$AE$29,3,AC513-1)&gt;0.01))*('Recurring Items'!$H$10&lt;&gt;"Skip")*(DAY(AB513)='Recurring Items'!$F$10)*IFERROR(N('Recurring Items'!$D$10),0)+(IF(AC513=1,'Debt Tracker'!$P$8&gt;0.01,INDEX('Debt Tracker'!$T$5:$AE$29,4,AC513-1)&gt;0.01))*('Recurring Items'!$H$11&lt;&gt;"Skip")*(DAY(AB513)='Recurring Items'!$F$11)*IFERROR(N('Recurring Items'!$D$11),0)+(IF(AC513=1,'Debt Tracker'!$P$9&gt;0.01,INDEX('Debt Tracker'!$T$5:$AE$29,5,AC513-1)&gt;0.01))*('Recurring Items'!$H$12&lt;&gt;"Skip")*(DAY(AB513)='Recurring Items'!$F$12)*IFERROR(N('Recurring Items'!$D$12),0)+(IF(AC513=1,'Debt Tracker'!$P$10&gt;0.01,INDEX('Debt Tracker'!$T$5:$AE$29,6,AC513-1)&gt;0.01))*('Recurring Items'!$H$13&lt;&gt;"Skip")*(DAY(AB513)='Recurring Items'!$F$13)*IFERROR(N('Recurring Items'!$D$13),0)+(IF(AC513=1,'Debt Tracker'!$P$11&gt;0.01,INDEX('Debt Tracker'!$T$5:$AE$29,7,AC513-1)&gt;0.01))*('Recurring Items'!$H$14&lt;&gt;"Skip")*(DAY(AB513)='Recurring Items'!$F$14)*IFERROR(N('Recurring Items'!$D$14),0)+(IF(AC513=1,'Debt Tracker'!$P$12&gt;0.01,INDEX('Debt Tracker'!$T$5:$AE$29,8,AC513-1)&gt;0.01))*('Recurring Items'!$H$15&lt;&gt;"Skip")*(DAY(AB513)='Recurring Items'!$F$15)*IFERROR(N('Recurring Items'!$D$15),0)+(IF(AC513=1,'Debt Tracker'!$P$13&gt;0.01,INDEX('Debt Tracker'!$T$5:$AE$29,9,AC513-1)&gt;0.01))*('Recurring Items'!$H$16&lt;&gt;"Skip")*(DAY(AB513)='Recurring Items'!$F$16)*IFERROR(N('Recurring Items'!$D$16),0)+(IF(AC513=1,'Debt Tracker'!$P$14&gt;0.01,INDEX('Debt Tracker'!$T$5:$AE$29,10,AC513-1)&gt;0.01))*('Recurring Items'!$H$17&lt;&gt;"Skip")*(DAY(AB513)='Recurring Items'!$F$17)*IFERROR(N('Recurring Items'!$D$17),0)+(IF(AC513=1,'Debt Tracker'!$P$15&gt;0.01,INDEX('Debt Tracker'!$T$5:$AE$29,11,AC513-1)&gt;0.01))*('Recurring Items'!$H$18&lt;&gt;"Skip")*(DAY(AB513)='Recurring Items'!$F$18)*IFERROR(N('Recurring Items'!$D$18),0)+(IF(AC513=1,'Debt Tracker'!$P$16&gt;0.01,INDEX('Debt Tracker'!$T$5:$AE$29,12,AC513-1)&gt;0.01))*('Recurring Items'!$H$19&lt;&gt;"Skip")*(DAY(AB513)='Recurring Items'!$F$19)*IFERROR(N('Recurring Items'!$D$19),0)+(IF(AC513=1,'Debt Tracker'!$P$17&gt;0.01,INDEX('Debt Tracker'!$T$5:$AE$29,13,AC513-1)&gt;0.01))*('Recurring Items'!$H$20&lt;&gt;"Skip")*(DAY(AB513)='Recurring Items'!$F$20)*IFERROR(N('Recurring Items'!$D$20),0)+(IF(AC513=1,'Debt Tracker'!$P$18&gt;0.01,INDEX('Debt Tracker'!$T$5:$AE$29,14,AC513-1)&gt;0.01))*('Recurring Items'!$H$21&lt;&gt;"Skip")*(DAY(AB513)='Recurring Items'!$F$21)*IFERROR(N('Recurring Items'!$D$21),0)+(IF(AC513=1,'Debt Tracker'!$P$19&gt;0.01,INDEX('Debt Tracker'!$T$5:$AE$29,15,AC513-1)&gt;0.01))*('Recurring Items'!$H$22&lt;&gt;"Skip")*(DAY(AB513)='Recurring Items'!$F$22)*IFERROR(N('Recurring Items'!$D$22),0)+(IF(AC513=1,'Debt Tracker'!$P$20&gt;0.01,INDEX('Debt Tracker'!$T$5:$AE$29,16,AC513-1)&gt;0.01))*('Recurring Items'!$H$23&lt;&gt;"Skip")*(DAY(AB513)='Recurring Items'!$F$23)*IFERROR(N('Recurring Items'!$D$23),0)+(IF(AC513=1,'Debt Tracker'!$P$21&gt;0.01,INDEX('Debt Tracker'!$T$5:$AE$29,17,AC513-1)&gt;0.01))*('Recurring Items'!$H$24&lt;&gt;"Skip")*(DAY(AB513)='Recurring Items'!$F$24)*IFERROR(N('Recurring Items'!$D$24),0)+(IF(AC513=1,'Debt Tracker'!$P$22&gt;0.01,INDEX('Debt Tracker'!$T$5:$AE$29,18,AC513-1)&gt;0.01))*('Recurring Items'!$H$25&lt;&gt;"Skip")*(DAY(AB513)='Recurring Items'!$F$25)*IFERROR(N('Recurring Items'!$D$25),0)+(IF(AC513=1,'Debt Tracker'!$P$23&gt;0.01,INDEX('Debt Tracker'!$T$5:$AE$29,19,AC513-1)&gt;0.01))*('Recurring Items'!$H$26&lt;&gt;"Skip")*(DAY(AB513)='Recurring Items'!$F$26)*IFERROR(N('Recurring Items'!$D$26),0)+(IF(AC513=1,'Debt Tracker'!$P$24&gt;0.01,INDEX('Debt Tracker'!$T$5:$AE$29,20,AC513-1)&gt;0.01))*('Recurring Items'!$H$27&lt;&gt;"Skip")*(DAY(AB513)='Recurring Items'!$F$27)*IFERROR(N('Recurring Items'!$D$27),0)+(IF(AC513=1,'Debt Tracker'!$P$25&gt;0.01,INDEX('Debt Tracker'!$T$5:$AE$29,21,AC513-1)&gt;0.01))*('Recurring Items'!$H$28&lt;&gt;"Skip")*(DAY(AB513)='Recurring Items'!$F$28)*IFERROR(N('Recurring Items'!$D$28),0)+(IF(AC513=1,'Debt Tracker'!$P$26&gt;0.01,INDEX('Debt Tracker'!$T$5:$AE$29,22,AC513-1)&gt;0.01))*('Recurring Items'!$H$29&lt;&gt;"Skip")*(DAY(AB513)='Recurring Items'!$F$29)*IFERROR(N('Recurring Items'!$D$29),0)+(IF(AC513=1,'Debt Tracker'!$P$27&gt;0.01,INDEX('Debt Tracker'!$T$5:$AE$29,23,AC513-1)&gt;0.01))*('Recurring Items'!$H$30&lt;&gt;"Skip")*(DAY(AB513)='Recurring Items'!$F$30)*IFERROR(N('Recurring Items'!$D$30),0)+(IF(AC513=1,'Debt Tracker'!$P$28&gt;0.01,INDEX('Debt Tracker'!$T$5:$AE$29,24,AC513-1)&gt;0.01))*('Recurring Items'!$H$31&lt;&gt;"Skip")*(DAY(AB513)='Recurring Items'!$F$31)*IFERROR(N('Recurring Items'!$D$31),0)+(IF(AC513=1,'Debt Tracker'!$P$29&gt;0.01,INDEX('Debt Tracker'!$T$5:$AE$29,25,AC513-1)&gt;0.01))*('Recurring Items'!$H$32&lt;&gt;"Skip")*(DAY(AB513)='Recurring Items'!$F$32)*IFERROR(N('Recurring Items'!$D$32),0)</f>
        <v>0</v>
      </c>
      <c r="AG513" s="1" t="n">
        <f aca="false">AD513-AE513-AF513</f>
        <v>-340.22</v>
      </c>
      <c r="AH513" s="1" t="n">
        <f aca="false">AH512+AG513</f>
        <v>21901.67</v>
      </c>
    </row>
    <row r="514" customFormat="false" ht="15" hidden="false" customHeight="true" outlineLevel="0" collapsed="false">
      <c r="AA514" s="1" t="n">
        <v>314</v>
      </c>
      <c r="AB514" s="145" t="n">
        <f aca="false">$D$3+314</f>
        <v>46457</v>
      </c>
      <c r="AC514" s="1" t="n">
        <f aca="false">MIN(12,1+DATEDIF($D$3,AB514,"M"))</f>
        <v>11</v>
      </c>
      <c r="AD514" s="1" t="n">
        <f aca="false">SUMPRODUCT(('Recurring Items'!$C$6:$C$56="Income")*('Recurring Items'!$H$6:$H$56&lt;&gt;"Skip")*IFERROR(N('Recurring Items'!$D$6:$D$56),0)*(('Recurring Items'!$E$6:$E$56="Monthly")*(DAY(AB514)='Recurring Items'!$F$6:$F$56)+('Recurring Items'!$E$6:$E$56="Bi-weekly")*(WEEKDAY(AB514)=IFERROR(WEEKDAY('Recurring Items'!$G$6:$G$56),0))*(MOD(AB514-IFERROR('Recurring Items'!$G$6:$G$56,0),14)=0)*(AB514&gt;=IFERROR('Recurring Items'!$G$6:$G$56,9000000000))+('Recurring Items'!$E$6:$E$56="Weekly")*(WEEKDAY(AB514)=IFERROR(WEEKDAY('Recurring Items'!$G$6:$G$56),0))*(AB514&gt;=IFERROR('Recurring Items'!$G$6:$G$56,9000000000))+('Recurring Items'!$E$6:$E$56="One-time")*(AB514='Recurring Items'!$G$6:$G$56)))</f>
        <v>2274.42</v>
      </c>
      <c r="AE514" s="1" t="n">
        <f aca="false">SUMPRODUCT(('Recurring Items'!$C$6:$C$56="Expense")*('Recurring Items'!$H$6:$H$56&lt;&gt;"Skip")*IFERROR(N('Recurring Items'!$D$6:$D$56),0)*(('Recurring Items'!$E$6:$E$56="Monthly")*(DAY(AB514)='Recurring Items'!$F$6:$F$56)+('Recurring Items'!$E$6:$E$56="Bi-weekly")*(WEEKDAY(AB514)=IFERROR(WEEKDAY('Recurring Items'!$G$6:$G$56),0))*(MOD(AB514-IFERROR('Recurring Items'!$G$6:$G$56,0),14)=0)*(AB514&gt;=IFERROR('Recurring Items'!$G$6:$G$56,9000000000))+('Recurring Items'!$E$6:$E$56="Weekly")*(WEEKDAY(AB514)=IFERROR(WEEKDAY('Recurring Items'!$G$6:$G$56),0))*(AB514&gt;=IFERROR('Recurring Items'!$G$6:$G$56,9000000000))+('Recurring Items'!$E$6:$E$56="One-time")*(AB514='Recurring Items'!$G$6:$G$56)))</f>
        <v>0</v>
      </c>
      <c r="AF514" s="1" t="n">
        <f aca="false">(IF(AC514=1,'Debt Tracker'!$P$5&gt;0.01,INDEX('Debt Tracker'!$T$5:$AE$29,1,AC514-1)&gt;0.01))*('Recurring Items'!$H$8&lt;&gt;"Skip")*(DAY(AB514)='Recurring Items'!$F$8)*IFERROR(N('Recurring Items'!$D$8),0)+(IF(AC514=1,'Debt Tracker'!$P$6&gt;0.01,INDEX('Debt Tracker'!$T$5:$AE$29,2,AC514-1)&gt;0.01))*('Recurring Items'!$H$9&lt;&gt;"Skip")*(DAY(AB514)='Recurring Items'!$F$9)*IFERROR(N('Recurring Items'!$D$9),0)+(IF(AC514=1,'Debt Tracker'!$P$7&gt;0.01,INDEX('Debt Tracker'!$T$5:$AE$29,3,AC514-1)&gt;0.01))*('Recurring Items'!$H$10&lt;&gt;"Skip")*(DAY(AB514)='Recurring Items'!$F$10)*IFERROR(N('Recurring Items'!$D$10),0)+(IF(AC514=1,'Debt Tracker'!$P$8&gt;0.01,INDEX('Debt Tracker'!$T$5:$AE$29,4,AC514-1)&gt;0.01))*('Recurring Items'!$H$11&lt;&gt;"Skip")*(DAY(AB514)='Recurring Items'!$F$11)*IFERROR(N('Recurring Items'!$D$11),0)+(IF(AC514=1,'Debt Tracker'!$P$9&gt;0.01,INDEX('Debt Tracker'!$T$5:$AE$29,5,AC514-1)&gt;0.01))*('Recurring Items'!$H$12&lt;&gt;"Skip")*(DAY(AB514)='Recurring Items'!$F$12)*IFERROR(N('Recurring Items'!$D$12),0)+(IF(AC514=1,'Debt Tracker'!$P$10&gt;0.01,INDEX('Debt Tracker'!$T$5:$AE$29,6,AC514-1)&gt;0.01))*('Recurring Items'!$H$13&lt;&gt;"Skip")*(DAY(AB514)='Recurring Items'!$F$13)*IFERROR(N('Recurring Items'!$D$13),0)+(IF(AC514=1,'Debt Tracker'!$P$11&gt;0.01,INDEX('Debt Tracker'!$T$5:$AE$29,7,AC514-1)&gt;0.01))*('Recurring Items'!$H$14&lt;&gt;"Skip")*(DAY(AB514)='Recurring Items'!$F$14)*IFERROR(N('Recurring Items'!$D$14),0)+(IF(AC514=1,'Debt Tracker'!$P$12&gt;0.01,INDEX('Debt Tracker'!$T$5:$AE$29,8,AC514-1)&gt;0.01))*('Recurring Items'!$H$15&lt;&gt;"Skip")*(DAY(AB514)='Recurring Items'!$F$15)*IFERROR(N('Recurring Items'!$D$15),0)+(IF(AC514=1,'Debt Tracker'!$P$13&gt;0.01,INDEX('Debt Tracker'!$T$5:$AE$29,9,AC514-1)&gt;0.01))*('Recurring Items'!$H$16&lt;&gt;"Skip")*(DAY(AB514)='Recurring Items'!$F$16)*IFERROR(N('Recurring Items'!$D$16),0)+(IF(AC514=1,'Debt Tracker'!$P$14&gt;0.01,INDEX('Debt Tracker'!$T$5:$AE$29,10,AC514-1)&gt;0.01))*('Recurring Items'!$H$17&lt;&gt;"Skip")*(DAY(AB514)='Recurring Items'!$F$17)*IFERROR(N('Recurring Items'!$D$17),0)+(IF(AC514=1,'Debt Tracker'!$P$15&gt;0.01,INDEX('Debt Tracker'!$T$5:$AE$29,11,AC514-1)&gt;0.01))*('Recurring Items'!$H$18&lt;&gt;"Skip")*(DAY(AB514)='Recurring Items'!$F$18)*IFERROR(N('Recurring Items'!$D$18),0)+(IF(AC514=1,'Debt Tracker'!$P$16&gt;0.01,INDEX('Debt Tracker'!$T$5:$AE$29,12,AC514-1)&gt;0.01))*('Recurring Items'!$H$19&lt;&gt;"Skip")*(DAY(AB514)='Recurring Items'!$F$19)*IFERROR(N('Recurring Items'!$D$19),0)+(IF(AC514=1,'Debt Tracker'!$P$17&gt;0.01,INDEX('Debt Tracker'!$T$5:$AE$29,13,AC514-1)&gt;0.01))*('Recurring Items'!$H$20&lt;&gt;"Skip")*(DAY(AB514)='Recurring Items'!$F$20)*IFERROR(N('Recurring Items'!$D$20),0)+(IF(AC514=1,'Debt Tracker'!$P$18&gt;0.01,INDEX('Debt Tracker'!$T$5:$AE$29,14,AC514-1)&gt;0.01))*('Recurring Items'!$H$21&lt;&gt;"Skip")*(DAY(AB514)='Recurring Items'!$F$21)*IFERROR(N('Recurring Items'!$D$21),0)+(IF(AC514=1,'Debt Tracker'!$P$19&gt;0.01,INDEX('Debt Tracker'!$T$5:$AE$29,15,AC514-1)&gt;0.01))*('Recurring Items'!$H$22&lt;&gt;"Skip")*(DAY(AB514)='Recurring Items'!$F$22)*IFERROR(N('Recurring Items'!$D$22),0)+(IF(AC514=1,'Debt Tracker'!$P$20&gt;0.01,INDEX('Debt Tracker'!$T$5:$AE$29,16,AC514-1)&gt;0.01))*('Recurring Items'!$H$23&lt;&gt;"Skip")*(DAY(AB514)='Recurring Items'!$F$23)*IFERROR(N('Recurring Items'!$D$23),0)+(IF(AC514=1,'Debt Tracker'!$P$21&gt;0.01,INDEX('Debt Tracker'!$T$5:$AE$29,17,AC514-1)&gt;0.01))*('Recurring Items'!$H$24&lt;&gt;"Skip")*(DAY(AB514)='Recurring Items'!$F$24)*IFERROR(N('Recurring Items'!$D$24),0)+(IF(AC514=1,'Debt Tracker'!$P$22&gt;0.01,INDEX('Debt Tracker'!$T$5:$AE$29,18,AC514-1)&gt;0.01))*('Recurring Items'!$H$25&lt;&gt;"Skip")*(DAY(AB514)='Recurring Items'!$F$25)*IFERROR(N('Recurring Items'!$D$25),0)+(IF(AC514=1,'Debt Tracker'!$P$23&gt;0.01,INDEX('Debt Tracker'!$T$5:$AE$29,19,AC514-1)&gt;0.01))*('Recurring Items'!$H$26&lt;&gt;"Skip")*(DAY(AB514)='Recurring Items'!$F$26)*IFERROR(N('Recurring Items'!$D$26),0)+(IF(AC514=1,'Debt Tracker'!$P$24&gt;0.01,INDEX('Debt Tracker'!$T$5:$AE$29,20,AC514-1)&gt;0.01))*('Recurring Items'!$H$27&lt;&gt;"Skip")*(DAY(AB514)='Recurring Items'!$F$27)*IFERROR(N('Recurring Items'!$D$27),0)+(IF(AC514=1,'Debt Tracker'!$P$25&gt;0.01,INDEX('Debt Tracker'!$T$5:$AE$29,21,AC514-1)&gt;0.01))*('Recurring Items'!$H$28&lt;&gt;"Skip")*(DAY(AB514)='Recurring Items'!$F$28)*IFERROR(N('Recurring Items'!$D$28),0)+(IF(AC514=1,'Debt Tracker'!$P$26&gt;0.01,INDEX('Debt Tracker'!$T$5:$AE$29,22,AC514-1)&gt;0.01))*('Recurring Items'!$H$29&lt;&gt;"Skip")*(DAY(AB514)='Recurring Items'!$F$29)*IFERROR(N('Recurring Items'!$D$29),0)+(IF(AC514=1,'Debt Tracker'!$P$27&gt;0.01,INDEX('Debt Tracker'!$T$5:$AE$29,23,AC514-1)&gt;0.01))*('Recurring Items'!$H$30&lt;&gt;"Skip")*(DAY(AB514)='Recurring Items'!$F$30)*IFERROR(N('Recurring Items'!$D$30),0)+(IF(AC514=1,'Debt Tracker'!$P$28&gt;0.01,INDEX('Debt Tracker'!$T$5:$AE$29,24,AC514-1)&gt;0.01))*('Recurring Items'!$H$31&lt;&gt;"Skip")*(DAY(AB514)='Recurring Items'!$F$31)*IFERROR(N('Recurring Items'!$D$31),0)+(IF(AC514=1,'Debt Tracker'!$P$29&gt;0.01,INDEX('Debt Tracker'!$T$5:$AE$29,25,AC514-1)&gt;0.01))*('Recurring Items'!$H$32&lt;&gt;"Skip")*(DAY(AB514)='Recurring Items'!$F$32)*IFERROR(N('Recurring Items'!$D$32),0)</f>
        <v>0</v>
      </c>
      <c r="AG514" s="1" t="n">
        <f aca="false">AD514-AE514-AF514</f>
        <v>2274.42</v>
      </c>
      <c r="AH514" s="1" t="n">
        <f aca="false">AH513+AG514</f>
        <v>24176.09</v>
      </c>
    </row>
    <row r="515" customFormat="false" ht="15" hidden="false" customHeight="true" outlineLevel="0" collapsed="false">
      <c r="AA515" s="1" t="n">
        <v>315</v>
      </c>
      <c r="AB515" s="145" t="n">
        <f aca="false">$D$3+315</f>
        <v>46458</v>
      </c>
      <c r="AC515" s="1" t="n">
        <f aca="false">MIN(12,1+DATEDIF($D$3,AB515,"M"))</f>
        <v>11</v>
      </c>
      <c r="AD515" s="1" t="n">
        <f aca="false">SUMPRODUCT(('Recurring Items'!$C$6:$C$56="Income")*('Recurring Items'!$H$6:$H$56&lt;&gt;"Skip")*IFERROR(N('Recurring Items'!$D$6:$D$56),0)*(('Recurring Items'!$E$6:$E$56="Monthly")*(DAY(AB515)='Recurring Items'!$F$6:$F$56)+('Recurring Items'!$E$6:$E$56="Bi-weekly")*(WEEKDAY(AB515)=IFERROR(WEEKDAY('Recurring Items'!$G$6:$G$56),0))*(MOD(AB515-IFERROR('Recurring Items'!$G$6:$G$56,0),14)=0)*(AB515&gt;=IFERROR('Recurring Items'!$G$6:$G$56,9000000000))+('Recurring Items'!$E$6:$E$56="Weekly")*(WEEKDAY(AB515)=IFERROR(WEEKDAY('Recurring Items'!$G$6:$G$56),0))*(AB515&gt;=IFERROR('Recurring Items'!$G$6:$G$56,9000000000))+('Recurring Items'!$E$6:$E$56="One-time")*(AB515='Recurring Items'!$G$6:$G$56)))</f>
        <v>0</v>
      </c>
      <c r="AE515" s="1" t="n">
        <f aca="false">SUMPRODUCT(('Recurring Items'!$C$6:$C$56="Expense")*('Recurring Items'!$H$6:$H$56&lt;&gt;"Skip")*IFERROR(N('Recurring Items'!$D$6:$D$56),0)*(('Recurring Items'!$E$6:$E$56="Monthly")*(DAY(AB515)='Recurring Items'!$F$6:$F$56)+('Recurring Items'!$E$6:$E$56="Bi-weekly")*(WEEKDAY(AB515)=IFERROR(WEEKDAY('Recurring Items'!$G$6:$G$56),0))*(MOD(AB515-IFERROR('Recurring Items'!$G$6:$G$56,0),14)=0)*(AB515&gt;=IFERROR('Recurring Items'!$G$6:$G$56,9000000000))+('Recurring Items'!$E$6:$E$56="Weekly")*(WEEKDAY(AB515)=IFERROR(WEEKDAY('Recurring Items'!$G$6:$G$56),0))*(AB515&gt;=IFERROR('Recurring Items'!$G$6:$G$56,9000000000))+('Recurring Items'!$E$6:$E$56="One-time")*(AB515='Recurring Items'!$G$6:$G$56)))</f>
        <v>627.68</v>
      </c>
      <c r="AF515" s="1" t="n">
        <f aca="false">(IF(AC515=1,'Debt Tracker'!$P$5&gt;0.01,INDEX('Debt Tracker'!$T$5:$AE$29,1,AC515-1)&gt;0.01))*('Recurring Items'!$H$8&lt;&gt;"Skip")*(DAY(AB515)='Recurring Items'!$F$8)*IFERROR(N('Recurring Items'!$D$8),0)+(IF(AC515=1,'Debt Tracker'!$P$6&gt;0.01,INDEX('Debt Tracker'!$T$5:$AE$29,2,AC515-1)&gt;0.01))*('Recurring Items'!$H$9&lt;&gt;"Skip")*(DAY(AB515)='Recurring Items'!$F$9)*IFERROR(N('Recurring Items'!$D$9),0)+(IF(AC515=1,'Debt Tracker'!$P$7&gt;0.01,INDEX('Debt Tracker'!$T$5:$AE$29,3,AC515-1)&gt;0.01))*('Recurring Items'!$H$10&lt;&gt;"Skip")*(DAY(AB515)='Recurring Items'!$F$10)*IFERROR(N('Recurring Items'!$D$10),0)+(IF(AC515=1,'Debt Tracker'!$P$8&gt;0.01,INDEX('Debt Tracker'!$T$5:$AE$29,4,AC515-1)&gt;0.01))*('Recurring Items'!$H$11&lt;&gt;"Skip")*(DAY(AB515)='Recurring Items'!$F$11)*IFERROR(N('Recurring Items'!$D$11),0)+(IF(AC515=1,'Debt Tracker'!$P$9&gt;0.01,INDEX('Debt Tracker'!$T$5:$AE$29,5,AC515-1)&gt;0.01))*('Recurring Items'!$H$12&lt;&gt;"Skip")*(DAY(AB515)='Recurring Items'!$F$12)*IFERROR(N('Recurring Items'!$D$12),0)+(IF(AC515=1,'Debt Tracker'!$P$10&gt;0.01,INDEX('Debt Tracker'!$T$5:$AE$29,6,AC515-1)&gt;0.01))*('Recurring Items'!$H$13&lt;&gt;"Skip")*(DAY(AB515)='Recurring Items'!$F$13)*IFERROR(N('Recurring Items'!$D$13),0)+(IF(AC515=1,'Debt Tracker'!$P$11&gt;0.01,INDEX('Debt Tracker'!$T$5:$AE$29,7,AC515-1)&gt;0.01))*('Recurring Items'!$H$14&lt;&gt;"Skip")*(DAY(AB515)='Recurring Items'!$F$14)*IFERROR(N('Recurring Items'!$D$14),0)+(IF(AC515=1,'Debt Tracker'!$P$12&gt;0.01,INDEX('Debt Tracker'!$T$5:$AE$29,8,AC515-1)&gt;0.01))*('Recurring Items'!$H$15&lt;&gt;"Skip")*(DAY(AB515)='Recurring Items'!$F$15)*IFERROR(N('Recurring Items'!$D$15),0)+(IF(AC515=1,'Debt Tracker'!$P$13&gt;0.01,INDEX('Debt Tracker'!$T$5:$AE$29,9,AC515-1)&gt;0.01))*('Recurring Items'!$H$16&lt;&gt;"Skip")*(DAY(AB515)='Recurring Items'!$F$16)*IFERROR(N('Recurring Items'!$D$16),0)+(IF(AC515=1,'Debt Tracker'!$P$14&gt;0.01,INDEX('Debt Tracker'!$T$5:$AE$29,10,AC515-1)&gt;0.01))*('Recurring Items'!$H$17&lt;&gt;"Skip")*(DAY(AB515)='Recurring Items'!$F$17)*IFERROR(N('Recurring Items'!$D$17),0)+(IF(AC515=1,'Debt Tracker'!$P$15&gt;0.01,INDEX('Debt Tracker'!$T$5:$AE$29,11,AC515-1)&gt;0.01))*('Recurring Items'!$H$18&lt;&gt;"Skip")*(DAY(AB515)='Recurring Items'!$F$18)*IFERROR(N('Recurring Items'!$D$18),0)+(IF(AC515=1,'Debt Tracker'!$P$16&gt;0.01,INDEX('Debt Tracker'!$T$5:$AE$29,12,AC515-1)&gt;0.01))*('Recurring Items'!$H$19&lt;&gt;"Skip")*(DAY(AB515)='Recurring Items'!$F$19)*IFERROR(N('Recurring Items'!$D$19),0)+(IF(AC515=1,'Debt Tracker'!$P$17&gt;0.01,INDEX('Debt Tracker'!$T$5:$AE$29,13,AC515-1)&gt;0.01))*('Recurring Items'!$H$20&lt;&gt;"Skip")*(DAY(AB515)='Recurring Items'!$F$20)*IFERROR(N('Recurring Items'!$D$20),0)+(IF(AC515=1,'Debt Tracker'!$P$18&gt;0.01,INDEX('Debt Tracker'!$T$5:$AE$29,14,AC515-1)&gt;0.01))*('Recurring Items'!$H$21&lt;&gt;"Skip")*(DAY(AB515)='Recurring Items'!$F$21)*IFERROR(N('Recurring Items'!$D$21),0)+(IF(AC515=1,'Debt Tracker'!$P$19&gt;0.01,INDEX('Debt Tracker'!$T$5:$AE$29,15,AC515-1)&gt;0.01))*('Recurring Items'!$H$22&lt;&gt;"Skip")*(DAY(AB515)='Recurring Items'!$F$22)*IFERROR(N('Recurring Items'!$D$22),0)+(IF(AC515=1,'Debt Tracker'!$P$20&gt;0.01,INDEX('Debt Tracker'!$T$5:$AE$29,16,AC515-1)&gt;0.01))*('Recurring Items'!$H$23&lt;&gt;"Skip")*(DAY(AB515)='Recurring Items'!$F$23)*IFERROR(N('Recurring Items'!$D$23),0)+(IF(AC515=1,'Debt Tracker'!$P$21&gt;0.01,INDEX('Debt Tracker'!$T$5:$AE$29,17,AC515-1)&gt;0.01))*('Recurring Items'!$H$24&lt;&gt;"Skip")*(DAY(AB515)='Recurring Items'!$F$24)*IFERROR(N('Recurring Items'!$D$24),0)+(IF(AC515=1,'Debt Tracker'!$P$22&gt;0.01,INDEX('Debt Tracker'!$T$5:$AE$29,18,AC515-1)&gt;0.01))*('Recurring Items'!$H$25&lt;&gt;"Skip")*(DAY(AB515)='Recurring Items'!$F$25)*IFERROR(N('Recurring Items'!$D$25),0)+(IF(AC515=1,'Debt Tracker'!$P$23&gt;0.01,INDEX('Debt Tracker'!$T$5:$AE$29,19,AC515-1)&gt;0.01))*('Recurring Items'!$H$26&lt;&gt;"Skip")*(DAY(AB515)='Recurring Items'!$F$26)*IFERROR(N('Recurring Items'!$D$26),0)+(IF(AC515=1,'Debt Tracker'!$P$24&gt;0.01,INDEX('Debt Tracker'!$T$5:$AE$29,20,AC515-1)&gt;0.01))*('Recurring Items'!$H$27&lt;&gt;"Skip")*(DAY(AB515)='Recurring Items'!$F$27)*IFERROR(N('Recurring Items'!$D$27),0)+(IF(AC515=1,'Debt Tracker'!$P$25&gt;0.01,INDEX('Debt Tracker'!$T$5:$AE$29,21,AC515-1)&gt;0.01))*('Recurring Items'!$H$28&lt;&gt;"Skip")*(DAY(AB515)='Recurring Items'!$F$28)*IFERROR(N('Recurring Items'!$D$28),0)+(IF(AC515=1,'Debt Tracker'!$P$26&gt;0.01,INDEX('Debt Tracker'!$T$5:$AE$29,22,AC515-1)&gt;0.01))*('Recurring Items'!$H$29&lt;&gt;"Skip")*(DAY(AB515)='Recurring Items'!$F$29)*IFERROR(N('Recurring Items'!$D$29),0)+(IF(AC515=1,'Debt Tracker'!$P$27&gt;0.01,INDEX('Debt Tracker'!$T$5:$AE$29,23,AC515-1)&gt;0.01))*('Recurring Items'!$H$30&lt;&gt;"Skip")*(DAY(AB515)='Recurring Items'!$F$30)*IFERROR(N('Recurring Items'!$D$30),0)+(IF(AC515=1,'Debt Tracker'!$P$28&gt;0.01,INDEX('Debt Tracker'!$T$5:$AE$29,24,AC515-1)&gt;0.01))*('Recurring Items'!$H$31&lt;&gt;"Skip")*(DAY(AB515)='Recurring Items'!$F$31)*IFERROR(N('Recurring Items'!$D$31),0)+(IF(AC515=1,'Debt Tracker'!$P$29&gt;0.01,INDEX('Debt Tracker'!$T$5:$AE$29,25,AC515-1)&gt;0.01))*('Recurring Items'!$H$32&lt;&gt;"Skip")*(DAY(AB515)='Recurring Items'!$F$32)*IFERROR(N('Recurring Items'!$D$32),0)</f>
        <v>0</v>
      </c>
      <c r="AG515" s="1" t="n">
        <f aca="false">AD515-AE515-AF515</f>
        <v>-627.68</v>
      </c>
      <c r="AH515" s="1" t="n">
        <f aca="false">AH514+AG515</f>
        <v>23548.41</v>
      </c>
    </row>
    <row r="516" customFormat="false" ht="15" hidden="false" customHeight="true" outlineLevel="0" collapsed="false">
      <c r="AA516" s="1" t="n">
        <v>316</v>
      </c>
      <c r="AB516" s="145" t="n">
        <f aca="false">$D$3+316</f>
        <v>46459</v>
      </c>
      <c r="AC516" s="1" t="n">
        <f aca="false">MIN(12,1+DATEDIF($D$3,AB516,"M"))</f>
        <v>11</v>
      </c>
      <c r="AD516" s="1" t="n">
        <f aca="false">SUMPRODUCT(('Recurring Items'!$C$6:$C$56="Income")*('Recurring Items'!$H$6:$H$56&lt;&gt;"Skip")*IFERROR(N('Recurring Items'!$D$6:$D$56),0)*(('Recurring Items'!$E$6:$E$56="Monthly")*(DAY(AB516)='Recurring Items'!$F$6:$F$56)+('Recurring Items'!$E$6:$E$56="Bi-weekly")*(WEEKDAY(AB516)=IFERROR(WEEKDAY('Recurring Items'!$G$6:$G$56),0))*(MOD(AB516-IFERROR('Recurring Items'!$G$6:$G$56,0),14)=0)*(AB516&gt;=IFERROR('Recurring Items'!$G$6:$G$56,9000000000))+('Recurring Items'!$E$6:$E$56="Weekly")*(WEEKDAY(AB516)=IFERROR(WEEKDAY('Recurring Items'!$G$6:$G$56),0))*(AB516&gt;=IFERROR('Recurring Items'!$G$6:$G$56,9000000000))+('Recurring Items'!$E$6:$E$56="One-time")*(AB516='Recurring Items'!$G$6:$G$56)))</f>
        <v>0</v>
      </c>
      <c r="AE516" s="1" t="n">
        <f aca="false">SUMPRODUCT(('Recurring Items'!$C$6:$C$56="Expense")*('Recurring Items'!$H$6:$H$56&lt;&gt;"Skip")*IFERROR(N('Recurring Items'!$D$6:$D$56),0)*(('Recurring Items'!$E$6:$E$56="Monthly")*(DAY(AB516)='Recurring Items'!$F$6:$F$56)+('Recurring Items'!$E$6:$E$56="Bi-weekly")*(WEEKDAY(AB516)=IFERROR(WEEKDAY('Recurring Items'!$G$6:$G$56),0))*(MOD(AB516-IFERROR('Recurring Items'!$G$6:$G$56,0),14)=0)*(AB516&gt;=IFERROR('Recurring Items'!$G$6:$G$56,9000000000))+('Recurring Items'!$E$6:$E$56="Weekly")*(WEEKDAY(AB516)=IFERROR(WEEKDAY('Recurring Items'!$G$6:$G$56),0))*(AB516&gt;=IFERROR('Recurring Items'!$G$6:$G$56,9000000000))+('Recurring Items'!$E$6:$E$56="One-time")*(AB516='Recurring Items'!$G$6:$G$56)))</f>
        <v>0</v>
      </c>
      <c r="AF516" s="1" t="n">
        <f aca="false">(IF(AC516=1,'Debt Tracker'!$P$5&gt;0.01,INDEX('Debt Tracker'!$T$5:$AE$29,1,AC516-1)&gt;0.01))*('Recurring Items'!$H$8&lt;&gt;"Skip")*(DAY(AB516)='Recurring Items'!$F$8)*IFERROR(N('Recurring Items'!$D$8),0)+(IF(AC516=1,'Debt Tracker'!$P$6&gt;0.01,INDEX('Debt Tracker'!$T$5:$AE$29,2,AC516-1)&gt;0.01))*('Recurring Items'!$H$9&lt;&gt;"Skip")*(DAY(AB516)='Recurring Items'!$F$9)*IFERROR(N('Recurring Items'!$D$9),0)+(IF(AC516=1,'Debt Tracker'!$P$7&gt;0.01,INDEX('Debt Tracker'!$T$5:$AE$29,3,AC516-1)&gt;0.01))*('Recurring Items'!$H$10&lt;&gt;"Skip")*(DAY(AB516)='Recurring Items'!$F$10)*IFERROR(N('Recurring Items'!$D$10),0)+(IF(AC516=1,'Debt Tracker'!$P$8&gt;0.01,INDEX('Debt Tracker'!$T$5:$AE$29,4,AC516-1)&gt;0.01))*('Recurring Items'!$H$11&lt;&gt;"Skip")*(DAY(AB516)='Recurring Items'!$F$11)*IFERROR(N('Recurring Items'!$D$11),0)+(IF(AC516=1,'Debt Tracker'!$P$9&gt;0.01,INDEX('Debt Tracker'!$T$5:$AE$29,5,AC516-1)&gt;0.01))*('Recurring Items'!$H$12&lt;&gt;"Skip")*(DAY(AB516)='Recurring Items'!$F$12)*IFERROR(N('Recurring Items'!$D$12),0)+(IF(AC516=1,'Debt Tracker'!$P$10&gt;0.01,INDEX('Debt Tracker'!$T$5:$AE$29,6,AC516-1)&gt;0.01))*('Recurring Items'!$H$13&lt;&gt;"Skip")*(DAY(AB516)='Recurring Items'!$F$13)*IFERROR(N('Recurring Items'!$D$13),0)+(IF(AC516=1,'Debt Tracker'!$P$11&gt;0.01,INDEX('Debt Tracker'!$T$5:$AE$29,7,AC516-1)&gt;0.01))*('Recurring Items'!$H$14&lt;&gt;"Skip")*(DAY(AB516)='Recurring Items'!$F$14)*IFERROR(N('Recurring Items'!$D$14),0)+(IF(AC516=1,'Debt Tracker'!$P$12&gt;0.01,INDEX('Debt Tracker'!$T$5:$AE$29,8,AC516-1)&gt;0.01))*('Recurring Items'!$H$15&lt;&gt;"Skip")*(DAY(AB516)='Recurring Items'!$F$15)*IFERROR(N('Recurring Items'!$D$15),0)+(IF(AC516=1,'Debt Tracker'!$P$13&gt;0.01,INDEX('Debt Tracker'!$T$5:$AE$29,9,AC516-1)&gt;0.01))*('Recurring Items'!$H$16&lt;&gt;"Skip")*(DAY(AB516)='Recurring Items'!$F$16)*IFERROR(N('Recurring Items'!$D$16),0)+(IF(AC516=1,'Debt Tracker'!$P$14&gt;0.01,INDEX('Debt Tracker'!$T$5:$AE$29,10,AC516-1)&gt;0.01))*('Recurring Items'!$H$17&lt;&gt;"Skip")*(DAY(AB516)='Recurring Items'!$F$17)*IFERROR(N('Recurring Items'!$D$17),0)+(IF(AC516=1,'Debt Tracker'!$P$15&gt;0.01,INDEX('Debt Tracker'!$T$5:$AE$29,11,AC516-1)&gt;0.01))*('Recurring Items'!$H$18&lt;&gt;"Skip")*(DAY(AB516)='Recurring Items'!$F$18)*IFERROR(N('Recurring Items'!$D$18),0)+(IF(AC516=1,'Debt Tracker'!$P$16&gt;0.01,INDEX('Debt Tracker'!$T$5:$AE$29,12,AC516-1)&gt;0.01))*('Recurring Items'!$H$19&lt;&gt;"Skip")*(DAY(AB516)='Recurring Items'!$F$19)*IFERROR(N('Recurring Items'!$D$19),0)+(IF(AC516=1,'Debt Tracker'!$P$17&gt;0.01,INDEX('Debt Tracker'!$T$5:$AE$29,13,AC516-1)&gt;0.01))*('Recurring Items'!$H$20&lt;&gt;"Skip")*(DAY(AB516)='Recurring Items'!$F$20)*IFERROR(N('Recurring Items'!$D$20),0)+(IF(AC516=1,'Debt Tracker'!$P$18&gt;0.01,INDEX('Debt Tracker'!$T$5:$AE$29,14,AC516-1)&gt;0.01))*('Recurring Items'!$H$21&lt;&gt;"Skip")*(DAY(AB516)='Recurring Items'!$F$21)*IFERROR(N('Recurring Items'!$D$21),0)+(IF(AC516=1,'Debt Tracker'!$P$19&gt;0.01,INDEX('Debt Tracker'!$T$5:$AE$29,15,AC516-1)&gt;0.01))*('Recurring Items'!$H$22&lt;&gt;"Skip")*(DAY(AB516)='Recurring Items'!$F$22)*IFERROR(N('Recurring Items'!$D$22),0)+(IF(AC516=1,'Debt Tracker'!$P$20&gt;0.01,INDEX('Debt Tracker'!$T$5:$AE$29,16,AC516-1)&gt;0.01))*('Recurring Items'!$H$23&lt;&gt;"Skip")*(DAY(AB516)='Recurring Items'!$F$23)*IFERROR(N('Recurring Items'!$D$23),0)+(IF(AC516=1,'Debt Tracker'!$P$21&gt;0.01,INDEX('Debt Tracker'!$T$5:$AE$29,17,AC516-1)&gt;0.01))*('Recurring Items'!$H$24&lt;&gt;"Skip")*(DAY(AB516)='Recurring Items'!$F$24)*IFERROR(N('Recurring Items'!$D$24),0)+(IF(AC516=1,'Debt Tracker'!$P$22&gt;0.01,INDEX('Debt Tracker'!$T$5:$AE$29,18,AC516-1)&gt;0.01))*('Recurring Items'!$H$25&lt;&gt;"Skip")*(DAY(AB516)='Recurring Items'!$F$25)*IFERROR(N('Recurring Items'!$D$25),0)+(IF(AC516=1,'Debt Tracker'!$P$23&gt;0.01,INDEX('Debt Tracker'!$T$5:$AE$29,19,AC516-1)&gt;0.01))*('Recurring Items'!$H$26&lt;&gt;"Skip")*(DAY(AB516)='Recurring Items'!$F$26)*IFERROR(N('Recurring Items'!$D$26),0)+(IF(AC516=1,'Debt Tracker'!$P$24&gt;0.01,INDEX('Debt Tracker'!$T$5:$AE$29,20,AC516-1)&gt;0.01))*('Recurring Items'!$H$27&lt;&gt;"Skip")*(DAY(AB516)='Recurring Items'!$F$27)*IFERROR(N('Recurring Items'!$D$27),0)+(IF(AC516=1,'Debt Tracker'!$P$25&gt;0.01,INDEX('Debt Tracker'!$T$5:$AE$29,21,AC516-1)&gt;0.01))*('Recurring Items'!$H$28&lt;&gt;"Skip")*(DAY(AB516)='Recurring Items'!$F$28)*IFERROR(N('Recurring Items'!$D$28),0)+(IF(AC516=1,'Debt Tracker'!$P$26&gt;0.01,INDEX('Debt Tracker'!$T$5:$AE$29,22,AC516-1)&gt;0.01))*('Recurring Items'!$H$29&lt;&gt;"Skip")*(DAY(AB516)='Recurring Items'!$F$29)*IFERROR(N('Recurring Items'!$D$29),0)+(IF(AC516=1,'Debt Tracker'!$P$27&gt;0.01,INDEX('Debt Tracker'!$T$5:$AE$29,23,AC516-1)&gt;0.01))*('Recurring Items'!$H$30&lt;&gt;"Skip")*(DAY(AB516)='Recurring Items'!$F$30)*IFERROR(N('Recurring Items'!$D$30),0)+(IF(AC516=1,'Debt Tracker'!$P$28&gt;0.01,INDEX('Debt Tracker'!$T$5:$AE$29,24,AC516-1)&gt;0.01))*('Recurring Items'!$H$31&lt;&gt;"Skip")*(DAY(AB516)='Recurring Items'!$F$31)*IFERROR(N('Recurring Items'!$D$31),0)+(IF(AC516=1,'Debt Tracker'!$P$29&gt;0.01,INDEX('Debt Tracker'!$T$5:$AE$29,25,AC516-1)&gt;0.01))*('Recurring Items'!$H$32&lt;&gt;"Skip")*(DAY(AB516)='Recurring Items'!$F$32)*IFERROR(N('Recurring Items'!$D$32),0)</f>
        <v>0</v>
      </c>
      <c r="AG516" s="1" t="n">
        <f aca="false">AD516-AE516-AF516</f>
        <v>0</v>
      </c>
      <c r="AH516" s="1" t="n">
        <f aca="false">AH515+AG516</f>
        <v>23548.41</v>
      </c>
    </row>
    <row r="517" customFormat="false" ht="15" hidden="false" customHeight="true" outlineLevel="0" collapsed="false">
      <c r="AA517" s="1" t="n">
        <v>317</v>
      </c>
      <c r="AB517" s="145" t="n">
        <f aca="false">$D$3+317</f>
        <v>46460</v>
      </c>
      <c r="AC517" s="1" t="n">
        <f aca="false">MIN(12,1+DATEDIF($D$3,AB517,"M"))</f>
        <v>11</v>
      </c>
      <c r="AD517" s="1" t="n">
        <f aca="false">SUMPRODUCT(('Recurring Items'!$C$6:$C$56="Income")*('Recurring Items'!$H$6:$H$56&lt;&gt;"Skip")*IFERROR(N('Recurring Items'!$D$6:$D$56),0)*(('Recurring Items'!$E$6:$E$56="Monthly")*(DAY(AB517)='Recurring Items'!$F$6:$F$56)+('Recurring Items'!$E$6:$E$56="Bi-weekly")*(WEEKDAY(AB517)=IFERROR(WEEKDAY('Recurring Items'!$G$6:$G$56),0))*(MOD(AB517-IFERROR('Recurring Items'!$G$6:$G$56,0),14)=0)*(AB517&gt;=IFERROR('Recurring Items'!$G$6:$G$56,9000000000))+('Recurring Items'!$E$6:$E$56="Weekly")*(WEEKDAY(AB517)=IFERROR(WEEKDAY('Recurring Items'!$G$6:$G$56),0))*(AB517&gt;=IFERROR('Recurring Items'!$G$6:$G$56,9000000000))+('Recurring Items'!$E$6:$E$56="One-time")*(AB517='Recurring Items'!$G$6:$G$56)))</f>
        <v>0</v>
      </c>
      <c r="AE517" s="1" t="n">
        <f aca="false">SUMPRODUCT(('Recurring Items'!$C$6:$C$56="Expense")*('Recurring Items'!$H$6:$H$56&lt;&gt;"Skip")*IFERROR(N('Recurring Items'!$D$6:$D$56),0)*(('Recurring Items'!$E$6:$E$56="Monthly")*(DAY(AB517)='Recurring Items'!$F$6:$F$56)+('Recurring Items'!$E$6:$E$56="Bi-weekly")*(WEEKDAY(AB517)=IFERROR(WEEKDAY('Recurring Items'!$G$6:$G$56),0))*(MOD(AB517-IFERROR('Recurring Items'!$G$6:$G$56,0),14)=0)*(AB517&gt;=IFERROR('Recurring Items'!$G$6:$G$56,9000000000))+('Recurring Items'!$E$6:$E$56="Weekly")*(WEEKDAY(AB517)=IFERROR(WEEKDAY('Recurring Items'!$G$6:$G$56),0))*(AB517&gt;=IFERROR('Recurring Items'!$G$6:$G$56,9000000000))+('Recurring Items'!$E$6:$E$56="One-time")*(AB517='Recurring Items'!$G$6:$G$56)))</f>
        <v>0</v>
      </c>
      <c r="AF517" s="1" t="n">
        <f aca="false">(IF(AC517=1,'Debt Tracker'!$P$5&gt;0.01,INDEX('Debt Tracker'!$T$5:$AE$29,1,AC517-1)&gt;0.01))*('Recurring Items'!$H$8&lt;&gt;"Skip")*(DAY(AB517)='Recurring Items'!$F$8)*IFERROR(N('Recurring Items'!$D$8),0)+(IF(AC517=1,'Debt Tracker'!$P$6&gt;0.01,INDEX('Debt Tracker'!$T$5:$AE$29,2,AC517-1)&gt;0.01))*('Recurring Items'!$H$9&lt;&gt;"Skip")*(DAY(AB517)='Recurring Items'!$F$9)*IFERROR(N('Recurring Items'!$D$9),0)+(IF(AC517=1,'Debt Tracker'!$P$7&gt;0.01,INDEX('Debt Tracker'!$T$5:$AE$29,3,AC517-1)&gt;0.01))*('Recurring Items'!$H$10&lt;&gt;"Skip")*(DAY(AB517)='Recurring Items'!$F$10)*IFERROR(N('Recurring Items'!$D$10),0)+(IF(AC517=1,'Debt Tracker'!$P$8&gt;0.01,INDEX('Debt Tracker'!$T$5:$AE$29,4,AC517-1)&gt;0.01))*('Recurring Items'!$H$11&lt;&gt;"Skip")*(DAY(AB517)='Recurring Items'!$F$11)*IFERROR(N('Recurring Items'!$D$11),0)+(IF(AC517=1,'Debt Tracker'!$P$9&gt;0.01,INDEX('Debt Tracker'!$T$5:$AE$29,5,AC517-1)&gt;0.01))*('Recurring Items'!$H$12&lt;&gt;"Skip")*(DAY(AB517)='Recurring Items'!$F$12)*IFERROR(N('Recurring Items'!$D$12),0)+(IF(AC517=1,'Debt Tracker'!$P$10&gt;0.01,INDEX('Debt Tracker'!$T$5:$AE$29,6,AC517-1)&gt;0.01))*('Recurring Items'!$H$13&lt;&gt;"Skip")*(DAY(AB517)='Recurring Items'!$F$13)*IFERROR(N('Recurring Items'!$D$13),0)+(IF(AC517=1,'Debt Tracker'!$P$11&gt;0.01,INDEX('Debt Tracker'!$T$5:$AE$29,7,AC517-1)&gt;0.01))*('Recurring Items'!$H$14&lt;&gt;"Skip")*(DAY(AB517)='Recurring Items'!$F$14)*IFERROR(N('Recurring Items'!$D$14),0)+(IF(AC517=1,'Debt Tracker'!$P$12&gt;0.01,INDEX('Debt Tracker'!$T$5:$AE$29,8,AC517-1)&gt;0.01))*('Recurring Items'!$H$15&lt;&gt;"Skip")*(DAY(AB517)='Recurring Items'!$F$15)*IFERROR(N('Recurring Items'!$D$15),0)+(IF(AC517=1,'Debt Tracker'!$P$13&gt;0.01,INDEX('Debt Tracker'!$T$5:$AE$29,9,AC517-1)&gt;0.01))*('Recurring Items'!$H$16&lt;&gt;"Skip")*(DAY(AB517)='Recurring Items'!$F$16)*IFERROR(N('Recurring Items'!$D$16),0)+(IF(AC517=1,'Debt Tracker'!$P$14&gt;0.01,INDEX('Debt Tracker'!$T$5:$AE$29,10,AC517-1)&gt;0.01))*('Recurring Items'!$H$17&lt;&gt;"Skip")*(DAY(AB517)='Recurring Items'!$F$17)*IFERROR(N('Recurring Items'!$D$17),0)+(IF(AC517=1,'Debt Tracker'!$P$15&gt;0.01,INDEX('Debt Tracker'!$T$5:$AE$29,11,AC517-1)&gt;0.01))*('Recurring Items'!$H$18&lt;&gt;"Skip")*(DAY(AB517)='Recurring Items'!$F$18)*IFERROR(N('Recurring Items'!$D$18),0)+(IF(AC517=1,'Debt Tracker'!$P$16&gt;0.01,INDEX('Debt Tracker'!$T$5:$AE$29,12,AC517-1)&gt;0.01))*('Recurring Items'!$H$19&lt;&gt;"Skip")*(DAY(AB517)='Recurring Items'!$F$19)*IFERROR(N('Recurring Items'!$D$19),0)+(IF(AC517=1,'Debt Tracker'!$P$17&gt;0.01,INDEX('Debt Tracker'!$T$5:$AE$29,13,AC517-1)&gt;0.01))*('Recurring Items'!$H$20&lt;&gt;"Skip")*(DAY(AB517)='Recurring Items'!$F$20)*IFERROR(N('Recurring Items'!$D$20),0)+(IF(AC517=1,'Debt Tracker'!$P$18&gt;0.01,INDEX('Debt Tracker'!$T$5:$AE$29,14,AC517-1)&gt;0.01))*('Recurring Items'!$H$21&lt;&gt;"Skip")*(DAY(AB517)='Recurring Items'!$F$21)*IFERROR(N('Recurring Items'!$D$21),0)+(IF(AC517=1,'Debt Tracker'!$P$19&gt;0.01,INDEX('Debt Tracker'!$T$5:$AE$29,15,AC517-1)&gt;0.01))*('Recurring Items'!$H$22&lt;&gt;"Skip")*(DAY(AB517)='Recurring Items'!$F$22)*IFERROR(N('Recurring Items'!$D$22),0)+(IF(AC517=1,'Debt Tracker'!$P$20&gt;0.01,INDEX('Debt Tracker'!$T$5:$AE$29,16,AC517-1)&gt;0.01))*('Recurring Items'!$H$23&lt;&gt;"Skip")*(DAY(AB517)='Recurring Items'!$F$23)*IFERROR(N('Recurring Items'!$D$23),0)+(IF(AC517=1,'Debt Tracker'!$P$21&gt;0.01,INDEX('Debt Tracker'!$T$5:$AE$29,17,AC517-1)&gt;0.01))*('Recurring Items'!$H$24&lt;&gt;"Skip")*(DAY(AB517)='Recurring Items'!$F$24)*IFERROR(N('Recurring Items'!$D$24),0)+(IF(AC517=1,'Debt Tracker'!$P$22&gt;0.01,INDEX('Debt Tracker'!$T$5:$AE$29,18,AC517-1)&gt;0.01))*('Recurring Items'!$H$25&lt;&gt;"Skip")*(DAY(AB517)='Recurring Items'!$F$25)*IFERROR(N('Recurring Items'!$D$25),0)+(IF(AC517=1,'Debt Tracker'!$P$23&gt;0.01,INDEX('Debt Tracker'!$T$5:$AE$29,19,AC517-1)&gt;0.01))*('Recurring Items'!$H$26&lt;&gt;"Skip")*(DAY(AB517)='Recurring Items'!$F$26)*IFERROR(N('Recurring Items'!$D$26),0)+(IF(AC517=1,'Debt Tracker'!$P$24&gt;0.01,INDEX('Debt Tracker'!$T$5:$AE$29,20,AC517-1)&gt;0.01))*('Recurring Items'!$H$27&lt;&gt;"Skip")*(DAY(AB517)='Recurring Items'!$F$27)*IFERROR(N('Recurring Items'!$D$27),0)+(IF(AC517=1,'Debt Tracker'!$P$25&gt;0.01,INDEX('Debt Tracker'!$T$5:$AE$29,21,AC517-1)&gt;0.01))*('Recurring Items'!$H$28&lt;&gt;"Skip")*(DAY(AB517)='Recurring Items'!$F$28)*IFERROR(N('Recurring Items'!$D$28),0)+(IF(AC517=1,'Debt Tracker'!$P$26&gt;0.01,INDEX('Debt Tracker'!$T$5:$AE$29,22,AC517-1)&gt;0.01))*('Recurring Items'!$H$29&lt;&gt;"Skip")*(DAY(AB517)='Recurring Items'!$F$29)*IFERROR(N('Recurring Items'!$D$29),0)+(IF(AC517=1,'Debt Tracker'!$P$27&gt;0.01,INDEX('Debt Tracker'!$T$5:$AE$29,23,AC517-1)&gt;0.01))*('Recurring Items'!$H$30&lt;&gt;"Skip")*(DAY(AB517)='Recurring Items'!$F$30)*IFERROR(N('Recurring Items'!$D$30),0)+(IF(AC517=1,'Debt Tracker'!$P$28&gt;0.01,INDEX('Debt Tracker'!$T$5:$AE$29,24,AC517-1)&gt;0.01))*('Recurring Items'!$H$31&lt;&gt;"Skip")*(DAY(AB517)='Recurring Items'!$F$31)*IFERROR(N('Recurring Items'!$D$31),0)+(IF(AC517=1,'Debt Tracker'!$P$29&gt;0.01,INDEX('Debt Tracker'!$T$5:$AE$29,25,AC517-1)&gt;0.01))*('Recurring Items'!$H$32&lt;&gt;"Skip")*(DAY(AB517)='Recurring Items'!$F$32)*IFERROR(N('Recurring Items'!$D$32),0)</f>
        <v>0</v>
      </c>
      <c r="AG517" s="1" t="n">
        <f aca="false">AD517-AE517-AF517</f>
        <v>0</v>
      </c>
      <c r="AH517" s="1" t="n">
        <f aca="false">AH516+AG517</f>
        <v>23548.41</v>
      </c>
    </row>
    <row r="518" customFormat="false" ht="15" hidden="false" customHeight="true" outlineLevel="0" collapsed="false">
      <c r="AA518" s="1" t="n">
        <v>318</v>
      </c>
      <c r="AB518" s="145" t="n">
        <f aca="false">$D$3+318</f>
        <v>46461</v>
      </c>
      <c r="AC518" s="1" t="n">
        <f aca="false">MIN(12,1+DATEDIF($D$3,AB518,"M"))</f>
        <v>11</v>
      </c>
      <c r="AD518" s="1" t="n">
        <f aca="false">SUMPRODUCT(('Recurring Items'!$C$6:$C$56="Income")*('Recurring Items'!$H$6:$H$56&lt;&gt;"Skip")*IFERROR(N('Recurring Items'!$D$6:$D$56),0)*(('Recurring Items'!$E$6:$E$56="Monthly")*(DAY(AB518)='Recurring Items'!$F$6:$F$56)+('Recurring Items'!$E$6:$E$56="Bi-weekly")*(WEEKDAY(AB518)=IFERROR(WEEKDAY('Recurring Items'!$G$6:$G$56),0))*(MOD(AB518-IFERROR('Recurring Items'!$G$6:$G$56,0),14)=0)*(AB518&gt;=IFERROR('Recurring Items'!$G$6:$G$56,9000000000))+('Recurring Items'!$E$6:$E$56="Weekly")*(WEEKDAY(AB518)=IFERROR(WEEKDAY('Recurring Items'!$G$6:$G$56),0))*(AB518&gt;=IFERROR('Recurring Items'!$G$6:$G$56,9000000000))+('Recurring Items'!$E$6:$E$56="One-time")*(AB518='Recurring Items'!$G$6:$G$56)))</f>
        <v>0</v>
      </c>
      <c r="AE518" s="1" t="n">
        <f aca="false">SUMPRODUCT(('Recurring Items'!$C$6:$C$56="Expense")*('Recurring Items'!$H$6:$H$56&lt;&gt;"Skip")*IFERROR(N('Recurring Items'!$D$6:$D$56),0)*(('Recurring Items'!$E$6:$E$56="Monthly")*(DAY(AB518)='Recurring Items'!$F$6:$F$56)+('Recurring Items'!$E$6:$E$56="Bi-weekly")*(WEEKDAY(AB518)=IFERROR(WEEKDAY('Recurring Items'!$G$6:$G$56),0))*(MOD(AB518-IFERROR('Recurring Items'!$G$6:$G$56,0),14)=0)*(AB518&gt;=IFERROR('Recurring Items'!$G$6:$G$56,9000000000))+('Recurring Items'!$E$6:$E$56="Weekly")*(WEEKDAY(AB518)=IFERROR(WEEKDAY('Recurring Items'!$G$6:$G$56),0))*(AB518&gt;=IFERROR('Recurring Items'!$G$6:$G$56,9000000000))+('Recurring Items'!$E$6:$E$56="One-time")*(AB518='Recurring Items'!$G$6:$G$56)))</f>
        <v>2990.57</v>
      </c>
      <c r="AF518" s="1" t="n">
        <f aca="false">(IF(AC518=1,'Debt Tracker'!$P$5&gt;0.01,INDEX('Debt Tracker'!$T$5:$AE$29,1,AC518-1)&gt;0.01))*('Recurring Items'!$H$8&lt;&gt;"Skip")*(DAY(AB518)='Recurring Items'!$F$8)*IFERROR(N('Recurring Items'!$D$8),0)+(IF(AC518=1,'Debt Tracker'!$P$6&gt;0.01,INDEX('Debt Tracker'!$T$5:$AE$29,2,AC518-1)&gt;0.01))*('Recurring Items'!$H$9&lt;&gt;"Skip")*(DAY(AB518)='Recurring Items'!$F$9)*IFERROR(N('Recurring Items'!$D$9),0)+(IF(AC518=1,'Debt Tracker'!$P$7&gt;0.01,INDEX('Debt Tracker'!$T$5:$AE$29,3,AC518-1)&gt;0.01))*('Recurring Items'!$H$10&lt;&gt;"Skip")*(DAY(AB518)='Recurring Items'!$F$10)*IFERROR(N('Recurring Items'!$D$10),0)+(IF(AC518=1,'Debt Tracker'!$P$8&gt;0.01,INDEX('Debt Tracker'!$T$5:$AE$29,4,AC518-1)&gt;0.01))*('Recurring Items'!$H$11&lt;&gt;"Skip")*(DAY(AB518)='Recurring Items'!$F$11)*IFERROR(N('Recurring Items'!$D$11),0)+(IF(AC518=1,'Debt Tracker'!$P$9&gt;0.01,INDEX('Debt Tracker'!$T$5:$AE$29,5,AC518-1)&gt;0.01))*('Recurring Items'!$H$12&lt;&gt;"Skip")*(DAY(AB518)='Recurring Items'!$F$12)*IFERROR(N('Recurring Items'!$D$12),0)+(IF(AC518=1,'Debt Tracker'!$P$10&gt;0.01,INDEX('Debt Tracker'!$T$5:$AE$29,6,AC518-1)&gt;0.01))*('Recurring Items'!$H$13&lt;&gt;"Skip")*(DAY(AB518)='Recurring Items'!$F$13)*IFERROR(N('Recurring Items'!$D$13),0)+(IF(AC518=1,'Debt Tracker'!$P$11&gt;0.01,INDEX('Debt Tracker'!$T$5:$AE$29,7,AC518-1)&gt;0.01))*('Recurring Items'!$H$14&lt;&gt;"Skip")*(DAY(AB518)='Recurring Items'!$F$14)*IFERROR(N('Recurring Items'!$D$14),0)+(IF(AC518=1,'Debt Tracker'!$P$12&gt;0.01,INDEX('Debt Tracker'!$T$5:$AE$29,8,AC518-1)&gt;0.01))*('Recurring Items'!$H$15&lt;&gt;"Skip")*(DAY(AB518)='Recurring Items'!$F$15)*IFERROR(N('Recurring Items'!$D$15),0)+(IF(AC518=1,'Debt Tracker'!$P$13&gt;0.01,INDEX('Debt Tracker'!$T$5:$AE$29,9,AC518-1)&gt;0.01))*('Recurring Items'!$H$16&lt;&gt;"Skip")*(DAY(AB518)='Recurring Items'!$F$16)*IFERROR(N('Recurring Items'!$D$16),0)+(IF(AC518=1,'Debt Tracker'!$P$14&gt;0.01,INDEX('Debt Tracker'!$T$5:$AE$29,10,AC518-1)&gt;0.01))*('Recurring Items'!$H$17&lt;&gt;"Skip")*(DAY(AB518)='Recurring Items'!$F$17)*IFERROR(N('Recurring Items'!$D$17),0)+(IF(AC518=1,'Debt Tracker'!$P$15&gt;0.01,INDEX('Debt Tracker'!$T$5:$AE$29,11,AC518-1)&gt;0.01))*('Recurring Items'!$H$18&lt;&gt;"Skip")*(DAY(AB518)='Recurring Items'!$F$18)*IFERROR(N('Recurring Items'!$D$18),0)+(IF(AC518=1,'Debt Tracker'!$P$16&gt;0.01,INDEX('Debt Tracker'!$T$5:$AE$29,12,AC518-1)&gt;0.01))*('Recurring Items'!$H$19&lt;&gt;"Skip")*(DAY(AB518)='Recurring Items'!$F$19)*IFERROR(N('Recurring Items'!$D$19),0)+(IF(AC518=1,'Debt Tracker'!$P$17&gt;0.01,INDEX('Debt Tracker'!$T$5:$AE$29,13,AC518-1)&gt;0.01))*('Recurring Items'!$H$20&lt;&gt;"Skip")*(DAY(AB518)='Recurring Items'!$F$20)*IFERROR(N('Recurring Items'!$D$20),0)+(IF(AC518=1,'Debt Tracker'!$P$18&gt;0.01,INDEX('Debt Tracker'!$T$5:$AE$29,14,AC518-1)&gt;0.01))*('Recurring Items'!$H$21&lt;&gt;"Skip")*(DAY(AB518)='Recurring Items'!$F$21)*IFERROR(N('Recurring Items'!$D$21),0)+(IF(AC518=1,'Debt Tracker'!$P$19&gt;0.01,INDEX('Debt Tracker'!$T$5:$AE$29,15,AC518-1)&gt;0.01))*('Recurring Items'!$H$22&lt;&gt;"Skip")*(DAY(AB518)='Recurring Items'!$F$22)*IFERROR(N('Recurring Items'!$D$22),0)+(IF(AC518=1,'Debt Tracker'!$P$20&gt;0.01,INDEX('Debt Tracker'!$T$5:$AE$29,16,AC518-1)&gt;0.01))*('Recurring Items'!$H$23&lt;&gt;"Skip")*(DAY(AB518)='Recurring Items'!$F$23)*IFERROR(N('Recurring Items'!$D$23),0)+(IF(AC518=1,'Debt Tracker'!$P$21&gt;0.01,INDEX('Debt Tracker'!$T$5:$AE$29,17,AC518-1)&gt;0.01))*('Recurring Items'!$H$24&lt;&gt;"Skip")*(DAY(AB518)='Recurring Items'!$F$24)*IFERROR(N('Recurring Items'!$D$24),0)+(IF(AC518=1,'Debt Tracker'!$P$22&gt;0.01,INDEX('Debt Tracker'!$T$5:$AE$29,18,AC518-1)&gt;0.01))*('Recurring Items'!$H$25&lt;&gt;"Skip")*(DAY(AB518)='Recurring Items'!$F$25)*IFERROR(N('Recurring Items'!$D$25),0)+(IF(AC518=1,'Debt Tracker'!$P$23&gt;0.01,INDEX('Debt Tracker'!$T$5:$AE$29,19,AC518-1)&gt;0.01))*('Recurring Items'!$H$26&lt;&gt;"Skip")*(DAY(AB518)='Recurring Items'!$F$26)*IFERROR(N('Recurring Items'!$D$26),0)+(IF(AC518=1,'Debt Tracker'!$P$24&gt;0.01,INDEX('Debt Tracker'!$T$5:$AE$29,20,AC518-1)&gt;0.01))*('Recurring Items'!$H$27&lt;&gt;"Skip")*(DAY(AB518)='Recurring Items'!$F$27)*IFERROR(N('Recurring Items'!$D$27),0)+(IF(AC518=1,'Debt Tracker'!$P$25&gt;0.01,INDEX('Debt Tracker'!$T$5:$AE$29,21,AC518-1)&gt;0.01))*('Recurring Items'!$H$28&lt;&gt;"Skip")*(DAY(AB518)='Recurring Items'!$F$28)*IFERROR(N('Recurring Items'!$D$28),0)+(IF(AC518=1,'Debt Tracker'!$P$26&gt;0.01,INDEX('Debt Tracker'!$T$5:$AE$29,22,AC518-1)&gt;0.01))*('Recurring Items'!$H$29&lt;&gt;"Skip")*(DAY(AB518)='Recurring Items'!$F$29)*IFERROR(N('Recurring Items'!$D$29),0)+(IF(AC518=1,'Debt Tracker'!$P$27&gt;0.01,INDEX('Debt Tracker'!$T$5:$AE$29,23,AC518-1)&gt;0.01))*('Recurring Items'!$H$30&lt;&gt;"Skip")*(DAY(AB518)='Recurring Items'!$F$30)*IFERROR(N('Recurring Items'!$D$30),0)+(IF(AC518=1,'Debt Tracker'!$P$28&gt;0.01,INDEX('Debt Tracker'!$T$5:$AE$29,24,AC518-1)&gt;0.01))*('Recurring Items'!$H$31&lt;&gt;"Skip")*(DAY(AB518)='Recurring Items'!$F$31)*IFERROR(N('Recurring Items'!$D$31),0)+(IF(AC518=1,'Debt Tracker'!$P$29&gt;0.01,INDEX('Debt Tracker'!$T$5:$AE$29,25,AC518-1)&gt;0.01))*('Recurring Items'!$H$32&lt;&gt;"Skip")*(DAY(AB518)='Recurring Items'!$F$32)*IFERROR(N('Recurring Items'!$D$32),0)</f>
        <v>107.75</v>
      </c>
      <c r="AG518" s="1" t="n">
        <f aca="false">AD518-AE518-AF518</f>
        <v>-3098.32</v>
      </c>
      <c r="AH518" s="1" t="n">
        <f aca="false">AH517+AG518</f>
        <v>20450.09</v>
      </c>
    </row>
    <row r="519" customFormat="false" ht="15" hidden="false" customHeight="true" outlineLevel="0" collapsed="false">
      <c r="AA519" s="1" t="n">
        <v>319</v>
      </c>
      <c r="AB519" s="145" t="n">
        <f aca="false">$D$3+319</f>
        <v>46462</v>
      </c>
      <c r="AC519" s="1" t="n">
        <f aca="false">MIN(12,1+DATEDIF($D$3,AB519,"M"))</f>
        <v>11</v>
      </c>
      <c r="AD519" s="1" t="n">
        <f aca="false">SUMPRODUCT(('Recurring Items'!$C$6:$C$56="Income")*('Recurring Items'!$H$6:$H$56&lt;&gt;"Skip")*IFERROR(N('Recurring Items'!$D$6:$D$56),0)*(('Recurring Items'!$E$6:$E$56="Monthly")*(DAY(AB519)='Recurring Items'!$F$6:$F$56)+('Recurring Items'!$E$6:$E$56="Bi-weekly")*(WEEKDAY(AB519)=IFERROR(WEEKDAY('Recurring Items'!$G$6:$G$56),0))*(MOD(AB519-IFERROR('Recurring Items'!$G$6:$G$56,0),14)=0)*(AB519&gt;=IFERROR('Recurring Items'!$G$6:$G$56,9000000000))+('Recurring Items'!$E$6:$E$56="Weekly")*(WEEKDAY(AB519)=IFERROR(WEEKDAY('Recurring Items'!$G$6:$G$56),0))*(AB519&gt;=IFERROR('Recurring Items'!$G$6:$G$56,9000000000))+('Recurring Items'!$E$6:$E$56="One-time")*(AB519='Recurring Items'!$G$6:$G$56)))</f>
        <v>0</v>
      </c>
      <c r="AE519" s="1" t="n">
        <f aca="false">SUMPRODUCT(('Recurring Items'!$C$6:$C$56="Expense")*('Recurring Items'!$H$6:$H$56&lt;&gt;"Skip")*IFERROR(N('Recurring Items'!$D$6:$D$56),0)*(('Recurring Items'!$E$6:$E$56="Monthly")*(DAY(AB519)='Recurring Items'!$F$6:$F$56)+('Recurring Items'!$E$6:$E$56="Bi-weekly")*(WEEKDAY(AB519)=IFERROR(WEEKDAY('Recurring Items'!$G$6:$G$56),0))*(MOD(AB519-IFERROR('Recurring Items'!$G$6:$G$56,0),14)=0)*(AB519&gt;=IFERROR('Recurring Items'!$G$6:$G$56,9000000000))+('Recurring Items'!$E$6:$E$56="Weekly")*(WEEKDAY(AB519)=IFERROR(WEEKDAY('Recurring Items'!$G$6:$G$56),0))*(AB519&gt;=IFERROR('Recurring Items'!$G$6:$G$56,9000000000))+('Recurring Items'!$E$6:$E$56="One-time")*(AB519='Recurring Items'!$G$6:$G$56)))</f>
        <v>342</v>
      </c>
      <c r="AF519" s="1" t="n">
        <f aca="false">(IF(AC519=1,'Debt Tracker'!$P$5&gt;0.01,INDEX('Debt Tracker'!$T$5:$AE$29,1,AC519-1)&gt;0.01))*('Recurring Items'!$H$8&lt;&gt;"Skip")*(DAY(AB519)='Recurring Items'!$F$8)*IFERROR(N('Recurring Items'!$D$8),0)+(IF(AC519=1,'Debt Tracker'!$P$6&gt;0.01,INDEX('Debt Tracker'!$T$5:$AE$29,2,AC519-1)&gt;0.01))*('Recurring Items'!$H$9&lt;&gt;"Skip")*(DAY(AB519)='Recurring Items'!$F$9)*IFERROR(N('Recurring Items'!$D$9),0)+(IF(AC519=1,'Debt Tracker'!$P$7&gt;0.01,INDEX('Debt Tracker'!$T$5:$AE$29,3,AC519-1)&gt;0.01))*('Recurring Items'!$H$10&lt;&gt;"Skip")*(DAY(AB519)='Recurring Items'!$F$10)*IFERROR(N('Recurring Items'!$D$10),0)+(IF(AC519=1,'Debt Tracker'!$P$8&gt;0.01,INDEX('Debt Tracker'!$T$5:$AE$29,4,AC519-1)&gt;0.01))*('Recurring Items'!$H$11&lt;&gt;"Skip")*(DAY(AB519)='Recurring Items'!$F$11)*IFERROR(N('Recurring Items'!$D$11),0)+(IF(AC519=1,'Debt Tracker'!$P$9&gt;0.01,INDEX('Debt Tracker'!$T$5:$AE$29,5,AC519-1)&gt;0.01))*('Recurring Items'!$H$12&lt;&gt;"Skip")*(DAY(AB519)='Recurring Items'!$F$12)*IFERROR(N('Recurring Items'!$D$12),0)+(IF(AC519=1,'Debt Tracker'!$P$10&gt;0.01,INDEX('Debt Tracker'!$T$5:$AE$29,6,AC519-1)&gt;0.01))*('Recurring Items'!$H$13&lt;&gt;"Skip")*(DAY(AB519)='Recurring Items'!$F$13)*IFERROR(N('Recurring Items'!$D$13),0)+(IF(AC519=1,'Debt Tracker'!$P$11&gt;0.01,INDEX('Debt Tracker'!$T$5:$AE$29,7,AC519-1)&gt;0.01))*('Recurring Items'!$H$14&lt;&gt;"Skip")*(DAY(AB519)='Recurring Items'!$F$14)*IFERROR(N('Recurring Items'!$D$14),0)+(IF(AC519=1,'Debt Tracker'!$P$12&gt;0.01,INDEX('Debt Tracker'!$T$5:$AE$29,8,AC519-1)&gt;0.01))*('Recurring Items'!$H$15&lt;&gt;"Skip")*(DAY(AB519)='Recurring Items'!$F$15)*IFERROR(N('Recurring Items'!$D$15),0)+(IF(AC519=1,'Debt Tracker'!$P$13&gt;0.01,INDEX('Debt Tracker'!$T$5:$AE$29,9,AC519-1)&gt;0.01))*('Recurring Items'!$H$16&lt;&gt;"Skip")*(DAY(AB519)='Recurring Items'!$F$16)*IFERROR(N('Recurring Items'!$D$16),0)+(IF(AC519=1,'Debt Tracker'!$P$14&gt;0.01,INDEX('Debt Tracker'!$T$5:$AE$29,10,AC519-1)&gt;0.01))*('Recurring Items'!$H$17&lt;&gt;"Skip")*(DAY(AB519)='Recurring Items'!$F$17)*IFERROR(N('Recurring Items'!$D$17),0)+(IF(AC519=1,'Debt Tracker'!$P$15&gt;0.01,INDEX('Debt Tracker'!$T$5:$AE$29,11,AC519-1)&gt;0.01))*('Recurring Items'!$H$18&lt;&gt;"Skip")*(DAY(AB519)='Recurring Items'!$F$18)*IFERROR(N('Recurring Items'!$D$18),0)+(IF(AC519=1,'Debt Tracker'!$P$16&gt;0.01,INDEX('Debt Tracker'!$T$5:$AE$29,12,AC519-1)&gt;0.01))*('Recurring Items'!$H$19&lt;&gt;"Skip")*(DAY(AB519)='Recurring Items'!$F$19)*IFERROR(N('Recurring Items'!$D$19),0)+(IF(AC519=1,'Debt Tracker'!$P$17&gt;0.01,INDEX('Debt Tracker'!$T$5:$AE$29,13,AC519-1)&gt;0.01))*('Recurring Items'!$H$20&lt;&gt;"Skip")*(DAY(AB519)='Recurring Items'!$F$20)*IFERROR(N('Recurring Items'!$D$20),0)+(IF(AC519=1,'Debt Tracker'!$P$18&gt;0.01,INDEX('Debt Tracker'!$T$5:$AE$29,14,AC519-1)&gt;0.01))*('Recurring Items'!$H$21&lt;&gt;"Skip")*(DAY(AB519)='Recurring Items'!$F$21)*IFERROR(N('Recurring Items'!$D$21),0)+(IF(AC519=1,'Debt Tracker'!$P$19&gt;0.01,INDEX('Debt Tracker'!$T$5:$AE$29,15,AC519-1)&gt;0.01))*('Recurring Items'!$H$22&lt;&gt;"Skip")*(DAY(AB519)='Recurring Items'!$F$22)*IFERROR(N('Recurring Items'!$D$22),0)+(IF(AC519=1,'Debt Tracker'!$P$20&gt;0.01,INDEX('Debt Tracker'!$T$5:$AE$29,16,AC519-1)&gt;0.01))*('Recurring Items'!$H$23&lt;&gt;"Skip")*(DAY(AB519)='Recurring Items'!$F$23)*IFERROR(N('Recurring Items'!$D$23),0)+(IF(AC519=1,'Debt Tracker'!$P$21&gt;0.01,INDEX('Debt Tracker'!$T$5:$AE$29,17,AC519-1)&gt;0.01))*('Recurring Items'!$H$24&lt;&gt;"Skip")*(DAY(AB519)='Recurring Items'!$F$24)*IFERROR(N('Recurring Items'!$D$24),0)+(IF(AC519=1,'Debt Tracker'!$P$22&gt;0.01,INDEX('Debt Tracker'!$T$5:$AE$29,18,AC519-1)&gt;0.01))*('Recurring Items'!$H$25&lt;&gt;"Skip")*(DAY(AB519)='Recurring Items'!$F$25)*IFERROR(N('Recurring Items'!$D$25),0)+(IF(AC519=1,'Debt Tracker'!$P$23&gt;0.01,INDEX('Debt Tracker'!$T$5:$AE$29,19,AC519-1)&gt;0.01))*('Recurring Items'!$H$26&lt;&gt;"Skip")*(DAY(AB519)='Recurring Items'!$F$26)*IFERROR(N('Recurring Items'!$D$26),0)+(IF(AC519=1,'Debt Tracker'!$P$24&gt;0.01,INDEX('Debt Tracker'!$T$5:$AE$29,20,AC519-1)&gt;0.01))*('Recurring Items'!$H$27&lt;&gt;"Skip")*(DAY(AB519)='Recurring Items'!$F$27)*IFERROR(N('Recurring Items'!$D$27),0)+(IF(AC519=1,'Debt Tracker'!$P$25&gt;0.01,INDEX('Debt Tracker'!$T$5:$AE$29,21,AC519-1)&gt;0.01))*('Recurring Items'!$H$28&lt;&gt;"Skip")*(DAY(AB519)='Recurring Items'!$F$28)*IFERROR(N('Recurring Items'!$D$28),0)+(IF(AC519=1,'Debt Tracker'!$P$26&gt;0.01,INDEX('Debt Tracker'!$T$5:$AE$29,22,AC519-1)&gt;0.01))*('Recurring Items'!$H$29&lt;&gt;"Skip")*(DAY(AB519)='Recurring Items'!$F$29)*IFERROR(N('Recurring Items'!$D$29),0)+(IF(AC519=1,'Debt Tracker'!$P$27&gt;0.01,INDEX('Debt Tracker'!$T$5:$AE$29,23,AC519-1)&gt;0.01))*('Recurring Items'!$H$30&lt;&gt;"Skip")*(DAY(AB519)='Recurring Items'!$F$30)*IFERROR(N('Recurring Items'!$D$30),0)+(IF(AC519=1,'Debt Tracker'!$P$28&gt;0.01,INDEX('Debt Tracker'!$T$5:$AE$29,24,AC519-1)&gt;0.01))*('Recurring Items'!$H$31&lt;&gt;"Skip")*(DAY(AB519)='Recurring Items'!$F$31)*IFERROR(N('Recurring Items'!$D$31),0)+(IF(AC519=1,'Debt Tracker'!$P$29&gt;0.01,INDEX('Debt Tracker'!$T$5:$AE$29,25,AC519-1)&gt;0.01))*('Recurring Items'!$H$32&lt;&gt;"Skip")*(DAY(AB519)='Recurring Items'!$F$32)*IFERROR(N('Recurring Items'!$D$32),0)</f>
        <v>0</v>
      </c>
      <c r="AG519" s="1" t="n">
        <f aca="false">AD519-AE519-AF519</f>
        <v>-342</v>
      </c>
      <c r="AH519" s="1" t="n">
        <f aca="false">AH518+AG519</f>
        <v>20108.09</v>
      </c>
    </row>
    <row r="520" customFormat="false" ht="15" hidden="false" customHeight="true" outlineLevel="0" collapsed="false">
      <c r="AA520" s="1" t="n">
        <v>320</v>
      </c>
      <c r="AB520" s="145" t="n">
        <f aca="false">$D$3+320</f>
        <v>46463</v>
      </c>
      <c r="AC520" s="1" t="n">
        <f aca="false">MIN(12,1+DATEDIF($D$3,AB520,"M"))</f>
        <v>11</v>
      </c>
      <c r="AD520" s="1" t="n">
        <f aca="false">SUMPRODUCT(('Recurring Items'!$C$6:$C$56="Income")*('Recurring Items'!$H$6:$H$56&lt;&gt;"Skip")*IFERROR(N('Recurring Items'!$D$6:$D$56),0)*(('Recurring Items'!$E$6:$E$56="Monthly")*(DAY(AB520)='Recurring Items'!$F$6:$F$56)+('Recurring Items'!$E$6:$E$56="Bi-weekly")*(WEEKDAY(AB520)=IFERROR(WEEKDAY('Recurring Items'!$G$6:$G$56),0))*(MOD(AB520-IFERROR('Recurring Items'!$G$6:$G$56,0),14)=0)*(AB520&gt;=IFERROR('Recurring Items'!$G$6:$G$56,9000000000))+('Recurring Items'!$E$6:$E$56="Weekly")*(WEEKDAY(AB520)=IFERROR(WEEKDAY('Recurring Items'!$G$6:$G$56),0))*(AB520&gt;=IFERROR('Recurring Items'!$G$6:$G$56,9000000000))+('Recurring Items'!$E$6:$E$56="One-time")*(AB520='Recurring Items'!$G$6:$G$56)))</f>
        <v>0</v>
      </c>
      <c r="AE520" s="1" t="n">
        <f aca="false">SUMPRODUCT(('Recurring Items'!$C$6:$C$56="Expense")*('Recurring Items'!$H$6:$H$56&lt;&gt;"Skip")*IFERROR(N('Recurring Items'!$D$6:$D$56),0)*(('Recurring Items'!$E$6:$E$56="Monthly")*(DAY(AB520)='Recurring Items'!$F$6:$F$56)+('Recurring Items'!$E$6:$E$56="Bi-weekly")*(WEEKDAY(AB520)=IFERROR(WEEKDAY('Recurring Items'!$G$6:$G$56),0))*(MOD(AB520-IFERROR('Recurring Items'!$G$6:$G$56,0),14)=0)*(AB520&gt;=IFERROR('Recurring Items'!$G$6:$G$56,9000000000))+('Recurring Items'!$E$6:$E$56="Weekly")*(WEEKDAY(AB520)=IFERROR(WEEKDAY('Recurring Items'!$G$6:$G$56),0))*(AB520&gt;=IFERROR('Recurring Items'!$G$6:$G$56,9000000000))+('Recurring Items'!$E$6:$E$56="One-time")*(AB520='Recurring Items'!$G$6:$G$56)))</f>
        <v>0</v>
      </c>
      <c r="AF520" s="1" t="n">
        <f aca="false">(IF(AC520=1,'Debt Tracker'!$P$5&gt;0.01,INDEX('Debt Tracker'!$T$5:$AE$29,1,AC520-1)&gt;0.01))*('Recurring Items'!$H$8&lt;&gt;"Skip")*(DAY(AB520)='Recurring Items'!$F$8)*IFERROR(N('Recurring Items'!$D$8),0)+(IF(AC520=1,'Debt Tracker'!$P$6&gt;0.01,INDEX('Debt Tracker'!$T$5:$AE$29,2,AC520-1)&gt;0.01))*('Recurring Items'!$H$9&lt;&gt;"Skip")*(DAY(AB520)='Recurring Items'!$F$9)*IFERROR(N('Recurring Items'!$D$9),0)+(IF(AC520=1,'Debt Tracker'!$P$7&gt;0.01,INDEX('Debt Tracker'!$T$5:$AE$29,3,AC520-1)&gt;0.01))*('Recurring Items'!$H$10&lt;&gt;"Skip")*(DAY(AB520)='Recurring Items'!$F$10)*IFERROR(N('Recurring Items'!$D$10),0)+(IF(AC520=1,'Debt Tracker'!$P$8&gt;0.01,INDEX('Debt Tracker'!$T$5:$AE$29,4,AC520-1)&gt;0.01))*('Recurring Items'!$H$11&lt;&gt;"Skip")*(DAY(AB520)='Recurring Items'!$F$11)*IFERROR(N('Recurring Items'!$D$11),0)+(IF(AC520=1,'Debt Tracker'!$P$9&gt;0.01,INDEX('Debt Tracker'!$T$5:$AE$29,5,AC520-1)&gt;0.01))*('Recurring Items'!$H$12&lt;&gt;"Skip")*(DAY(AB520)='Recurring Items'!$F$12)*IFERROR(N('Recurring Items'!$D$12),0)+(IF(AC520=1,'Debt Tracker'!$P$10&gt;0.01,INDEX('Debt Tracker'!$T$5:$AE$29,6,AC520-1)&gt;0.01))*('Recurring Items'!$H$13&lt;&gt;"Skip")*(DAY(AB520)='Recurring Items'!$F$13)*IFERROR(N('Recurring Items'!$D$13),0)+(IF(AC520=1,'Debt Tracker'!$P$11&gt;0.01,INDEX('Debt Tracker'!$T$5:$AE$29,7,AC520-1)&gt;0.01))*('Recurring Items'!$H$14&lt;&gt;"Skip")*(DAY(AB520)='Recurring Items'!$F$14)*IFERROR(N('Recurring Items'!$D$14),0)+(IF(AC520=1,'Debt Tracker'!$P$12&gt;0.01,INDEX('Debt Tracker'!$T$5:$AE$29,8,AC520-1)&gt;0.01))*('Recurring Items'!$H$15&lt;&gt;"Skip")*(DAY(AB520)='Recurring Items'!$F$15)*IFERROR(N('Recurring Items'!$D$15),0)+(IF(AC520=1,'Debt Tracker'!$P$13&gt;0.01,INDEX('Debt Tracker'!$T$5:$AE$29,9,AC520-1)&gt;0.01))*('Recurring Items'!$H$16&lt;&gt;"Skip")*(DAY(AB520)='Recurring Items'!$F$16)*IFERROR(N('Recurring Items'!$D$16),0)+(IF(AC520=1,'Debt Tracker'!$P$14&gt;0.01,INDEX('Debt Tracker'!$T$5:$AE$29,10,AC520-1)&gt;0.01))*('Recurring Items'!$H$17&lt;&gt;"Skip")*(DAY(AB520)='Recurring Items'!$F$17)*IFERROR(N('Recurring Items'!$D$17),0)+(IF(AC520=1,'Debt Tracker'!$P$15&gt;0.01,INDEX('Debt Tracker'!$T$5:$AE$29,11,AC520-1)&gt;0.01))*('Recurring Items'!$H$18&lt;&gt;"Skip")*(DAY(AB520)='Recurring Items'!$F$18)*IFERROR(N('Recurring Items'!$D$18),0)+(IF(AC520=1,'Debt Tracker'!$P$16&gt;0.01,INDEX('Debt Tracker'!$T$5:$AE$29,12,AC520-1)&gt;0.01))*('Recurring Items'!$H$19&lt;&gt;"Skip")*(DAY(AB520)='Recurring Items'!$F$19)*IFERROR(N('Recurring Items'!$D$19),0)+(IF(AC520=1,'Debt Tracker'!$P$17&gt;0.01,INDEX('Debt Tracker'!$T$5:$AE$29,13,AC520-1)&gt;0.01))*('Recurring Items'!$H$20&lt;&gt;"Skip")*(DAY(AB520)='Recurring Items'!$F$20)*IFERROR(N('Recurring Items'!$D$20),0)+(IF(AC520=1,'Debt Tracker'!$P$18&gt;0.01,INDEX('Debt Tracker'!$T$5:$AE$29,14,AC520-1)&gt;0.01))*('Recurring Items'!$H$21&lt;&gt;"Skip")*(DAY(AB520)='Recurring Items'!$F$21)*IFERROR(N('Recurring Items'!$D$21),0)+(IF(AC520=1,'Debt Tracker'!$P$19&gt;0.01,INDEX('Debt Tracker'!$T$5:$AE$29,15,AC520-1)&gt;0.01))*('Recurring Items'!$H$22&lt;&gt;"Skip")*(DAY(AB520)='Recurring Items'!$F$22)*IFERROR(N('Recurring Items'!$D$22),0)+(IF(AC520=1,'Debt Tracker'!$P$20&gt;0.01,INDEX('Debt Tracker'!$T$5:$AE$29,16,AC520-1)&gt;0.01))*('Recurring Items'!$H$23&lt;&gt;"Skip")*(DAY(AB520)='Recurring Items'!$F$23)*IFERROR(N('Recurring Items'!$D$23),0)+(IF(AC520=1,'Debt Tracker'!$P$21&gt;0.01,INDEX('Debt Tracker'!$T$5:$AE$29,17,AC520-1)&gt;0.01))*('Recurring Items'!$H$24&lt;&gt;"Skip")*(DAY(AB520)='Recurring Items'!$F$24)*IFERROR(N('Recurring Items'!$D$24),0)+(IF(AC520=1,'Debt Tracker'!$P$22&gt;0.01,INDEX('Debt Tracker'!$T$5:$AE$29,18,AC520-1)&gt;0.01))*('Recurring Items'!$H$25&lt;&gt;"Skip")*(DAY(AB520)='Recurring Items'!$F$25)*IFERROR(N('Recurring Items'!$D$25),0)+(IF(AC520=1,'Debt Tracker'!$P$23&gt;0.01,INDEX('Debt Tracker'!$T$5:$AE$29,19,AC520-1)&gt;0.01))*('Recurring Items'!$H$26&lt;&gt;"Skip")*(DAY(AB520)='Recurring Items'!$F$26)*IFERROR(N('Recurring Items'!$D$26),0)+(IF(AC520=1,'Debt Tracker'!$P$24&gt;0.01,INDEX('Debt Tracker'!$T$5:$AE$29,20,AC520-1)&gt;0.01))*('Recurring Items'!$H$27&lt;&gt;"Skip")*(DAY(AB520)='Recurring Items'!$F$27)*IFERROR(N('Recurring Items'!$D$27),0)+(IF(AC520=1,'Debt Tracker'!$P$25&gt;0.01,INDEX('Debt Tracker'!$T$5:$AE$29,21,AC520-1)&gt;0.01))*('Recurring Items'!$H$28&lt;&gt;"Skip")*(DAY(AB520)='Recurring Items'!$F$28)*IFERROR(N('Recurring Items'!$D$28),0)+(IF(AC520=1,'Debt Tracker'!$P$26&gt;0.01,INDEX('Debt Tracker'!$T$5:$AE$29,22,AC520-1)&gt;0.01))*('Recurring Items'!$H$29&lt;&gt;"Skip")*(DAY(AB520)='Recurring Items'!$F$29)*IFERROR(N('Recurring Items'!$D$29),0)+(IF(AC520=1,'Debt Tracker'!$P$27&gt;0.01,INDEX('Debt Tracker'!$T$5:$AE$29,23,AC520-1)&gt;0.01))*('Recurring Items'!$H$30&lt;&gt;"Skip")*(DAY(AB520)='Recurring Items'!$F$30)*IFERROR(N('Recurring Items'!$D$30),0)+(IF(AC520=1,'Debt Tracker'!$P$28&gt;0.01,INDEX('Debt Tracker'!$T$5:$AE$29,24,AC520-1)&gt;0.01))*('Recurring Items'!$H$31&lt;&gt;"Skip")*(DAY(AB520)='Recurring Items'!$F$31)*IFERROR(N('Recurring Items'!$D$31),0)+(IF(AC520=1,'Debt Tracker'!$P$29&gt;0.01,INDEX('Debt Tracker'!$T$5:$AE$29,25,AC520-1)&gt;0.01))*('Recurring Items'!$H$32&lt;&gt;"Skip")*(DAY(AB520)='Recurring Items'!$F$32)*IFERROR(N('Recurring Items'!$D$32),0)</f>
        <v>0</v>
      </c>
      <c r="AG520" s="1" t="n">
        <f aca="false">AD520-AE520-AF520</f>
        <v>0</v>
      </c>
      <c r="AH520" s="1" t="n">
        <f aca="false">AH519+AG520</f>
        <v>20108.09</v>
      </c>
    </row>
    <row r="521" customFormat="false" ht="15" hidden="false" customHeight="true" outlineLevel="0" collapsed="false">
      <c r="AA521" s="1" t="n">
        <v>321</v>
      </c>
      <c r="AB521" s="145" t="n">
        <f aca="false">$D$3+321</f>
        <v>46464</v>
      </c>
      <c r="AC521" s="1" t="n">
        <f aca="false">MIN(12,1+DATEDIF($D$3,AB521,"M"))</f>
        <v>11</v>
      </c>
      <c r="AD521" s="1" t="n">
        <f aca="false">SUMPRODUCT(('Recurring Items'!$C$6:$C$56="Income")*('Recurring Items'!$H$6:$H$56&lt;&gt;"Skip")*IFERROR(N('Recurring Items'!$D$6:$D$56),0)*(('Recurring Items'!$E$6:$E$56="Monthly")*(DAY(AB521)='Recurring Items'!$F$6:$F$56)+('Recurring Items'!$E$6:$E$56="Bi-weekly")*(WEEKDAY(AB521)=IFERROR(WEEKDAY('Recurring Items'!$G$6:$G$56),0))*(MOD(AB521-IFERROR('Recurring Items'!$G$6:$G$56,0),14)=0)*(AB521&gt;=IFERROR('Recurring Items'!$G$6:$G$56,9000000000))+('Recurring Items'!$E$6:$E$56="Weekly")*(WEEKDAY(AB521)=IFERROR(WEEKDAY('Recurring Items'!$G$6:$G$56),0))*(AB521&gt;=IFERROR('Recurring Items'!$G$6:$G$56,9000000000))+('Recurring Items'!$E$6:$E$56="One-time")*(AB521='Recurring Items'!$G$6:$G$56)))</f>
        <v>0</v>
      </c>
      <c r="AE521" s="1" t="n">
        <f aca="false">SUMPRODUCT(('Recurring Items'!$C$6:$C$56="Expense")*('Recurring Items'!$H$6:$H$56&lt;&gt;"Skip")*IFERROR(N('Recurring Items'!$D$6:$D$56),0)*(('Recurring Items'!$E$6:$E$56="Monthly")*(DAY(AB521)='Recurring Items'!$F$6:$F$56)+('Recurring Items'!$E$6:$E$56="Bi-weekly")*(WEEKDAY(AB521)=IFERROR(WEEKDAY('Recurring Items'!$G$6:$G$56),0))*(MOD(AB521-IFERROR('Recurring Items'!$G$6:$G$56,0),14)=0)*(AB521&gt;=IFERROR('Recurring Items'!$G$6:$G$56,9000000000))+('Recurring Items'!$E$6:$E$56="Weekly")*(WEEKDAY(AB521)=IFERROR(WEEKDAY('Recurring Items'!$G$6:$G$56),0))*(AB521&gt;=IFERROR('Recurring Items'!$G$6:$G$56,9000000000))+('Recurring Items'!$E$6:$E$56="One-time")*(AB521='Recurring Items'!$G$6:$G$56)))</f>
        <v>0</v>
      </c>
      <c r="AF521" s="1" t="n">
        <f aca="false">(IF(AC521=1,'Debt Tracker'!$P$5&gt;0.01,INDEX('Debt Tracker'!$T$5:$AE$29,1,AC521-1)&gt;0.01))*('Recurring Items'!$H$8&lt;&gt;"Skip")*(DAY(AB521)='Recurring Items'!$F$8)*IFERROR(N('Recurring Items'!$D$8),0)+(IF(AC521=1,'Debt Tracker'!$P$6&gt;0.01,INDEX('Debt Tracker'!$T$5:$AE$29,2,AC521-1)&gt;0.01))*('Recurring Items'!$H$9&lt;&gt;"Skip")*(DAY(AB521)='Recurring Items'!$F$9)*IFERROR(N('Recurring Items'!$D$9),0)+(IF(AC521=1,'Debt Tracker'!$P$7&gt;0.01,INDEX('Debt Tracker'!$T$5:$AE$29,3,AC521-1)&gt;0.01))*('Recurring Items'!$H$10&lt;&gt;"Skip")*(DAY(AB521)='Recurring Items'!$F$10)*IFERROR(N('Recurring Items'!$D$10),0)+(IF(AC521=1,'Debt Tracker'!$P$8&gt;0.01,INDEX('Debt Tracker'!$T$5:$AE$29,4,AC521-1)&gt;0.01))*('Recurring Items'!$H$11&lt;&gt;"Skip")*(DAY(AB521)='Recurring Items'!$F$11)*IFERROR(N('Recurring Items'!$D$11),0)+(IF(AC521=1,'Debt Tracker'!$P$9&gt;0.01,INDEX('Debt Tracker'!$T$5:$AE$29,5,AC521-1)&gt;0.01))*('Recurring Items'!$H$12&lt;&gt;"Skip")*(DAY(AB521)='Recurring Items'!$F$12)*IFERROR(N('Recurring Items'!$D$12),0)+(IF(AC521=1,'Debt Tracker'!$P$10&gt;0.01,INDEX('Debt Tracker'!$T$5:$AE$29,6,AC521-1)&gt;0.01))*('Recurring Items'!$H$13&lt;&gt;"Skip")*(DAY(AB521)='Recurring Items'!$F$13)*IFERROR(N('Recurring Items'!$D$13),0)+(IF(AC521=1,'Debt Tracker'!$P$11&gt;0.01,INDEX('Debt Tracker'!$T$5:$AE$29,7,AC521-1)&gt;0.01))*('Recurring Items'!$H$14&lt;&gt;"Skip")*(DAY(AB521)='Recurring Items'!$F$14)*IFERROR(N('Recurring Items'!$D$14),0)+(IF(AC521=1,'Debt Tracker'!$P$12&gt;0.01,INDEX('Debt Tracker'!$T$5:$AE$29,8,AC521-1)&gt;0.01))*('Recurring Items'!$H$15&lt;&gt;"Skip")*(DAY(AB521)='Recurring Items'!$F$15)*IFERROR(N('Recurring Items'!$D$15),0)+(IF(AC521=1,'Debt Tracker'!$P$13&gt;0.01,INDEX('Debt Tracker'!$T$5:$AE$29,9,AC521-1)&gt;0.01))*('Recurring Items'!$H$16&lt;&gt;"Skip")*(DAY(AB521)='Recurring Items'!$F$16)*IFERROR(N('Recurring Items'!$D$16),0)+(IF(AC521=1,'Debt Tracker'!$P$14&gt;0.01,INDEX('Debt Tracker'!$T$5:$AE$29,10,AC521-1)&gt;0.01))*('Recurring Items'!$H$17&lt;&gt;"Skip")*(DAY(AB521)='Recurring Items'!$F$17)*IFERROR(N('Recurring Items'!$D$17),0)+(IF(AC521=1,'Debt Tracker'!$P$15&gt;0.01,INDEX('Debt Tracker'!$T$5:$AE$29,11,AC521-1)&gt;0.01))*('Recurring Items'!$H$18&lt;&gt;"Skip")*(DAY(AB521)='Recurring Items'!$F$18)*IFERROR(N('Recurring Items'!$D$18),0)+(IF(AC521=1,'Debt Tracker'!$P$16&gt;0.01,INDEX('Debt Tracker'!$T$5:$AE$29,12,AC521-1)&gt;0.01))*('Recurring Items'!$H$19&lt;&gt;"Skip")*(DAY(AB521)='Recurring Items'!$F$19)*IFERROR(N('Recurring Items'!$D$19),0)+(IF(AC521=1,'Debt Tracker'!$P$17&gt;0.01,INDEX('Debt Tracker'!$T$5:$AE$29,13,AC521-1)&gt;0.01))*('Recurring Items'!$H$20&lt;&gt;"Skip")*(DAY(AB521)='Recurring Items'!$F$20)*IFERROR(N('Recurring Items'!$D$20),0)+(IF(AC521=1,'Debt Tracker'!$P$18&gt;0.01,INDEX('Debt Tracker'!$T$5:$AE$29,14,AC521-1)&gt;0.01))*('Recurring Items'!$H$21&lt;&gt;"Skip")*(DAY(AB521)='Recurring Items'!$F$21)*IFERROR(N('Recurring Items'!$D$21),0)+(IF(AC521=1,'Debt Tracker'!$P$19&gt;0.01,INDEX('Debt Tracker'!$T$5:$AE$29,15,AC521-1)&gt;0.01))*('Recurring Items'!$H$22&lt;&gt;"Skip")*(DAY(AB521)='Recurring Items'!$F$22)*IFERROR(N('Recurring Items'!$D$22),0)+(IF(AC521=1,'Debt Tracker'!$P$20&gt;0.01,INDEX('Debt Tracker'!$T$5:$AE$29,16,AC521-1)&gt;0.01))*('Recurring Items'!$H$23&lt;&gt;"Skip")*(DAY(AB521)='Recurring Items'!$F$23)*IFERROR(N('Recurring Items'!$D$23),0)+(IF(AC521=1,'Debt Tracker'!$P$21&gt;0.01,INDEX('Debt Tracker'!$T$5:$AE$29,17,AC521-1)&gt;0.01))*('Recurring Items'!$H$24&lt;&gt;"Skip")*(DAY(AB521)='Recurring Items'!$F$24)*IFERROR(N('Recurring Items'!$D$24),0)+(IF(AC521=1,'Debt Tracker'!$P$22&gt;0.01,INDEX('Debt Tracker'!$T$5:$AE$29,18,AC521-1)&gt;0.01))*('Recurring Items'!$H$25&lt;&gt;"Skip")*(DAY(AB521)='Recurring Items'!$F$25)*IFERROR(N('Recurring Items'!$D$25),0)+(IF(AC521=1,'Debt Tracker'!$P$23&gt;0.01,INDEX('Debt Tracker'!$T$5:$AE$29,19,AC521-1)&gt;0.01))*('Recurring Items'!$H$26&lt;&gt;"Skip")*(DAY(AB521)='Recurring Items'!$F$26)*IFERROR(N('Recurring Items'!$D$26),0)+(IF(AC521=1,'Debt Tracker'!$P$24&gt;0.01,INDEX('Debt Tracker'!$T$5:$AE$29,20,AC521-1)&gt;0.01))*('Recurring Items'!$H$27&lt;&gt;"Skip")*(DAY(AB521)='Recurring Items'!$F$27)*IFERROR(N('Recurring Items'!$D$27),0)+(IF(AC521=1,'Debt Tracker'!$P$25&gt;0.01,INDEX('Debt Tracker'!$T$5:$AE$29,21,AC521-1)&gt;0.01))*('Recurring Items'!$H$28&lt;&gt;"Skip")*(DAY(AB521)='Recurring Items'!$F$28)*IFERROR(N('Recurring Items'!$D$28),0)+(IF(AC521=1,'Debt Tracker'!$P$26&gt;0.01,INDEX('Debt Tracker'!$T$5:$AE$29,22,AC521-1)&gt;0.01))*('Recurring Items'!$H$29&lt;&gt;"Skip")*(DAY(AB521)='Recurring Items'!$F$29)*IFERROR(N('Recurring Items'!$D$29),0)+(IF(AC521=1,'Debt Tracker'!$P$27&gt;0.01,INDEX('Debt Tracker'!$T$5:$AE$29,23,AC521-1)&gt;0.01))*('Recurring Items'!$H$30&lt;&gt;"Skip")*(DAY(AB521)='Recurring Items'!$F$30)*IFERROR(N('Recurring Items'!$D$30),0)+(IF(AC521=1,'Debt Tracker'!$P$28&gt;0.01,INDEX('Debt Tracker'!$T$5:$AE$29,24,AC521-1)&gt;0.01))*('Recurring Items'!$H$31&lt;&gt;"Skip")*(DAY(AB521)='Recurring Items'!$F$31)*IFERROR(N('Recurring Items'!$D$31),0)+(IF(AC521=1,'Debt Tracker'!$P$29&gt;0.01,INDEX('Debt Tracker'!$T$5:$AE$29,25,AC521-1)&gt;0.01))*('Recurring Items'!$H$32&lt;&gt;"Skip")*(DAY(AB521)='Recurring Items'!$F$32)*IFERROR(N('Recurring Items'!$D$32),0)</f>
        <v>0</v>
      </c>
      <c r="AG521" s="1" t="n">
        <f aca="false">AD521-AE521-AF521</f>
        <v>0</v>
      </c>
      <c r="AH521" s="1" t="n">
        <f aca="false">AH520+AG521</f>
        <v>20108.09</v>
      </c>
    </row>
    <row r="522" customFormat="false" ht="15" hidden="false" customHeight="true" outlineLevel="0" collapsed="false">
      <c r="AA522" s="1" t="n">
        <v>322</v>
      </c>
      <c r="AB522" s="145" t="n">
        <f aca="false">$D$3+322</f>
        <v>46465</v>
      </c>
      <c r="AC522" s="1" t="n">
        <f aca="false">MIN(12,1+DATEDIF($D$3,AB522,"M"))</f>
        <v>11</v>
      </c>
      <c r="AD522" s="1" t="n">
        <f aca="false">SUMPRODUCT(('Recurring Items'!$C$6:$C$56="Income")*('Recurring Items'!$H$6:$H$56&lt;&gt;"Skip")*IFERROR(N('Recurring Items'!$D$6:$D$56),0)*(('Recurring Items'!$E$6:$E$56="Monthly")*(DAY(AB522)='Recurring Items'!$F$6:$F$56)+('Recurring Items'!$E$6:$E$56="Bi-weekly")*(WEEKDAY(AB522)=IFERROR(WEEKDAY('Recurring Items'!$G$6:$G$56),0))*(MOD(AB522-IFERROR('Recurring Items'!$G$6:$G$56,0),14)=0)*(AB522&gt;=IFERROR('Recurring Items'!$G$6:$G$56,9000000000))+('Recurring Items'!$E$6:$E$56="Weekly")*(WEEKDAY(AB522)=IFERROR(WEEKDAY('Recurring Items'!$G$6:$G$56),0))*(AB522&gt;=IFERROR('Recurring Items'!$G$6:$G$56,9000000000))+('Recurring Items'!$E$6:$E$56="One-time")*(AB522='Recurring Items'!$G$6:$G$56)))</f>
        <v>3819.79</v>
      </c>
      <c r="AE522" s="1" t="n">
        <f aca="false">SUMPRODUCT(('Recurring Items'!$C$6:$C$56="Expense")*('Recurring Items'!$H$6:$H$56&lt;&gt;"Skip")*IFERROR(N('Recurring Items'!$D$6:$D$56),0)*(('Recurring Items'!$E$6:$E$56="Monthly")*(DAY(AB522)='Recurring Items'!$F$6:$F$56)+('Recurring Items'!$E$6:$E$56="Bi-weekly")*(WEEKDAY(AB522)=IFERROR(WEEKDAY('Recurring Items'!$G$6:$G$56),0))*(MOD(AB522-IFERROR('Recurring Items'!$G$6:$G$56,0),14)=0)*(AB522&gt;=IFERROR('Recurring Items'!$G$6:$G$56,9000000000))+('Recurring Items'!$E$6:$E$56="Weekly")*(WEEKDAY(AB522)=IFERROR(WEEKDAY('Recurring Items'!$G$6:$G$56),0))*(AB522&gt;=IFERROR('Recurring Items'!$G$6:$G$56,9000000000))+('Recurring Items'!$E$6:$E$56="One-time")*(AB522='Recurring Items'!$G$6:$G$56)))</f>
        <v>460</v>
      </c>
      <c r="AF522" s="1" t="n">
        <f aca="false">(IF(AC522=1,'Debt Tracker'!$P$5&gt;0.01,INDEX('Debt Tracker'!$T$5:$AE$29,1,AC522-1)&gt;0.01))*('Recurring Items'!$H$8&lt;&gt;"Skip")*(DAY(AB522)='Recurring Items'!$F$8)*IFERROR(N('Recurring Items'!$D$8),0)+(IF(AC522=1,'Debt Tracker'!$P$6&gt;0.01,INDEX('Debt Tracker'!$T$5:$AE$29,2,AC522-1)&gt;0.01))*('Recurring Items'!$H$9&lt;&gt;"Skip")*(DAY(AB522)='Recurring Items'!$F$9)*IFERROR(N('Recurring Items'!$D$9),0)+(IF(AC522=1,'Debt Tracker'!$P$7&gt;0.01,INDEX('Debt Tracker'!$T$5:$AE$29,3,AC522-1)&gt;0.01))*('Recurring Items'!$H$10&lt;&gt;"Skip")*(DAY(AB522)='Recurring Items'!$F$10)*IFERROR(N('Recurring Items'!$D$10),0)+(IF(AC522=1,'Debt Tracker'!$P$8&gt;0.01,INDEX('Debt Tracker'!$T$5:$AE$29,4,AC522-1)&gt;0.01))*('Recurring Items'!$H$11&lt;&gt;"Skip")*(DAY(AB522)='Recurring Items'!$F$11)*IFERROR(N('Recurring Items'!$D$11),0)+(IF(AC522=1,'Debt Tracker'!$P$9&gt;0.01,INDEX('Debt Tracker'!$T$5:$AE$29,5,AC522-1)&gt;0.01))*('Recurring Items'!$H$12&lt;&gt;"Skip")*(DAY(AB522)='Recurring Items'!$F$12)*IFERROR(N('Recurring Items'!$D$12),0)+(IF(AC522=1,'Debt Tracker'!$P$10&gt;0.01,INDEX('Debt Tracker'!$T$5:$AE$29,6,AC522-1)&gt;0.01))*('Recurring Items'!$H$13&lt;&gt;"Skip")*(DAY(AB522)='Recurring Items'!$F$13)*IFERROR(N('Recurring Items'!$D$13),0)+(IF(AC522=1,'Debt Tracker'!$P$11&gt;0.01,INDEX('Debt Tracker'!$T$5:$AE$29,7,AC522-1)&gt;0.01))*('Recurring Items'!$H$14&lt;&gt;"Skip")*(DAY(AB522)='Recurring Items'!$F$14)*IFERROR(N('Recurring Items'!$D$14),0)+(IF(AC522=1,'Debt Tracker'!$P$12&gt;0.01,INDEX('Debt Tracker'!$T$5:$AE$29,8,AC522-1)&gt;0.01))*('Recurring Items'!$H$15&lt;&gt;"Skip")*(DAY(AB522)='Recurring Items'!$F$15)*IFERROR(N('Recurring Items'!$D$15),0)+(IF(AC522=1,'Debt Tracker'!$P$13&gt;0.01,INDEX('Debt Tracker'!$T$5:$AE$29,9,AC522-1)&gt;0.01))*('Recurring Items'!$H$16&lt;&gt;"Skip")*(DAY(AB522)='Recurring Items'!$F$16)*IFERROR(N('Recurring Items'!$D$16),0)+(IF(AC522=1,'Debt Tracker'!$P$14&gt;0.01,INDEX('Debt Tracker'!$T$5:$AE$29,10,AC522-1)&gt;0.01))*('Recurring Items'!$H$17&lt;&gt;"Skip")*(DAY(AB522)='Recurring Items'!$F$17)*IFERROR(N('Recurring Items'!$D$17),0)+(IF(AC522=1,'Debt Tracker'!$P$15&gt;0.01,INDEX('Debt Tracker'!$T$5:$AE$29,11,AC522-1)&gt;0.01))*('Recurring Items'!$H$18&lt;&gt;"Skip")*(DAY(AB522)='Recurring Items'!$F$18)*IFERROR(N('Recurring Items'!$D$18),0)+(IF(AC522=1,'Debt Tracker'!$P$16&gt;0.01,INDEX('Debt Tracker'!$T$5:$AE$29,12,AC522-1)&gt;0.01))*('Recurring Items'!$H$19&lt;&gt;"Skip")*(DAY(AB522)='Recurring Items'!$F$19)*IFERROR(N('Recurring Items'!$D$19),0)+(IF(AC522=1,'Debt Tracker'!$P$17&gt;0.01,INDEX('Debt Tracker'!$T$5:$AE$29,13,AC522-1)&gt;0.01))*('Recurring Items'!$H$20&lt;&gt;"Skip")*(DAY(AB522)='Recurring Items'!$F$20)*IFERROR(N('Recurring Items'!$D$20),0)+(IF(AC522=1,'Debt Tracker'!$P$18&gt;0.01,INDEX('Debt Tracker'!$T$5:$AE$29,14,AC522-1)&gt;0.01))*('Recurring Items'!$H$21&lt;&gt;"Skip")*(DAY(AB522)='Recurring Items'!$F$21)*IFERROR(N('Recurring Items'!$D$21),0)+(IF(AC522=1,'Debt Tracker'!$P$19&gt;0.01,INDEX('Debt Tracker'!$T$5:$AE$29,15,AC522-1)&gt;0.01))*('Recurring Items'!$H$22&lt;&gt;"Skip")*(DAY(AB522)='Recurring Items'!$F$22)*IFERROR(N('Recurring Items'!$D$22),0)+(IF(AC522=1,'Debt Tracker'!$P$20&gt;0.01,INDEX('Debt Tracker'!$T$5:$AE$29,16,AC522-1)&gt;0.01))*('Recurring Items'!$H$23&lt;&gt;"Skip")*(DAY(AB522)='Recurring Items'!$F$23)*IFERROR(N('Recurring Items'!$D$23),0)+(IF(AC522=1,'Debt Tracker'!$P$21&gt;0.01,INDEX('Debt Tracker'!$T$5:$AE$29,17,AC522-1)&gt;0.01))*('Recurring Items'!$H$24&lt;&gt;"Skip")*(DAY(AB522)='Recurring Items'!$F$24)*IFERROR(N('Recurring Items'!$D$24),0)+(IF(AC522=1,'Debt Tracker'!$P$22&gt;0.01,INDEX('Debt Tracker'!$T$5:$AE$29,18,AC522-1)&gt;0.01))*('Recurring Items'!$H$25&lt;&gt;"Skip")*(DAY(AB522)='Recurring Items'!$F$25)*IFERROR(N('Recurring Items'!$D$25),0)+(IF(AC522=1,'Debt Tracker'!$P$23&gt;0.01,INDEX('Debt Tracker'!$T$5:$AE$29,19,AC522-1)&gt;0.01))*('Recurring Items'!$H$26&lt;&gt;"Skip")*(DAY(AB522)='Recurring Items'!$F$26)*IFERROR(N('Recurring Items'!$D$26),0)+(IF(AC522=1,'Debt Tracker'!$P$24&gt;0.01,INDEX('Debt Tracker'!$T$5:$AE$29,20,AC522-1)&gt;0.01))*('Recurring Items'!$H$27&lt;&gt;"Skip")*(DAY(AB522)='Recurring Items'!$F$27)*IFERROR(N('Recurring Items'!$D$27),0)+(IF(AC522=1,'Debt Tracker'!$P$25&gt;0.01,INDEX('Debt Tracker'!$T$5:$AE$29,21,AC522-1)&gt;0.01))*('Recurring Items'!$H$28&lt;&gt;"Skip")*(DAY(AB522)='Recurring Items'!$F$28)*IFERROR(N('Recurring Items'!$D$28),0)+(IF(AC522=1,'Debt Tracker'!$P$26&gt;0.01,INDEX('Debt Tracker'!$T$5:$AE$29,22,AC522-1)&gt;0.01))*('Recurring Items'!$H$29&lt;&gt;"Skip")*(DAY(AB522)='Recurring Items'!$F$29)*IFERROR(N('Recurring Items'!$D$29),0)+(IF(AC522=1,'Debt Tracker'!$P$27&gt;0.01,INDEX('Debt Tracker'!$T$5:$AE$29,23,AC522-1)&gt;0.01))*('Recurring Items'!$H$30&lt;&gt;"Skip")*(DAY(AB522)='Recurring Items'!$F$30)*IFERROR(N('Recurring Items'!$D$30),0)+(IF(AC522=1,'Debt Tracker'!$P$28&gt;0.01,INDEX('Debt Tracker'!$T$5:$AE$29,24,AC522-1)&gt;0.01))*('Recurring Items'!$H$31&lt;&gt;"Skip")*(DAY(AB522)='Recurring Items'!$F$31)*IFERROR(N('Recurring Items'!$D$31),0)+(IF(AC522=1,'Debt Tracker'!$P$29&gt;0.01,INDEX('Debt Tracker'!$T$5:$AE$29,25,AC522-1)&gt;0.01))*('Recurring Items'!$H$32&lt;&gt;"Skip")*(DAY(AB522)='Recurring Items'!$F$32)*IFERROR(N('Recurring Items'!$D$32),0)</f>
        <v>0</v>
      </c>
      <c r="AG522" s="1" t="n">
        <f aca="false">AD522-AE522-AF522</f>
        <v>3359.79</v>
      </c>
      <c r="AH522" s="1" t="n">
        <f aca="false">AH521+AG522</f>
        <v>23467.88</v>
      </c>
    </row>
    <row r="523" customFormat="false" ht="15" hidden="false" customHeight="true" outlineLevel="0" collapsed="false">
      <c r="AA523" s="1" t="n">
        <v>323</v>
      </c>
      <c r="AB523" s="145" t="n">
        <f aca="false">$D$3+323</f>
        <v>46466</v>
      </c>
      <c r="AC523" s="1" t="n">
        <f aca="false">MIN(12,1+DATEDIF($D$3,AB523,"M"))</f>
        <v>11</v>
      </c>
      <c r="AD523" s="1" t="n">
        <f aca="false">SUMPRODUCT(('Recurring Items'!$C$6:$C$56="Income")*('Recurring Items'!$H$6:$H$56&lt;&gt;"Skip")*IFERROR(N('Recurring Items'!$D$6:$D$56),0)*(('Recurring Items'!$E$6:$E$56="Monthly")*(DAY(AB523)='Recurring Items'!$F$6:$F$56)+('Recurring Items'!$E$6:$E$56="Bi-weekly")*(WEEKDAY(AB523)=IFERROR(WEEKDAY('Recurring Items'!$G$6:$G$56),0))*(MOD(AB523-IFERROR('Recurring Items'!$G$6:$G$56,0),14)=0)*(AB523&gt;=IFERROR('Recurring Items'!$G$6:$G$56,9000000000))+('Recurring Items'!$E$6:$E$56="Weekly")*(WEEKDAY(AB523)=IFERROR(WEEKDAY('Recurring Items'!$G$6:$G$56),0))*(AB523&gt;=IFERROR('Recurring Items'!$G$6:$G$56,9000000000))+('Recurring Items'!$E$6:$E$56="One-time")*(AB523='Recurring Items'!$G$6:$G$56)))</f>
        <v>0</v>
      </c>
      <c r="AE523" s="1" t="n">
        <f aca="false">SUMPRODUCT(('Recurring Items'!$C$6:$C$56="Expense")*('Recurring Items'!$H$6:$H$56&lt;&gt;"Skip")*IFERROR(N('Recurring Items'!$D$6:$D$56),0)*(('Recurring Items'!$E$6:$E$56="Monthly")*(DAY(AB523)='Recurring Items'!$F$6:$F$56)+('Recurring Items'!$E$6:$E$56="Bi-weekly")*(WEEKDAY(AB523)=IFERROR(WEEKDAY('Recurring Items'!$G$6:$G$56),0))*(MOD(AB523-IFERROR('Recurring Items'!$G$6:$G$56,0),14)=0)*(AB523&gt;=IFERROR('Recurring Items'!$G$6:$G$56,9000000000))+('Recurring Items'!$E$6:$E$56="Weekly")*(WEEKDAY(AB523)=IFERROR(WEEKDAY('Recurring Items'!$G$6:$G$56),0))*(AB523&gt;=IFERROR('Recurring Items'!$G$6:$G$56,9000000000))+('Recurring Items'!$E$6:$E$56="One-time")*(AB523='Recurring Items'!$G$6:$G$56)))</f>
        <v>0</v>
      </c>
      <c r="AF523" s="1" t="n">
        <f aca="false">(IF(AC523=1,'Debt Tracker'!$P$5&gt;0.01,INDEX('Debt Tracker'!$T$5:$AE$29,1,AC523-1)&gt;0.01))*('Recurring Items'!$H$8&lt;&gt;"Skip")*(DAY(AB523)='Recurring Items'!$F$8)*IFERROR(N('Recurring Items'!$D$8),0)+(IF(AC523=1,'Debt Tracker'!$P$6&gt;0.01,INDEX('Debt Tracker'!$T$5:$AE$29,2,AC523-1)&gt;0.01))*('Recurring Items'!$H$9&lt;&gt;"Skip")*(DAY(AB523)='Recurring Items'!$F$9)*IFERROR(N('Recurring Items'!$D$9),0)+(IF(AC523=1,'Debt Tracker'!$P$7&gt;0.01,INDEX('Debt Tracker'!$T$5:$AE$29,3,AC523-1)&gt;0.01))*('Recurring Items'!$H$10&lt;&gt;"Skip")*(DAY(AB523)='Recurring Items'!$F$10)*IFERROR(N('Recurring Items'!$D$10),0)+(IF(AC523=1,'Debt Tracker'!$P$8&gt;0.01,INDEX('Debt Tracker'!$T$5:$AE$29,4,AC523-1)&gt;0.01))*('Recurring Items'!$H$11&lt;&gt;"Skip")*(DAY(AB523)='Recurring Items'!$F$11)*IFERROR(N('Recurring Items'!$D$11),0)+(IF(AC523=1,'Debt Tracker'!$P$9&gt;0.01,INDEX('Debt Tracker'!$T$5:$AE$29,5,AC523-1)&gt;0.01))*('Recurring Items'!$H$12&lt;&gt;"Skip")*(DAY(AB523)='Recurring Items'!$F$12)*IFERROR(N('Recurring Items'!$D$12),0)+(IF(AC523=1,'Debt Tracker'!$P$10&gt;0.01,INDEX('Debt Tracker'!$T$5:$AE$29,6,AC523-1)&gt;0.01))*('Recurring Items'!$H$13&lt;&gt;"Skip")*(DAY(AB523)='Recurring Items'!$F$13)*IFERROR(N('Recurring Items'!$D$13),0)+(IF(AC523=1,'Debt Tracker'!$P$11&gt;0.01,INDEX('Debt Tracker'!$T$5:$AE$29,7,AC523-1)&gt;0.01))*('Recurring Items'!$H$14&lt;&gt;"Skip")*(DAY(AB523)='Recurring Items'!$F$14)*IFERROR(N('Recurring Items'!$D$14),0)+(IF(AC523=1,'Debt Tracker'!$P$12&gt;0.01,INDEX('Debt Tracker'!$T$5:$AE$29,8,AC523-1)&gt;0.01))*('Recurring Items'!$H$15&lt;&gt;"Skip")*(DAY(AB523)='Recurring Items'!$F$15)*IFERROR(N('Recurring Items'!$D$15),0)+(IF(AC523=1,'Debt Tracker'!$P$13&gt;0.01,INDEX('Debt Tracker'!$T$5:$AE$29,9,AC523-1)&gt;0.01))*('Recurring Items'!$H$16&lt;&gt;"Skip")*(DAY(AB523)='Recurring Items'!$F$16)*IFERROR(N('Recurring Items'!$D$16),0)+(IF(AC523=1,'Debt Tracker'!$P$14&gt;0.01,INDEX('Debt Tracker'!$T$5:$AE$29,10,AC523-1)&gt;0.01))*('Recurring Items'!$H$17&lt;&gt;"Skip")*(DAY(AB523)='Recurring Items'!$F$17)*IFERROR(N('Recurring Items'!$D$17),0)+(IF(AC523=1,'Debt Tracker'!$P$15&gt;0.01,INDEX('Debt Tracker'!$T$5:$AE$29,11,AC523-1)&gt;0.01))*('Recurring Items'!$H$18&lt;&gt;"Skip")*(DAY(AB523)='Recurring Items'!$F$18)*IFERROR(N('Recurring Items'!$D$18),0)+(IF(AC523=1,'Debt Tracker'!$P$16&gt;0.01,INDEX('Debt Tracker'!$T$5:$AE$29,12,AC523-1)&gt;0.01))*('Recurring Items'!$H$19&lt;&gt;"Skip")*(DAY(AB523)='Recurring Items'!$F$19)*IFERROR(N('Recurring Items'!$D$19),0)+(IF(AC523=1,'Debt Tracker'!$P$17&gt;0.01,INDEX('Debt Tracker'!$T$5:$AE$29,13,AC523-1)&gt;0.01))*('Recurring Items'!$H$20&lt;&gt;"Skip")*(DAY(AB523)='Recurring Items'!$F$20)*IFERROR(N('Recurring Items'!$D$20),0)+(IF(AC523=1,'Debt Tracker'!$P$18&gt;0.01,INDEX('Debt Tracker'!$T$5:$AE$29,14,AC523-1)&gt;0.01))*('Recurring Items'!$H$21&lt;&gt;"Skip")*(DAY(AB523)='Recurring Items'!$F$21)*IFERROR(N('Recurring Items'!$D$21),0)+(IF(AC523=1,'Debt Tracker'!$P$19&gt;0.01,INDEX('Debt Tracker'!$T$5:$AE$29,15,AC523-1)&gt;0.01))*('Recurring Items'!$H$22&lt;&gt;"Skip")*(DAY(AB523)='Recurring Items'!$F$22)*IFERROR(N('Recurring Items'!$D$22),0)+(IF(AC523=1,'Debt Tracker'!$P$20&gt;0.01,INDEX('Debt Tracker'!$T$5:$AE$29,16,AC523-1)&gt;0.01))*('Recurring Items'!$H$23&lt;&gt;"Skip")*(DAY(AB523)='Recurring Items'!$F$23)*IFERROR(N('Recurring Items'!$D$23),0)+(IF(AC523=1,'Debt Tracker'!$P$21&gt;0.01,INDEX('Debt Tracker'!$T$5:$AE$29,17,AC523-1)&gt;0.01))*('Recurring Items'!$H$24&lt;&gt;"Skip")*(DAY(AB523)='Recurring Items'!$F$24)*IFERROR(N('Recurring Items'!$D$24),0)+(IF(AC523=1,'Debt Tracker'!$P$22&gt;0.01,INDEX('Debt Tracker'!$T$5:$AE$29,18,AC523-1)&gt;0.01))*('Recurring Items'!$H$25&lt;&gt;"Skip")*(DAY(AB523)='Recurring Items'!$F$25)*IFERROR(N('Recurring Items'!$D$25),0)+(IF(AC523=1,'Debt Tracker'!$P$23&gt;0.01,INDEX('Debt Tracker'!$T$5:$AE$29,19,AC523-1)&gt;0.01))*('Recurring Items'!$H$26&lt;&gt;"Skip")*(DAY(AB523)='Recurring Items'!$F$26)*IFERROR(N('Recurring Items'!$D$26),0)+(IF(AC523=1,'Debt Tracker'!$P$24&gt;0.01,INDEX('Debt Tracker'!$T$5:$AE$29,20,AC523-1)&gt;0.01))*('Recurring Items'!$H$27&lt;&gt;"Skip")*(DAY(AB523)='Recurring Items'!$F$27)*IFERROR(N('Recurring Items'!$D$27),0)+(IF(AC523=1,'Debt Tracker'!$P$25&gt;0.01,INDEX('Debt Tracker'!$T$5:$AE$29,21,AC523-1)&gt;0.01))*('Recurring Items'!$H$28&lt;&gt;"Skip")*(DAY(AB523)='Recurring Items'!$F$28)*IFERROR(N('Recurring Items'!$D$28),0)+(IF(AC523=1,'Debt Tracker'!$P$26&gt;0.01,INDEX('Debt Tracker'!$T$5:$AE$29,22,AC523-1)&gt;0.01))*('Recurring Items'!$H$29&lt;&gt;"Skip")*(DAY(AB523)='Recurring Items'!$F$29)*IFERROR(N('Recurring Items'!$D$29),0)+(IF(AC523=1,'Debt Tracker'!$P$27&gt;0.01,INDEX('Debt Tracker'!$T$5:$AE$29,23,AC523-1)&gt;0.01))*('Recurring Items'!$H$30&lt;&gt;"Skip")*(DAY(AB523)='Recurring Items'!$F$30)*IFERROR(N('Recurring Items'!$D$30),0)+(IF(AC523=1,'Debt Tracker'!$P$28&gt;0.01,INDEX('Debt Tracker'!$T$5:$AE$29,24,AC523-1)&gt;0.01))*('Recurring Items'!$H$31&lt;&gt;"Skip")*(DAY(AB523)='Recurring Items'!$F$31)*IFERROR(N('Recurring Items'!$D$31),0)+(IF(AC523=1,'Debt Tracker'!$P$29&gt;0.01,INDEX('Debt Tracker'!$T$5:$AE$29,25,AC523-1)&gt;0.01))*('Recurring Items'!$H$32&lt;&gt;"Skip")*(DAY(AB523)='Recurring Items'!$F$32)*IFERROR(N('Recurring Items'!$D$32),0)</f>
        <v>0</v>
      </c>
      <c r="AG523" s="1" t="n">
        <f aca="false">AD523-AE523-AF523</f>
        <v>0</v>
      </c>
      <c r="AH523" s="1" t="n">
        <f aca="false">AH522+AG523</f>
        <v>23467.88</v>
      </c>
    </row>
    <row r="524" customFormat="false" ht="15" hidden="false" customHeight="true" outlineLevel="0" collapsed="false">
      <c r="AA524" s="1" t="n">
        <v>324</v>
      </c>
      <c r="AB524" s="145" t="n">
        <f aca="false">$D$3+324</f>
        <v>46467</v>
      </c>
      <c r="AC524" s="1" t="n">
        <f aca="false">MIN(12,1+DATEDIF($D$3,AB524,"M"))</f>
        <v>11</v>
      </c>
      <c r="AD524" s="1" t="n">
        <f aca="false">SUMPRODUCT(('Recurring Items'!$C$6:$C$56="Income")*('Recurring Items'!$H$6:$H$56&lt;&gt;"Skip")*IFERROR(N('Recurring Items'!$D$6:$D$56),0)*(('Recurring Items'!$E$6:$E$56="Monthly")*(DAY(AB524)='Recurring Items'!$F$6:$F$56)+('Recurring Items'!$E$6:$E$56="Bi-weekly")*(WEEKDAY(AB524)=IFERROR(WEEKDAY('Recurring Items'!$G$6:$G$56),0))*(MOD(AB524-IFERROR('Recurring Items'!$G$6:$G$56,0),14)=0)*(AB524&gt;=IFERROR('Recurring Items'!$G$6:$G$56,9000000000))+('Recurring Items'!$E$6:$E$56="Weekly")*(WEEKDAY(AB524)=IFERROR(WEEKDAY('Recurring Items'!$G$6:$G$56),0))*(AB524&gt;=IFERROR('Recurring Items'!$G$6:$G$56,9000000000))+('Recurring Items'!$E$6:$E$56="One-time")*(AB524='Recurring Items'!$G$6:$G$56)))</f>
        <v>0</v>
      </c>
      <c r="AE524" s="1" t="n">
        <f aca="false">SUMPRODUCT(('Recurring Items'!$C$6:$C$56="Expense")*('Recurring Items'!$H$6:$H$56&lt;&gt;"Skip")*IFERROR(N('Recurring Items'!$D$6:$D$56),0)*(('Recurring Items'!$E$6:$E$56="Monthly")*(DAY(AB524)='Recurring Items'!$F$6:$F$56)+('Recurring Items'!$E$6:$E$56="Bi-weekly")*(WEEKDAY(AB524)=IFERROR(WEEKDAY('Recurring Items'!$G$6:$G$56),0))*(MOD(AB524-IFERROR('Recurring Items'!$G$6:$G$56,0),14)=0)*(AB524&gt;=IFERROR('Recurring Items'!$G$6:$G$56,9000000000))+('Recurring Items'!$E$6:$E$56="Weekly")*(WEEKDAY(AB524)=IFERROR(WEEKDAY('Recurring Items'!$G$6:$G$56),0))*(AB524&gt;=IFERROR('Recurring Items'!$G$6:$G$56,9000000000))+('Recurring Items'!$E$6:$E$56="One-time")*(AB524='Recurring Items'!$G$6:$G$56)))</f>
        <v>241</v>
      </c>
      <c r="AF524" s="1" t="n">
        <f aca="false">(IF(AC524=1,'Debt Tracker'!$P$5&gt;0.01,INDEX('Debt Tracker'!$T$5:$AE$29,1,AC524-1)&gt;0.01))*('Recurring Items'!$H$8&lt;&gt;"Skip")*(DAY(AB524)='Recurring Items'!$F$8)*IFERROR(N('Recurring Items'!$D$8),0)+(IF(AC524=1,'Debt Tracker'!$P$6&gt;0.01,INDEX('Debt Tracker'!$T$5:$AE$29,2,AC524-1)&gt;0.01))*('Recurring Items'!$H$9&lt;&gt;"Skip")*(DAY(AB524)='Recurring Items'!$F$9)*IFERROR(N('Recurring Items'!$D$9),0)+(IF(AC524=1,'Debt Tracker'!$P$7&gt;0.01,INDEX('Debt Tracker'!$T$5:$AE$29,3,AC524-1)&gt;0.01))*('Recurring Items'!$H$10&lt;&gt;"Skip")*(DAY(AB524)='Recurring Items'!$F$10)*IFERROR(N('Recurring Items'!$D$10),0)+(IF(AC524=1,'Debt Tracker'!$P$8&gt;0.01,INDEX('Debt Tracker'!$T$5:$AE$29,4,AC524-1)&gt;0.01))*('Recurring Items'!$H$11&lt;&gt;"Skip")*(DAY(AB524)='Recurring Items'!$F$11)*IFERROR(N('Recurring Items'!$D$11),0)+(IF(AC524=1,'Debt Tracker'!$P$9&gt;0.01,INDEX('Debt Tracker'!$T$5:$AE$29,5,AC524-1)&gt;0.01))*('Recurring Items'!$H$12&lt;&gt;"Skip")*(DAY(AB524)='Recurring Items'!$F$12)*IFERROR(N('Recurring Items'!$D$12),0)+(IF(AC524=1,'Debt Tracker'!$P$10&gt;0.01,INDEX('Debt Tracker'!$T$5:$AE$29,6,AC524-1)&gt;0.01))*('Recurring Items'!$H$13&lt;&gt;"Skip")*(DAY(AB524)='Recurring Items'!$F$13)*IFERROR(N('Recurring Items'!$D$13),0)+(IF(AC524=1,'Debt Tracker'!$P$11&gt;0.01,INDEX('Debt Tracker'!$T$5:$AE$29,7,AC524-1)&gt;0.01))*('Recurring Items'!$H$14&lt;&gt;"Skip")*(DAY(AB524)='Recurring Items'!$F$14)*IFERROR(N('Recurring Items'!$D$14),0)+(IF(AC524=1,'Debt Tracker'!$P$12&gt;0.01,INDEX('Debt Tracker'!$T$5:$AE$29,8,AC524-1)&gt;0.01))*('Recurring Items'!$H$15&lt;&gt;"Skip")*(DAY(AB524)='Recurring Items'!$F$15)*IFERROR(N('Recurring Items'!$D$15),0)+(IF(AC524=1,'Debt Tracker'!$P$13&gt;0.01,INDEX('Debt Tracker'!$T$5:$AE$29,9,AC524-1)&gt;0.01))*('Recurring Items'!$H$16&lt;&gt;"Skip")*(DAY(AB524)='Recurring Items'!$F$16)*IFERROR(N('Recurring Items'!$D$16),0)+(IF(AC524=1,'Debt Tracker'!$P$14&gt;0.01,INDEX('Debt Tracker'!$T$5:$AE$29,10,AC524-1)&gt;0.01))*('Recurring Items'!$H$17&lt;&gt;"Skip")*(DAY(AB524)='Recurring Items'!$F$17)*IFERROR(N('Recurring Items'!$D$17),0)+(IF(AC524=1,'Debt Tracker'!$P$15&gt;0.01,INDEX('Debt Tracker'!$T$5:$AE$29,11,AC524-1)&gt;0.01))*('Recurring Items'!$H$18&lt;&gt;"Skip")*(DAY(AB524)='Recurring Items'!$F$18)*IFERROR(N('Recurring Items'!$D$18),0)+(IF(AC524=1,'Debt Tracker'!$P$16&gt;0.01,INDEX('Debt Tracker'!$T$5:$AE$29,12,AC524-1)&gt;0.01))*('Recurring Items'!$H$19&lt;&gt;"Skip")*(DAY(AB524)='Recurring Items'!$F$19)*IFERROR(N('Recurring Items'!$D$19),0)+(IF(AC524=1,'Debt Tracker'!$P$17&gt;0.01,INDEX('Debt Tracker'!$T$5:$AE$29,13,AC524-1)&gt;0.01))*('Recurring Items'!$H$20&lt;&gt;"Skip")*(DAY(AB524)='Recurring Items'!$F$20)*IFERROR(N('Recurring Items'!$D$20),0)+(IF(AC524=1,'Debt Tracker'!$P$18&gt;0.01,INDEX('Debt Tracker'!$T$5:$AE$29,14,AC524-1)&gt;0.01))*('Recurring Items'!$H$21&lt;&gt;"Skip")*(DAY(AB524)='Recurring Items'!$F$21)*IFERROR(N('Recurring Items'!$D$21),0)+(IF(AC524=1,'Debt Tracker'!$P$19&gt;0.01,INDEX('Debt Tracker'!$T$5:$AE$29,15,AC524-1)&gt;0.01))*('Recurring Items'!$H$22&lt;&gt;"Skip")*(DAY(AB524)='Recurring Items'!$F$22)*IFERROR(N('Recurring Items'!$D$22),0)+(IF(AC524=1,'Debt Tracker'!$P$20&gt;0.01,INDEX('Debt Tracker'!$T$5:$AE$29,16,AC524-1)&gt;0.01))*('Recurring Items'!$H$23&lt;&gt;"Skip")*(DAY(AB524)='Recurring Items'!$F$23)*IFERROR(N('Recurring Items'!$D$23),0)+(IF(AC524=1,'Debt Tracker'!$P$21&gt;0.01,INDEX('Debt Tracker'!$T$5:$AE$29,17,AC524-1)&gt;0.01))*('Recurring Items'!$H$24&lt;&gt;"Skip")*(DAY(AB524)='Recurring Items'!$F$24)*IFERROR(N('Recurring Items'!$D$24),0)+(IF(AC524=1,'Debt Tracker'!$P$22&gt;0.01,INDEX('Debt Tracker'!$T$5:$AE$29,18,AC524-1)&gt;0.01))*('Recurring Items'!$H$25&lt;&gt;"Skip")*(DAY(AB524)='Recurring Items'!$F$25)*IFERROR(N('Recurring Items'!$D$25),0)+(IF(AC524=1,'Debt Tracker'!$P$23&gt;0.01,INDEX('Debt Tracker'!$T$5:$AE$29,19,AC524-1)&gt;0.01))*('Recurring Items'!$H$26&lt;&gt;"Skip")*(DAY(AB524)='Recurring Items'!$F$26)*IFERROR(N('Recurring Items'!$D$26),0)+(IF(AC524=1,'Debt Tracker'!$P$24&gt;0.01,INDEX('Debt Tracker'!$T$5:$AE$29,20,AC524-1)&gt;0.01))*('Recurring Items'!$H$27&lt;&gt;"Skip")*(DAY(AB524)='Recurring Items'!$F$27)*IFERROR(N('Recurring Items'!$D$27),0)+(IF(AC524=1,'Debt Tracker'!$P$25&gt;0.01,INDEX('Debt Tracker'!$T$5:$AE$29,21,AC524-1)&gt;0.01))*('Recurring Items'!$H$28&lt;&gt;"Skip")*(DAY(AB524)='Recurring Items'!$F$28)*IFERROR(N('Recurring Items'!$D$28),0)+(IF(AC524=1,'Debt Tracker'!$P$26&gt;0.01,INDEX('Debt Tracker'!$T$5:$AE$29,22,AC524-1)&gt;0.01))*('Recurring Items'!$H$29&lt;&gt;"Skip")*(DAY(AB524)='Recurring Items'!$F$29)*IFERROR(N('Recurring Items'!$D$29),0)+(IF(AC524=1,'Debt Tracker'!$P$27&gt;0.01,INDEX('Debt Tracker'!$T$5:$AE$29,23,AC524-1)&gt;0.01))*('Recurring Items'!$H$30&lt;&gt;"Skip")*(DAY(AB524)='Recurring Items'!$F$30)*IFERROR(N('Recurring Items'!$D$30),0)+(IF(AC524=1,'Debt Tracker'!$P$28&gt;0.01,INDEX('Debt Tracker'!$T$5:$AE$29,24,AC524-1)&gt;0.01))*('Recurring Items'!$H$31&lt;&gt;"Skip")*(DAY(AB524)='Recurring Items'!$F$31)*IFERROR(N('Recurring Items'!$D$31),0)+(IF(AC524=1,'Debt Tracker'!$P$29&gt;0.01,INDEX('Debt Tracker'!$T$5:$AE$29,25,AC524-1)&gt;0.01))*('Recurring Items'!$H$32&lt;&gt;"Skip")*(DAY(AB524)='Recurring Items'!$F$32)*IFERROR(N('Recurring Items'!$D$32),0)</f>
        <v>0</v>
      </c>
      <c r="AG524" s="1" t="n">
        <f aca="false">AD524-AE524-AF524</f>
        <v>-241</v>
      </c>
      <c r="AH524" s="1" t="n">
        <f aca="false">AH523+AG524</f>
        <v>23226.88</v>
      </c>
    </row>
    <row r="525" customFormat="false" ht="15" hidden="false" customHeight="true" outlineLevel="0" collapsed="false">
      <c r="AA525" s="1" t="n">
        <v>325</v>
      </c>
      <c r="AB525" s="145" t="n">
        <f aca="false">$D$3+325</f>
        <v>46468</v>
      </c>
      <c r="AC525" s="1" t="n">
        <f aca="false">MIN(12,1+DATEDIF($D$3,AB525,"M"))</f>
        <v>11</v>
      </c>
      <c r="AD525" s="1" t="n">
        <f aca="false">SUMPRODUCT(('Recurring Items'!$C$6:$C$56="Income")*('Recurring Items'!$H$6:$H$56&lt;&gt;"Skip")*IFERROR(N('Recurring Items'!$D$6:$D$56),0)*(('Recurring Items'!$E$6:$E$56="Monthly")*(DAY(AB525)='Recurring Items'!$F$6:$F$56)+('Recurring Items'!$E$6:$E$56="Bi-weekly")*(WEEKDAY(AB525)=IFERROR(WEEKDAY('Recurring Items'!$G$6:$G$56),0))*(MOD(AB525-IFERROR('Recurring Items'!$G$6:$G$56,0),14)=0)*(AB525&gt;=IFERROR('Recurring Items'!$G$6:$G$56,9000000000))+('Recurring Items'!$E$6:$E$56="Weekly")*(WEEKDAY(AB525)=IFERROR(WEEKDAY('Recurring Items'!$G$6:$G$56),0))*(AB525&gt;=IFERROR('Recurring Items'!$G$6:$G$56,9000000000))+('Recurring Items'!$E$6:$E$56="One-time")*(AB525='Recurring Items'!$G$6:$G$56)))</f>
        <v>0</v>
      </c>
      <c r="AE525" s="1" t="n">
        <f aca="false">SUMPRODUCT(('Recurring Items'!$C$6:$C$56="Expense")*('Recurring Items'!$H$6:$H$56&lt;&gt;"Skip")*IFERROR(N('Recurring Items'!$D$6:$D$56),0)*(('Recurring Items'!$E$6:$E$56="Monthly")*(DAY(AB525)='Recurring Items'!$F$6:$F$56)+('Recurring Items'!$E$6:$E$56="Bi-weekly")*(WEEKDAY(AB525)=IFERROR(WEEKDAY('Recurring Items'!$G$6:$G$56),0))*(MOD(AB525-IFERROR('Recurring Items'!$G$6:$G$56,0),14)=0)*(AB525&gt;=IFERROR('Recurring Items'!$G$6:$G$56,9000000000))+('Recurring Items'!$E$6:$E$56="Weekly")*(WEEKDAY(AB525)=IFERROR(WEEKDAY('Recurring Items'!$G$6:$G$56),0))*(AB525&gt;=IFERROR('Recurring Items'!$G$6:$G$56,9000000000))+('Recurring Items'!$E$6:$E$56="One-time")*(AB525='Recurring Items'!$G$6:$G$56)))</f>
        <v>0</v>
      </c>
      <c r="AF525" s="1" t="n">
        <f aca="false">(IF(AC525=1,'Debt Tracker'!$P$5&gt;0.01,INDEX('Debt Tracker'!$T$5:$AE$29,1,AC525-1)&gt;0.01))*('Recurring Items'!$H$8&lt;&gt;"Skip")*(DAY(AB525)='Recurring Items'!$F$8)*IFERROR(N('Recurring Items'!$D$8),0)+(IF(AC525=1,'Debt Tracker'!$P$6&gt;0.01,INDEX('Debt Tracker'!$T$5:$AE$29,2,AC525-1)&gt;0.01))*('Recurring Items'!$H$9&lt;&gt;"Skip")*(DAY(AB525)='Recurring Items'!$F$9)*IFERROR(N('Recurring Items'!$D$9),0)+(IF(AC525=1,'Debt Tracker'!$P$7&gt;0.01,INDEX('Debt Tracker'!$T$5:$AE$29,3,AC525-1)&gt;0.01))*('Recurring Items'!$H$10&lt;&gt;"Skip")*(DAY(AB525)='Recurring Items'!$F$10)*IFERROR(N('Recurring Items'!$D$10),0)+(IF(AC525=1,'Debt Tracker'!$P$8&gt;0.01,INDEX('Debt Tracker'!$T$5:$AE$29,4,AC525-1)&gt;0.01))*('Recurring Items'!$H$11&lt;&gt;"Skip")*(DAY(AB525)='Recurring Items'!$F$11)*IFERROR(N('Recurring Items'!$D$11),0)+(IF(AC525=1,'Debt Tracker'!$P$9&gt;0.01,INDEX('Debt Tracker'!$T$5:$AE$29,5,AC525-1)&gt;0.01))*('Recurring Items'!$H$12&lt;&gt;"Skip")*(DAY(AB525)='Recurring Items'!$F$12)*IFERROR(N('Recurring Items'!$D$12),0)+(IF(AC525=1,'Debt Tracker'!$P$10&gt;0.01,INDEX('Debt Tracker'!$T$5:$AE$29,6,AC525-1)&gt;0.01))*('Recurring Items'!$H$13&lt;&gt;"Skip")*(DAY(AB525)='Recurring Items'!$F$13)*IFERROR(N('Recurring Items'!$D$13),0)+(IF(AC525=1,'Debt Tracker'!$P$11&gt;0.01,INDEX('Debt Tracker'!$T$5:$AE$29,7,AC525-1)&gt;0.01))*('Recurring Items'!$H$14&lt;&gt;"Skip")*(DAY(AB525)='Recurring Items'!$F$14)*IFERROR(N('Recurring Items'!$D$14),0)+(IF(AC525=1,'Debt Tracker'!$P$12&gt;0.01,INDEX('Debt Tracker'!$T$5:$AE$29,8,AC525-1)&gt;0.01))*('Recurring Items'!$H$15&lt;&gt;"Skip")*(DAY(AB525)='Recurring Items'!$F$15)*IFERROR(N('Recurring Items'!$D$15),0)+(IF(AC525=1,'Debt Tracker'!$P$13&gt;0.01,INDEX('Debt Tracker'!$T$5:$AE$29,9,AC525-1)&gt;0.01))*('Recurring Items'!$H$16&lt;&gt;"Skip")*(DAY(AB525)='Recurring Items'!$F$16)*IFERROR(N('Recurring Items'!$D$16),0)+(IF(AC525=1,'Debt Tracker'!$P$14&gt;0.01,INDEX('Debt Tracker'!$T$5:$AE$29,10,AC525-1)&gt;0.01))*('Recurring Items'!$H$17&lt;&gt;"Skip")*(DAY(AB525)='Recurring Items'!$F$17)*IFERROR(N('Recurring Items'!$D$17),0)+(IF(AC525=1,'Debt Tracker'!$P$15&gt;0.01,INDEX('Debt Tracker'!$T$5:$AE$29,11,AC525-1)&gt;0.01))*('Recurring Items'!$H$18&lt;&gt;"Skip")*(DAY(AB525)='Recurring Items'!$F$18)*IFERROR(N('Recurring Items'!$D$18),0)+(IF(AC525=1,'Debt Tracker'!$P$16&gt;0.01,INDEX('Debt Tracker'!$T$5:$AE$29,12,AC525-1)&gt;0.01))*('Recurring Items'!$H$19&lt;&gt;"Skip")*(DAY(AB525)='Recurring Items'!$F$19)*IFERROR(N('Recurring Items'!$D$19),0)+(IF(AC525=1,'Debt Tracker'!$P$17&gt;0.01,INDEX('Debt Tracker'!$T$5:$AE$29,13,AC525-1)&gt;0.01))*('Recurring Items'!$H$20&lt;&gt;"Skip")*(DAY(AB525)='Recurring Items'!$F$20)*IFERROR(N('Recurring Items'!$D$20),0)+(IF(AC525=1,'Debt Tracker'!$P$18&gt;0.01,INDEX('Debt Tracker'!$T$5:$AE$29,14,AC525-1)&gt;0.01))*('Recurring Items'!$H$21&lt;&gt;"Skip")*(DAY(AB525)='Recurring Items'!$F$21)*IFERROR(N('Recurring Items'!$D$21),0)+(IF(AC525=1,'Debt Tracker'!$P$19&gt;0.01,INDEX('Debt Tracker'!$T$5:$AE$29,15,AC525-1)&gt;0.01))*('Recurring Items'!$H$22&lt;&gt;"Skip")*(DAY(AB525)='Recurring Items'!$F$22)*IFERROR(N('Recurring Items'!$D$22),0)+(IF(AC525=1,'Debt Tracker'!$P$20&gt;0.01,INDEX('Debt Tracker'!$T$5:$AE$29,16,AC525-1)&gt;0.01))*('Recurring Items'!$H$23&lt;&gt;"Skip")*(DAY(AB525)='Recurring Items'!$F$23)*IFERROR(N('Recurring Items'!$D$23),0)+(IF(AC525=1,'Debt Tracker'!$P$21&gt;0.01,INDEX('Debt Tracker'!$T$5:$AE$29,17,AC525-1)&gt;0.01))*('Recurring Items'!$H$24&lt;&gt;"Skip")*(DAY(AB525)='Recurring Items'!$F$24)*IFERROR(N('Recurring Items'!$D$24),0)+(IF(AC525=1,'Debt Tracker'!$P$22&gt;0.01,INDEX('Debt Tracker'!$T$5:$AE$29,18,AC525-1)&gt;0.01))*('Recurring Items'!$H$25&lt;&gt;"Skip")*(DAY(AB525)='Recurring Items'!$F$25)*IFERROR(N('Recurring Items'!$D$25),0)+(IF(AC525=1,'Debt Tracker'!$P$23&gt;0.01,INDEX('Debt Tracker'!$T$5:$AE$29,19,AC525-1)&gt;0.01))*('Recurring Items'!$H$26&lt;&gt;"Skip")*(DAY(AB525)='Recurring Items'!$F$26)*IFERROR(N('Recurring Items'!$D$26),0)+(IF(AC525=1,'Debt Tracker'!$P$24&gt;0.01,INDEX('Debt Tracker'!$T$5:$AE$29,20,AC525-1)&gt;0.01))*('Recurring Items'!$H$27&lt;&gt;"Skip")*(DAY(AB525)='Recurring Items'!$F$27)*IFERROR(N('Recurring Items'!$D$27),0)+(IF(AC525=1,'Debt Tracker'!$P$25&gt;0.01,INDEX('Debt Tracker'!$T$5:$AE$29,21,AC525-1)&gt;0.01))*('Recurring Items'!$H$28&lt;&gt;"Skip")*(DAY(AB525)='Recurring Items'!$F$28)*IFERROR(N('Recurring Items'!$D$28),0)+(IF(AC525=1,'Debt Tracker'!$P$26&gt;0.01,INDEX('Debt Tracker'!$T$5:$AE$29,22,AC525-1)&gt;0.01))*('Recurring Items'!$H$29&lt;&gt;"Skip")*(DAY(AB525)='Recurring Items'!$F$29)*IFERROR(N('Recurring Items'!$D$29),0)+(IF(AC525=1,'Debt Tracker'!$P$27&gt;0.01,INDEX('Debt Tracker'!$T$5:$AE$29,23,AC525-1)&gt;0.01))*('Recurring Items'!$H$30&lt;&gt;"Skip")*(DAY(AB525)='Recurring Items'!$F$30)*IFERROR(N('Recurring Items'!$D$30),0)+(IF(AC525=1,'Debt Tracker'!$P$28&gt;0.01,INDEX('Debt Tracker'!$T$5:$AE$29,24,AC525-1)&gt;0.01))*('Recurring Items'!$H$31&lt;&gt;"Skip")*(DAY(AB525)='Recurring Items'!$F$31)*IFERROR(N('Recurring Items'!$D$31),0)+(IF(AC525=1,'Debt Tracker'!$P$29&gt;0.01,INDEX('Debt Tracker'!$T$5:$AE$29,25,AC525-1)&gt;0.01))*('Recurring Items'!$H$32&lt;&gt;"Skip")*(DAY(AB525)='Recurring Items'!$F$32)*IFERROR(N('Recurring Items'!$D$32),0)</f>
        <v>0</v>
      </c>
      <c r="AG525" s="1" t="n">
        <f aca="false">AD525-AE525-AF525</f>
        <v>0</v>
      </c>
      <c r="AH525" s="1" t="n">
        <f aca="false">AH524+AG525</f>
        <v>23226.88</v>
      </c>
    </row>
    <row r="526" customFormat="false" ht="15" hidden="false" customHeight="true" outlineLevel="0" collapsed="false">
      <c r="AA526" s="1" t="n">
        <v>326</v>
      </c>
      <c r="AB526" s="145" t="n">
        <f aca="false">$D$3+326</f>
        <v>46469</v>
      </c>
      <c r="AC526" s="1" t="n">
        <f aca="false">MIN(12,1+DATEDIF($D$3,AB526,"M"))</f>
        <v>11</v>
      </c>
      <c r="AD526" s="1" t="n">
        <f aca="false">SUMPRODUCT(('Recurring Items'!$C$6:$C$56="Income")*('Recurring Items'!$H$6:$H$56&lt;&gt;"Skip")*IFERROR(N('Recurring Items'!$D$6:$D$56),0)*(('Recurring Items'!$E$6:$E$56="Monthly")*(DAY(AB526)='Recurring Items'!$F$6:$F$56)+('Recurring Items'!$E$6:$E$56="Bi-weekly")*(WEEKDAY(AB526)=IFERROR(WEEKDAY('Recurring Items'!$G$6:$G$56),0))*(MOD(AB526-IFERROR('Recurring Items'!$G$6:$G$56,0),14)=0)*(AB526&gt;=IFERROR('Recurring Items'!$G$6:$G$56,9000000000))+('Recurring Items'!$E$6:$E$56="Weekly")*(WEEKDAY(AB526)=IFERROR(WEEKDAY('Recurring Items'!$G$6:$G$56),0))*(AB526&gt;=IFERROR('Recurring Items'!$G$6:$G$56,9000000000))+('Recurring Items'!$E$6:$E$56="One-time")*(AB526='Recurring Items'!$G$6:$G$56)))</f>
        <v>0</v>
      </c>
      <c r="AE526" s="1" t="n">
        <f aca="false">SUMPRODUCT(('Recurring Items'!$C$6:$C$56="Expense")*('Recurring Items'!$H$6:$H$56&lt;&gt;"Skip")*IFERROR(N('Recurring Items'!$D$6:$D$56),0)*(('Recurring Items'!$E$6:$E$56="Monthly")*(DAY(AB526)='Recurring Items'!$F$6:$F$56)+('Recurring Items'!$E$6:$E$56="Bi-weekly")*(WEEKDAY(AB526)=IFERROR(WEEKDAY('Recurring Items'!$G$6:$G$56),0))*(MOD(AB526-IFERROR('Recurring Items'!$G$6:$G$56,0),14)=0)*(AB526&gt;=IFERROR('Recurring Items'!$G$6:$G$56,9000000000))+('Recurring Items'!$E$6:$E$56="Weekly")*(WEEKDAY(AB526)=IFERROR(WEEKDAY('Recurring Items'!$G$6:$G$56),0))*(AB526&gt;=IFERROR('Recurring Items'!$G$6:$G$56,9000000000))+('Recurring Items'!$E$6:$E$56="One-time")*(AB526='Recurring Items'!$G$6:$G$56)))</f>
        <v>0</v>
      </c>
      <c r="AF526" s="1" t="n">
        <f aca="false">(IF(AC526=1,'Debt Tracker'!$P$5&gt;0.01,INDEX('Debt Tracker'!$T$5:$AE$29,1,AC526-1)&gt;0.01))*('Recurring Items'!$H$8&lt;&gt;"Skip")*(DAY(AB526)='Recurring Items'!$F$8)*IFERROR(N('Recurring Items'!$D$8),0)+(IF(AC526=1,'Debt Tracker'!$P$6&gt;0.01,INDEX('Debt Tracker'!$T$5:$AE$29,2,AC526-1)&gt;0.01))*('Recurring Items'!$H$9&lt;&gt;"Skip")*(DAY(AB526)='Recurring Items'!$F$9)*IFERROR(N('Recurring Items'!$D$9),0)+(IF(AC526=1,'Debt Tracker'!$P$7&gt;0.01,INDEX('Debt Tracker'!$T$5:$AE$29,3,AC526-1)&gt;0.01))*('Recurring Items'!$H$10&lt;&gt;"Skip")*(DAY(AB526)='Recurring Items'!$F$10)*IFERROR(N('Recurring Items'!$D$10),0)+(IF(AC526=1,'Debt Tracker'!$P$8&gt;0.01,INDEX('Debt Tracker'!$T$5:$AE$29,4,AC526-1)&gt;0.01))*('Recurring Items'!$H$11&lt;&gt;"Skip")*(DAY(AB526)='Recurring Items'!$F$11)*IFERROR(N('Recurring Items'!$D$11),0)+(IF(AC526=1,'Debt Tracker'!$P$9&gt;0.01,INDEX('Debt Tracker'!$T$5:$AE$29,5,AC526-1)&gt;0.01))*('Recurring Items'!$H$12&lt;&gt;"Skip")*(DAY(AB526)='Recurring Items'!$F$12)*IFERROR(N('Recurring Items'!$D$12),0)+(IF(AC526=1,'Debt Tracker'!$P$10&gt;0.01,INDEX('Debt Tracker'!$T$5:$AE$29,6,AC526-1)&gt;0.01))*('Recurring Items'!$H$13&lt;&gt;"Skip")*(DAY(AB526)='Recurring Items'!$F$13)*IFERROR(N('Recurring Items'!$D$13),0)+(IF(AC526=1,'Debt Tracker'!$P$11&gt;0.01,INDEX('Debt Tracker'!$T$5:$AE$29,7,AC526-1)&gt;0.01))*('Recurring Items'!$H$14&lt;&gt;"Skip")*(DAY(AB526)='Recurring Items'!$F$14)*IFERROR(N('Recurring Items'!$D$14),0)+(IF(AC526=1,'Debt Tracker'!$P$12&gt;0.01,INDEX('Debt Tracker'!$T$5:$AE$29,8,AC526-1)&gt;0.01))*('Recurring Items'!$H$15&lt;&gt;"Skip")*(DAY(AB526)='Recurring Items'!$F$15)*IFERROR(N('Recurring Items'!$D$15),0)+(IF(AC526=1,'Debt Tracker'!$P$13&gt;0.01,INDEX('Debt Tracker'!$T$5:$AE$29,9,AC526-1)&gt;0.01))*('Recurring Items'!$H$16&lt;&gt;"Skip")*(DAY(AB526)='Recurring Items'!$F$16)*IFERROR(N('Recurring Items'!$D$16),0)+(IF(AC526=1,'Debt Tracker'!$P$14&gt;0.01,INDEX('Debt Tracker'!$T$5:$AE$29,10,AC526-1)&gt;0.01))*('Recurring Items'!$H$17&lt;&gt;"Skip")*(DAY(AB526)='Recurring Items'!$F$17)*IFERROR(N('Recurring Items'!$D$17),0)+(IF(AC526=1,'Debt Tracker'!$P$15&gt;0.01,INDEX('Debt Tracker'!$T$5:$AE$29,11,AC526-1)&gt;0.01))*('Recurring Items'!$H$18&lt;&gt;"Skip")*(DAY(AB526)='Recurring Items'!$F$18)*IFERROR(N('Recurring Items'!$D$18),0)+(IF(AC526=1,'Debt Tracker'!$P$16&gt;0.01,INDEX('Debt Tracker'!$T$5:$AE$29,12,AC526-1)&gt;0.01))*('Recurring Items'!$H$19&lt;&gt;"Skip")*(DAY(AB526)='Recurring Items'!$F$19)*IFERROR(N('Recurring Items'!$D$19),0)+(IF(AC526=1,'Debt Tracker'!$P$17&gt;0.01,INDEX('Debt Tracker'!$T$5:$AE$29,13,AC526-1)&gt;0.01))*('Recurring Items'!$H$20&lt;&gt;"Skip")*(DAY(AB526)='Recurring Items'!$F$20)*IFERROR(N('Recurring Items'!$D$20),0)+(IF(AC526=1,'Debt Tracker'!$P$18&gt;0.01,INDEX('Debt Tracker'!$T$5:$AE$29,14,AC526-1)&gt;0.01))*('Recurring Items'!$H$21&lt;&gt;"Skip")*(DAY(AB526)='Recurring Items'!$F$21)*IFERROR(N('Recurring Items'!$D$21),0)+(IF(AC526=1,'Debt Tracker'!$P$19&gt;0.01,INDEX('Debt Tracker'!$T$5:$AE$29,15,AC526-1)&gt;0.01))*('Recurring Items'!$H$22&lt;&gt;"Skip")*(DAY(AB526)='Recurring Items'!$F$22)*IFERROR(N('Recurring Items'!$D$22),0)+(IF(AC526=1,'Debt Tracker'!$P$20&gt;0.01,INDEX('Debt Tracker'!$T$5:$AE$29,16,AC526-1)&gt;0.01))*('Recurring Items'!$H$23&lt;&gt;"Skip")*(DAY(AB526)='Recurring Items'!$F$23)*IFERROR(N('Recurring Items'!$D$23),0)+(IF(AC526=1,'Debt Tracker'!$P$21&gt;0.01,INDEX('Debt Tracker'!$T$5:$AE$29,17,AC526-1)&gt;0.01))*('Recurring Items'!$H$24&lt;&gt;"Skip")*(DAY(AB526)='Recurring Items'!$F$24)*IFERROR(N('Recurring Items'!$D$24),0)+(IF(AC526=1,'Debt Tracker'!$P$22&gt;0.01,INDEX('Debt Tracker'!$T$5:$AE$29,18,AC526-1)&gt;0.01))*('Recurring Items'!$H$25&lt;&gt;"Skip")*(DAY(AB526)='Recurring Items'!$F$25)*IFERROR(N('Recurring Items'!$D$25),0)+(IF(AC526=1,'Debt Tracker'!$P$23&gt;0.01,INDEX('Debt Tracker'!$T$5:$AE$29,19,AC526-1)&gt;0.01))*('Recurring Items'!$H$26&lt;&gt;"Skip")*(DAY(AB526)='Recurring Items'!$F$26)*IFERROR(N('Recurring Items'!$D$26),0)+(IF(AC526=1,'Debt Tracker'!$P$24&gt;0.01,INDEX('Debt Tracker'!$T$5:$AE$29,20,AC526-1)&gt;0.01))*('Recurring Items'!$H$27&lt;&gt;"Skip")*(DAY(AB526)='Recurring Items'!$F$27)*IFERROR(N('Recurring Items'!$D$27),0)+(IF(AC526=1,'Debt Tracker'!$P$25&gt;0.01,INDEX('Debt Tracker'!$T$5:$AE$29,21,AC526-1)&gt;0.01))*('Recurring Items'!$H$28&lt;&gt;"Skip")*(DAY(AB526)='Recurring Items'!$F$28)*IFERROR(N('Recurring Items'!$D$28),0)+(IF(AC526=1,'Debt Tracker'!$P$26&gt;0.01,INDEX('Debt Tracker'!$T$5:$AE$29,22,AC526-1)&gt;0.01))*('Recurring Items'!$H$29&lt;&gt;"Skip")*(DAY(AB526)='Recurring Items'!$F$29)*IFERROR(N('Recurring Items'!$D$29),0)+(IF(AC526=1,'Debt Tracker'!$P$27&gt;0.01,INDEX('Debt Tracker'!$T$5:$AE$29,23,AC526-1)&gt;0.01))*('Recurring Items'!$H$30&lt;&gt;"Skip")*(DAY(AB526)='Recurring Items'!$F$30)*IFERROR(N('Recurring Items'!$D$30),0)+(IF(AC526=1,'Debt Tracker'!$P$28&gt;0.01,INDEX('Debt Tracker'!$T$5:$AE$29,24,AC526-1)&gt;0.01))*('Recurring Items'!$H$31&lt;&gt;"Skip")*(DAY(AB526)='Recurring Items'!$F$31)*IFERROR(N('Recurring Items'!$D$31),0)+(IF(AC526=1,'Debt Tracker'!$P$29&gt;0.01,INDEX('Debt Tracker'!$T$5:$AE$29,25,AC526-1)&gt;0.01))*('Recurring Items'!$H$32&lt;&gt;"Skip")*(DAY(AB526)='Recurring Items'!$F$32)*IFERROR(N('Recurring Items'!$D$32),0)</f>
        <v>0</v>
      </c>
      <c r="AG526" s="1" t="n">
        <f aca="false">AD526-AE526-AF526</f>
        <v>0</v>
      </c>
      <c r="AH526" s="1" t="n">
        <f aca="false">AH525+AG526</f>
        <v>23226.88</v>
      </c>
    </row>
    <row r="527" customFormat="false" ht="15" hidden="false" customHeight="true" outlineLevel="0" collapsed="false">
      <c r="AA527" s="1" t="n">
        <v>327</v>
      </c>
      <c r="AB527" s="145" t="n">
        <f aca="false">$D$3+327</f>
        <v>46470</v>
      </c>
      <c r="AC527" s="1" t="n">
        <f aca="false">MIN(12,1+DATEDIF($D$3,AB527,"M"))</f>
        <v>11</v>
      </c>
      <c r="AD527" s="1" t="n">
        <f aca="false">SUMPRODUCT(('Recurring Items'!$C$6:$C$56="Income")*('Recurring Items'!$H$6:$H$56&lt;&gt;"Skip")*IFERROR(N('Recurring Items'!$D$6:$D$56),0)*(('Recurring Items'!$E$6:$E$56="Monthly")*(DAY(AB527)='Recurring Items'!$F$6:$F$56)+('Recurring Items'!$E$6:$E$56="Bi-weekly")*(WEEKDAY(AB527)=IFERROR(WEEKDAY('Recurring Items'!$G$6:$G$56),0))*(MOD(AB527-IFERROR('Recurring Items'!$G$6:$G$56,0),14)=0)*(AB527&gt;=IFERROR('Recurring Items'!$G$6:$G$56,9000000000))+('Recurring Items'!$E$6:$E$56="Weekly")*(WEEKDAY(AB527)=IFERROR(WEEKDAY('Recurring Items'!$G$6:$G$56),0))*(AB527&gt;=IFERROR('Recurring Items'!$G$6:$G$56,9000000000))+('Recurring Items'!$E$6:$E$56="One-time")*(AB527='Recurring Items'!$G$6:$G$56)))</f>
        <v>0</v>
      </c>
      <c r="AE527" s="1" t="n">
        <f aca="false">SUMPRODUCT(('Recurring Items'!$C$6:$C$56="Expense")*('Recurring Items'!$H$6:$H$56&lt;&gt;"Skip")*IFERROR(N('Recurring Items'!$D$6:$D$56),0)*(('Recurring Items'!$E$6:$E$56="Monthly")*(DAY(AB527)='Recurring Items'!$F$6:$F$56)+('Recurring Items'!$E$6:$E$56="Bi-weekly")*(WEEKDAY(AB527)=IFERROR(WEEKDAY('Recurring Items'!$G$6:$G$56),0))*(MOD(AB527-IFERROR('Recurring Items'!$G$6:$G$56,0),14)=0)*(AB527&gt;=IFERROR('Recurring Items'!$G$6:$G$56,9000000000))+('Recurring Items'!$E$6:$E$56="Weekly")*(WEEKDAY(AB527)=IFERROR(WEEKDAY('Recurring Items'!$G$6:$G$56),0))*(AB527&gt;=IFERROR('Recurring Items'!$G$6:$G$56,9000000000))+('Recurring Items'!$E$6:$E$56="One-time")*(AB527='Recurring Items'!$G$6:$G$56)))</f>
        <v>101.02</v>
      </c>
      <c r="AF527" s="1" t="n">
        <f aca="false">(IF(AC527=1,'Debt Tracker'!$P$5&gt;0.01,INDEX('Debt Tracker'!$T$5:$AE$29,1,AC527-1)&gt;0.01))*('Recurring Items'!$H$8&lt;&gt;"Skip")*(DAY(AB527)='Recurring Items'!$F$8)*IFERROR(N('Recurring Items'!$D$8),0)+(IF(AC527=1,'Debt Tracker'!$P$6&gt;0.01,INDEX('Debt Tracker'!$T$5:$AE$29,2,AC527-1)&gt;0.01))*('Recurring Items'!$H$9&lt;&gt;"Skip")*(DAY(AB527)='Recurring Items'!$F$9)*IFERROR(N('Recurring Items'!$D$9),0)+(IF(AC527=1,'Debt Tracker'!$P$7&gt;0.01,INDEX('Debt Tracker'!$T$5:$AE$29,3,AC527-1)&gt;0.01))*('Recurring Items'!$H$10&lt;&gt;"Skip")*(DAY(AB527)='Recurring Items'!$F$10)*IFERROR(N('Recurring Items'!$D$10),0)+(IF(AC527=1,'Debt Tracker'!$P$8&gt;0.01,INDEX('Debt Tracker'!$T$5:$AE$29,4,AC527-1)&gt;0.01))*('Recurring Items'!$H$11&lt;&gt;"Skip")*(DAY(AB527)='Recurring Items'!$F$11)*IFERROR(N('Recurring Items'!$D$11),0)+(IF(AC527=1,'Debt Tracker'!$P$9&gt;0.01,INDEX('Debt Tracker'!$T$5:$AE$29,5,AC527-1)&gt;0.01))*('Recurring Items'!$H$12&lt;&gt;"Skip")*(DAY(AB527)='Recurring Items'!$F$12)*IFERROR(N('Recurring Items'!$D$12),0)+(IF(AC527=1,'Debt Tracker'!$P$10&gt;0.01,INDEX('Debt Tracker'!$T$5:$AE$29,6,AC527-1)&gt;0.01))*('Recurring Items'!$H$13&lt;&gt;"Skip")*(DAY(AB527)='Recurring Items'!$F$13)*IFERROR(N('Recurring Items'!$D$13),0)+(IF(AC527=1,'Debt Tracker'!$P$11&gt;0.01,INDEX('Debt Tracker'!$T$5:$AE$29,7,AC527-1)&gt;0.01))*('Recurring Items'!$H$14&lt;&gt;"Skip")*(DAY(AB527)='Recurring Items'!$F$14)*IFERROR(N('Recurring Items'!$D$14),0)+(IF(AC527=1,'Debt Tracker'!$P$12&gt;0.01,INDEX('Debt Tracker'!$T$5:$AE$29,8,AC527-1)&gt;0.01))*('Recurring Items'!$H$15&lt;&gt;"Skip")*(DAY(AB527)='Recurring Items'!$F$15)*IFERROR(N('Recurring Items'!$D$15),0)+(IF(AC527=1,'Debt Tracker'!$P$13&gt;0.01,INDEX('Debt Tracker'!$T$5:$AE$29,9,AC527-1)&gt;0.01))*('Recurring Items'!$H$16&lt;&gt;"Skip")*(DAY(AB527)='Recurring Items'!$F$16)*IFERROR(N('Recurring Items'!$D$16),0)+(IF(AC527=1,'Debt Tracker'!$P$14&gt;0.01,INDEX('Debt Tracker'!$T$5:$AE$29,10,AC527-1)&gt;0.01))*('Recurring Items'!$H$17&lt;&gt;"Skip")*(DAY(AB527)='Recurring Items'!$F$17)*IFERROR(N('Recurring Items'!$D$17),0)+(IF(AC527=1,'Debt Tracker'!$P$15&gt;0.01,INDEX('Debt Tracker'!$T$5:$AE$29,11,AC527-1)&gt;0.01))*('Recurring Items'!$H$18&lt;&gt;"Skip")*(DAY(AB527)='Recurring Items'!$F$18)*IFERROR(N('Recurring Items'!$D$18),0)+(IF(AC527=1,'Debt Tracker'!$P$16&gt;0.01,INDEX('Debt Tracker'!$T$5:$AE$29,12,AC527-1)&gt;0.01))*('Recurring Items'!$H$19&lt;&gt;"Skip")*(DAY(AB527)='Recurring Items'!$F$19)*IFERROR(N('Recurring Items'!$D$19),0)+(IF(AC527=1,'Debt Tracker'!$P$17&gt;0.01,INDEX('Debt Tracker'!$T$5:$AE$29,13,AC527-1)&gt;0.01))*('Recurring Items'!$H$20&lt;&gt;"Skip")*(DAY(AB527)='Recurring Items'!$F$20)*IFERROR(N('Recurring Items'!$D$20),0)+(IF(AC527=1,'Debt Tracker'!$P$18&gt;0.01,INDEX('Debt Tracker'!$T$5:$AE$29,14,AC527-1)&gt;0.01))*('Recurring Items'!$H$21&lt;&gt;"Skip")*(DAY(AB527)='Recurring Items'!$F$21)*IFERROR(N('Recurring Items'!$D$21),0)+(IF(AC527=1,'Debt Tracker'!$P$19&gt;0.01,INDEX('Debt Tracker'!$T$5:$AE$29,15,AC527-1)&gt;0.01))*('Recurring Items'!$H$22&lt;&gt;"Skip")*(DAY(AB527)='Recurring Items'!$F$22)*IFERROR(N('Recurring Items'!$D$22),0)+(IF(AC527=1,'Debt Tracker'!$P$20&gt;0.01,INDEX('Debt Tracker'!$T$5:$AE$29,16,AC527-1)&gt;0.01))*('Recurring Items'!$H$23&lt;&gt;"Skip")*(DAY(AB527)='Recurring Items'!$F$23)*IFERROR(N('Recurring Items'!$D$23),0)+(IF(AC527=1,'Debt Tracker'!$P$21&gt;0.01,INDEX('Debt Tracker'!$T$5:$AE$29,17,AC527-1)&gt;0.01))*('Recurring Items'!$H$24&lt;&gt;"Skip")*(DAY(AB527)='Recurring Items'!$F$24)*IFERROR(N('Recurring Items'!$D$24),0)+(IF(AC527=1,'Debt Tracker'!$P$22&gt;0.01,INDEX('Debt Tracker'!$T$5:$AE$29,18,AC527-1)&gt;0.01))*('Recurring Items'!$H$25&lt;&gt;"Skip")*(DAY(AB527)='Recurring Items'!$F$25)*IFERROR(N('Recurring Items'!$D$25),0)+(IF(AC527=1,'Debt Tracker'!$P$23&gt;0.01,INDEX('Debt Tracker'!$T$5:$AE$29,19,AC527-1)&gt;0.01))*('Recurring Items'!$H$26&lt;&gt;"Skip")*(DAY(AB527)='Recurring Items'!$F$26)*IFERROR(N('Recurring Items'!$D$26),0)+(IF(AC527=1,'Debt Tracker'!$P$24&gt;0.01,INDEX('Debt Tracker'!$T$5:$AE$29,20,AC527-1)&gt;0.01))*('Recurring Items'!$H$27&lt;&gt;"Skip")*(DAY(AB527)='Recurring Items'!$F$27)*IFERROR(N('Recurring Items'!$D$27),0)+(IF(AC527=1,'Debt Tracker'!$P$25&gt;0.01,INDEX('Debt Tracker'!$T$5:$AE$29,21,AC527-1)&gt;0.01))*('Recurring Items'!$H$28&lt;&gt;"Skip")*(DAY(AB527)='Recurring Items'!$F$28)*IFERROR(N('Recurring Items'!$D$28),0)+(IF(AC527=1,'Debt Tracker'!$P$26&gt;0.01,INDEX('Debt Tracker'!$T$5:$AE$29,22,AC527-1)&gt;0.01))*('Recurring Items'!$H$29&lt;&gt;"Skip")*(DAY(AB527)='Recurring Items'!$F$29)*IFERROR(N('Recurring Items'!$D$29),0)+(IF(AC527=1,'Debt Tracker'!$P$27&gt;0.01,INDEX('Debt Tracker'!$T$5:$AE$29,23,AC527-1)&gt;0.01))*('Recurring Items'!$H$30&lt;&gt;"Skip")*(DAY(AB527)='Recurring Items'!$F$30)*IFERROR(N('Recurring Items'!$D$30),0)+(IF(AC527=1,'Debt Tracker'!$P$28&gt;0.01,INDEX('Debt Tracker'!$T$5:$AE$29,24,AC527-1)&gt;0.01))*('Recurring Items'!$H$31&lt;&gt;"Skip")*(DAY(AB527)='Recurring Items'!$F$31)*IFERROR(N('Recurring Items'!$D$31),0)+(IF(AC527=1,'Debt Tracker'!$P$29&gt;0.01,INDEX('Debt Tracker'!$T$5:$AE$29,25,AC527-1)&gt;0.01))*('Recurring Items'!$H$32&lt;&gt;"Skip")*(DAY(AB527)='Recurring Items'!$F$32)*IFERROR(N('Recurring Items'!$D$32),0)</f>
        <v>0</v>
      </c>
      <c r="AG527" s="1" t="n">
        <f aca="false">AD527-AE527-AF527</f>
        <v>-101.02</v>
      </c>
      <c r="AH527" s="1" t="n">
        <f aca="false">AH526+AG527</f>
        <v>23125.86</v>
      </c>
    </row>
    <row r="528" customFormat="false" ht="15" hidden="false" customHeight="true" outlineLevel="0" collapsed="false">
      <c r="AA528" s="1" t="n">
        <v>328</v>
      </c>
      <c r="AB528" s="145" t="n">
        <f aca="false">$D$3+328</f>
        <v>46471</v>
      </c>
      <c r="AC528" s="1" t="n">
        <f aca="false">MIN(12,1+DATEDIF($D$3,AB528,"M"))</f>
        <v>11</v>
      </c>
      <c r="AD528" s="1" t="n">
        <f aca="false">SUMPRODUCT(('Recurring Items'!$C$6:$C$56="Income")*('Recurring Items'!$H$6:$H$56&lt;&gt;"Skip")*IFERROR(N('Recurring Items'!$D$6:$D$56),0)*(('Recurring Items'!$E$6:$E$56="Monthly")*(DAY(AB528)='Recurring Items'!$F$6:$F$56)+('Recurring Items'!$E$6:$E$56="Bi-weekly")*(WEEKDAY(AB528)=IFERROR(WEEKDAY('Recurring Items'!$G$6:$G$56),0))*(MOD(AB528-IFERROR('Recurring Items'!$G$6:$G$56,0),14)=0)*(AB528&gt;=IFERROR('Recurring Items'!$G$6:$G$56,9000000000))+('Recurring Items'!$E$6:$E$56="Weekly")*(WEEKDAY(AB528)=IFERROR(WEEKDAY('Recurring Items'!$G$6:$G$56),0))*(AB528&gt;=IFERROR('Recurring Items'!$G$6:$G$56,9000000000))+('Recurring Items'!$E$6:$E$56="One-time")*(AB528='Recurring Items'!$G$6:$G$56)))</f>
        <v>2274.42</v>
      </c>
      <c r="AE528" s="1" t="n">
        <f aca="false">SUMPRODUCT(('Recurring Items'!$C$6:$C$56="Expense")*('Recurring Items'!$H$6:$H$56&lt;&gt;"Skip")*IFERROR(N('Recurring Items'!$D$6:$D$56),0)*(('Recurring Items'!$E$6:$E$56="Monthly")*(DAY(AB528)='Recurring Items'!$F$6:$F$56)+('Recurring Items'!$E$6:$E$56="Bi-weekly")*(WEEKDAY(AB528)=IFERROR(WEEKDAY('Recurring Items'!$G$6:$G$56),0))*(MOD(AB528-IFERROR('Recurring Items'!$G$6:$G$56,0),14)=0)*(AB528&gt;=IFERROR('Recurring Items'!$G$6:$G$56,9000000000))+('Recurring Items'!$E$6:$E$56="Weekly")*(WEEKDAY(AB528)=IFERROR(WEEKDAY('Recurring Items'!$G$6:$G$56),0))*(AB528&gt;=IFERROR('Recurring Items'!$G$6:$G$56,9000000000))+('Recurring Items'!$E$6:$E$56="One-time")*(AB528='Recurring Items'!$G$6:$G$56)))</f>
        <v>0</v>
      </c>
      <c r="AF528" s="1" t="n">
        <f aca="false">(IF(AC528=1,'Debt Tracker'!$P$5&gt;0.01,INDEX('Debt Tracker'!$T$5:$AE$29,1,AC528-1)&gt;0.01))*('Recurring Items'!$H$8&lt;&gt;"Skip")*(DAY(AB528)='Recurring Items'!$F$8)*IFERROR(N('Recurring Items'!$D$8),0)+(IF(AC528=1,'Debt Tracker'!$P$6&gt;0.01,INDEX('Debt Tracker'!$T$5:$AE$29,2,AC528-1)&gt;0.01))*('Recurring Items'!$H$9&lt;&gt;"Skip")*(DAY(AB528)='Recurring Items'!$F$9)*IFERROR(N('Recurring Items'!$D$9),0)+(IF(AC528=1,'Debt Tracker'!$P$7&gt;0.01,INDEX('Debt Tracker'!$T$5:$AE$29,3,AC528-1)&gt;0.01))*('Recurring Items'!$H$10&lt;&gt;"Skip")*(DAY(AB528)='Recurring Items'!$F$10)*IFERROR(N('Recurring Items'!$D$10),0)+(IF(AC528=1,'Debt Tracker'!$P$8&gt;0.01,INDEX('Debt Tracker'!$T$5:$AE$29,4,AC528-1)&gt;0.01))*('Recurring Items'!$H$11&lt;&gt;"Skip")*(DAY(AB528)='Recurring Items'!$F$11)*IFERROR(N('Recurring Items'!$D$11),0)+(IF(AC528=1,'Debt Tracker'!$P$9&gt;0.01,INDEX('Debt Tracker'!$T$5:$AE$29,5,AC528-1)&gt;0.01))*('Recurring Items'!$H$12&lt;&gt;"Skip")*(DAY(AB528)='Recurring Items'!$F$12)*IFERROR(N('Recurring Items'!$D$12),0)+(IF(AC528=1,'Debt Tracker'!$P$10&gt;0.01,INDEX('Debt Tracker'!$T$5:$AE$29,6,AC528-1)&gt;0.01))*('Recurring Items'!$H$13&lt;&gt;"Skip")*(DAY(AB528)='Recurring Items'!$F$13)*IFERROR(N('Recurring Items'!$D$13),0)+(IF(AC528=1,'Debt Tracker'!$P$11&gt;0.01,INDEX('Debt Tracker'!$T$5:$AE$29,7,AC528-1)&gt;0.01))*('Recurring Items'!$H$14&lt;&gt;"Skip")*(DAY(AB528)='Recurring Items'!$F$14)*IFERROR(N('Recurring Items'!$D$14),0)+(IF(AC528=1,'Debt Tracker'!$P$12&gt;0.01,INDEX('Debt Tracker'!$T$5:$AE$29,8,AC528-1)&gt;0.01))*('Recurring Items'!$H$15&lt;&gt;"Skip")*(DAY(AB528)='Recurring Items'!$F$15)*IFERROR(N('Recurring Items'!$D$15),0)+(IF(AC528=1,'Debt Tracker'!$P$13&gt;0.01,INDEX('Debt Tracker'!$T$5:$AE$29,9,AC528-1)&gt;0.01))*('Recurring Items'!$H$16&lt;&gt;"Skip")*(DAY(AB528)='Recurring Items'!$F$16)*IFERROR(N('Recurring Items'!$D$16),0)+(IF(AC528=1,'Debt Tracker'!$P$14&gt;0.01,INDEX('Debt Tracker'!$T$5:$AE$29,10,AC528-1)&gt;0.01))*('Recurring Items'!$H$17&lt;&gt;"Skip")*(DAY(AB528)='Recurring Items'!$F$17)*IFERROR(N('Recurring Items'!$D$17),0)+(IF(AC528=1,'Debt Tracker'!$P$15&gt;0.01,INDEX('Debt Tracker'!$T$5:$AE$29,11,AC528-1)&gt;0.01))*('Recurring Items'!$H$18&lt;&gt;"Skip")*(DAY(AB528)='Recurring Items'!$F$18)*IFERROR(N('Recurring Items'!$D$18),0)+(IF(AC528=1,'Debt Tracker'!$P$16&gt;0.01,INDEX('Debt Tracker'!$T$5:$AE$29,12,AC528-1)&gt;0.01))*('Recurring Items'!$H$19&lt;&gt;"Skip")*(DAY(AB528)='Recurring Items'!$F$19)*IFERROR(N('Recurring Items'!$D$19),0)+(IF(AC528=1,'Debt Tracker'!$P$17&gt;0.01,INDEX('Debt Tracker'!$T$5:$AE$29,13,AC528-1)&gt;0.01))*('Recurring Items'!$H$20&lt;&gt;"Skip")*(DAY(AB528)='Recurring Items'!$F$20)*IFERROR(N('Recurring Items'!$D$20),0)+(IF(AC528=1,'Debt Tracker'!$P$18&gt;0.01,INDEX('Debt Tracker'!$T$5:$AE$29,14,AC528-1)&gt;0.01))*('Recurring Items'!$H$21&lt;&gt;"Skip")*(DAY(AB528)='Recurring Items'!$F$21)*IFERROR(N('Recurring Items'!$D$21),0)+(IF(AC528=1,'Debt Tracker'!$P$19&gt;0.01,INDEX('Debt Tracker'!$T$5:$AE$29,15,AC528-1)&gt;0.01))*('Recurring Items'!$H$22&lt;&gt;"Skip")*(DAY(AB528)='Recurring Items'!$F$22)*IFERROR(N('Recurring Items'!$D$22),0)+(IF(AC528=1,'Debt Tracker'!$P$20&gt;0.01,INDEX('Debt Tracker'!$T$5:$AE$29,16,AC528-1)&gt;0.01))*('Recurring Items'!$H$23&lt;&gt;"Skip")*(DAY(AB528)='Recurring Items'!$F$23)*IFERROR(N('Recurring Items'!$D$23),0)+(IF(AC528=1,'Debt Tracker'!$P$21&gt;0.01,INDEX('Debt Tracker'!$T$5:$AE$29,17,AC528-1)&gt;0.01))*('Recurring Items'!$H$24&lt;&gt;"Skip")*(DAY(AB528)='Recurring Items'!$F$24)*IFERROR(N('Recurring Items'!$D$24),0)+(IF(AC528=1,'Debt Tracker'!$P$22&gt;0.01,INDEX('Debt Tracker'!$T$5:$AE$29,18,AC528-1)&gt;0.01))*('Recurring Items'!$H$25&lt;&gt;"Skip")*(DAY(AB528)='Recurring Items'!$F$25)*IFERROR(N('Recurring Items'!$D$25),0)+(IF(AC528=1,'Debt Tracker'!$P$23&gt;0.01,INDEX('Debt Tracker'!$T$5:$AE$29,19,AC528-1)&gt;0.01))*('Recurring Items'!$H$26&lt;&gt;"Skip")*(DAY(AB528)='Recurring Items'!$F$26)*IFERROR(N('Recurring Items'!$D$26),0)+(IF(AC528=1,'Debt Tracker'!$P$24&gt;0.01,INDEX('Debt Tracker'!$T$5:$AE$29,20,AC528-1)&gt;0.01))*('Recurring Items'!$H$27&lt;&gt;"Skip")*(DAY(AB528)='Recurring Items'!$F$27)*IFERROR(N('Recurring Items'!$D$27),0)+(IF(AC528=1,'Debt Tracker'!$P$25&gt;0.01,INDEX('Debt Tracker'!$T$5:$AE$29,21,AC528-1)&gt;0.01))*('Recurring Items'!$H$28&lt;&gt;"Skip")*(DAY(AB528)='Recurring Items'!$F$28)*IFERROR(N('Recurring Items'!$D$28),0)+(IF(AC528=1,'Debt Tracker'!$P$26&gt;0.01,INDEX('Debt Tracker'!$T$5:$AE$29,22,AC528-1)&gt;0.01))*('Recurring Items'!$H$29&lt;&gt;"Skip")*(DAY(AB528)='Recurring Items'!$F$29)*IFERROR(N('Recurring Items'!$D$29),0)+(IF(AC528=1,'Debt Tracker'!$P$27&gt;0.01,INDEX('Debt Tracker'!$T$5:$AE$29,23,AC528-1)&gt;0.01))*('Recurring Items'!$H$30&lt;&gt;"Skip")*(DAY(AB528)='Recurring Items'!$F$30)*IFERROR(N('Recurring Items'!$D$30),0)+(IF(AC528=1,'Debt Tracker'!$P$28&gt;0.01,INDEX('Debt Tracker'!$T$5:$AE$29,24,AC528-1)&gt;0.01))*('Recurring Items'!$H$31&lt;&gt;"Skip")*(DAY(AB528)='Recurring Items'!$F$31)*IFERROR(N('Recurring Items'!$D$31),0)+(IF(AC528=1,'Debt Tracker'!$P$29&gt;0.01,INDEX('Debt Tracker'!$T$5:$AE$29,25,AC528-1)&gt;0.01))*('Recurring Items'!$H$32&lt;&gt;"Skip")*(DAY(AB528)='Recurring Items'!$F$32)*IFERROR(N('Recurring Items'!$D$32),0)</f>
        <v>0</v>
      </c>
      <c r="AG528" s="1" t="n">
        <f aca="false">AD528-AE528-AF528</f>
        <v>2274.42</v>
      </c>
      <c r="AH528" s="1" t="n">
        <f aca="false">AH527+AG528</f>
        <v>25400.28</v>
      </c>
    </row>
    <row r="529" customFormat="false" ht="15" hidden="false" customHeight="true" outlineLevel="0" collapsed="false">
      <c r="AA529" s="1" t="n">
        <v>329</v>
      </c>
      <c r="AB529" s="145" t="n">
        <f aca="false">$D$3+329</f>
        <v>46472</v>
      </c>
      <c r="AC529" s="1" t="n">
        <f aca="false">MIN(12,1+DATEDIF($D$3,AB529,"M"))</f>
        <v>11</v>
      </c>
      <c r="AD529" s="1" t="n">
        <f aca="false">SUMPRODUCT(('Recurring Items'!$C$6:$C$56="Income")*('Recurring Items'!$H$6:$H$56&lt;&gt;"Skip")*IFERROR(N('Recurring Items'!$D$6:$D$56),0)*(('Recurring Items'!$E$6:$E$56="Monthly")*(DAY(AB529)='Recurring Items'!$F$6:$F$56)+('Recurring Items'!$E$6:$E$56="Bi-weekly")*(WEEKDAY(AB529)=IFERROR(WEEKDAY('Recurring Items'!$G$6:$G$56),0))*(MOD(AB529-IFERROR('Recurring Items'!$G$6:$G$56,0),14)=0)*(AB529&gt;=IFERROR('Recurring Items'!$G$6:$G$56,9000000000))+('Recurring Items'!$E$6:$E$56="Weekly")*(WEEKDAY(AB529)=IFERROR(WEEKDAY('Recurring Items'!$G$6:$G$56),0))*(AB529&gt;=IFERROR('Recurring Items'!$G$6:$G$56,9000000000))+('Recurring Items'!$E$6:$E$56="One-time")*(AB529='Recurring Items'!$G$6:$G$56)))</f>
        <v>0</v>
      </c>
      <c r="AE529" s="1" t="n">
        <f aca="false">SUMPRODUCT(('Recurring Items'!$C$6:$C$56="Expense")*('Recurring Items'!$H$6:$H$56&lt;&gt;"Skip")*IFERROR(N('Recurring Items'!$D$6:$D$56),0)*(('Recurring Items'!$E$6:$E$56="Monthly")*(DAY(AB529)='Recurring Items'!$F$6:$F$56)+('Recurring Items'!$E$6:$E$56="Bi-weekly")*(WEEKDAY(AB529)=IFERROR(WEEKDAY('Recurring Items'!$G$6:$G$56),0))*(MOD(AB529-IFERROR('Recurring Items'!$G$6:$G$56,0),14)=0)*(AB529&gt;=IFERROR('Recurring Items'!$G$6:$G$56,9000000000))+('Recurring Items'!$E$6:$E$56="Weekly")*(WEEKDAY(AB529)=IFERROR(WEEKDAY('Recurring Items'!$G$6:$G$56),0))*(AB529&gt;=IFERROR('Recurring Items'!$G$6:$G$56,9000000000))+('Recurring Items'!$E$6:$E$56="One-time")*(AB529='Recurring Items'!$G$6:$G$56)))</f>
        <v>460</v>
      </c>
      <c r="AF529" s="1" t="n">
        <f aca="false">(IF(AC529=1,'Debt Tracker'!$P$5&gt;0.01,INDEX('Debt Tracker'!$T$5:$AE$29,1,AC529-1)&gt;0.01))*('Recurring Items'!$H$8&lt;&gt;"Skip")*(DAY(AB529)='Recurring Items'!$F$8)*IFERROR(N('Recurring Items'!$D$8),0)+(IF(AC529=1,'Debt Tracker'!$P$6&gt;0.01,INDEX('Debt Tracker'!$T$5:$AE$29,2,AC529-1)&gt;0.01))*('Recurring Items'!$H$9&lt;&gt;"Skip")*(DAY(AB529)='Recurring Items'!$F$9)*IFERROR(N('Recurring Items'!$D$9),0)+(IF(AC529=1,'Debt Tracker'!$P$7&gt;0.01,INDEX('Debt Tracker'!$T$5:$AE$29,3,AC529-1)&gt;0.01))*('Recurring Items'!$H$10&lt;&gt;"Skip")*(DAY(AB529)='Recurring Items'!$F$10)*IFERROR(N('Recurring Items'!$D$10),0)+(IF(AC529=1,'Debt Tracker'!$P$8&gt;0.01,INDEX('Debt Tracker'!$T$5:$AE$29,4,AC529-1)&gt;0.01))*('Recurring Items'!$H$11&lt;&gt;"Skip")*(DAY(AB529)='Recurring Items'!$F$11)*IFERROR(N('Recurring Items'!$D$11),0)+(IF(AC529=1,'Debt Tracker'!$P$9&gt;0.01,INDEX('Debt Tracker'!$T$5:$AE$29,5,AC529-1)&gt;0.01))*('Recurring Items'!$H$12&lt;&gt;"Skip")*(DAY(AB529)='Recurring Items'!$F$12)*IFERROR(N('Recurring Items'!$D$12),0)+(IF(AC529=1,'Debt Tracker'!$P$10&gt;0.01,INDEX('Debt Tracker'!$T$5:$AE$29,6,AC529-1)&gt;0.01))*('Recurring Items'!$H$13&lt;&gt;"Skip")*(DAY(AB529)='Recurring Items'!$F$13)*IFERROR(N('Recurring Items'!$D$13),0)+(IF(AC529=1,'Debt Tracker'!$P$11&gt;0.01,INDEX('Debt Tracker'!$T$5:$AE$29,7,AC529-1)&gt;0.01))*('Recurring Items'!$H$14&lt;&gt;"Skip")*(DAY(AB529)='Recurring Items'!$F$14)*IFERROR(N('Recurring Items'!$D$14),0)+(IF(AC529=1,'Debt Tracker'!$P$12&gt;0.01,INDEX('Debt Tracker'!$T$5:$AE$29,8,AC529-1)&gt;0.01))*('Recurring Items'!$H$15&lt;&gt;"Skip")*(DAY(AB529)='Recurring Items'!$F$15)*IFERROR(N('Recurring Items'!$D$15),0)+(IF(AC529=1,'Debt Tracker'!$P$13&gt;0.01,INDEX('Debt Tracker'!$T$5:$AE$29,9,AC529-1)&gt;0.01))*('Recurring Items'!$H$16&lt;&gt;"Skip")*(DAY(AB529)='Recurring Items'!$F$16)*IFERROR(N('Recurring Items'!$D$16),0)+(IF(AC529=1,'Debt Tracker'!$P$14&gt;0.01,INDEX('Debt Tracker'!$T$5:$AE$29,10,AC529-1)&gt;0.01))*('Recurring Items'!$H$17&lt;&gt;"Skip")*(DAY(AB529)='Recurring Items'!$F$17)*IFERROR(N('Recurring Items'!$D$17),0)+(IF(AC529=1,'Debt Tracker'!$P$15&gt;0.01,INDEX('Debt Tracker'!$T$5:$AE$29,11,AC529-1)&gt;0.01))*('Recurring Items'!$H$18&lt;&gt;"Skip")*(DAY(AB529)='Recurring Items'!$F$18)*IFERROR(N('Recurring Items'!$D$18),0)+(IF(AC529=1,'Debt Tracker'!$P$16&gt;0.01,INDEX('Debt Tracker'!$T$5:$AE$29,12,AC529-1)&gt;0.01))*('Recurring Items'!$H$19&lt;&gt;"Skip")*(DAY(AB529)='Recurring Items'!$F$19)*IFERROR(N('Recurring Items'!$D$19),0)+(IF(AC529=1,'Debt Tracker'!$P$17&gt;0.01,INDEX('Debt Tracker'!$T$5:$AE$29,13,AC529-1)&gt;0.01))*('Recurring Items'!$H$20&lt;&gt;"Skip")*(DAY(AB529)='Recurring Items'!$F$20)*IFERROR(N('Recurring Items'!$D$20),0)+(IF(AC529=1,'Debt Tracker'!$P$18&gt;0.01,INDEX('Debt Tracker'!$T$5:$AE$29,14,AC529-1)&gt;0.01))*('Recurring Items'!$H$21&lt;&gt;"Skip")*(DAY(AB529)='Recurring Items'!$F$21)*IFERROR(N('Recurring Items'!$D$21),0)+(IF(AC529=1,'Debt Tracker'!$P$19&gt;0.01,INDEX('Debt Tracker'!$T$5:$AE$29,15,AC529-1)&gt;0.01))*('Recurring Items'!$H$22&lt;&gt;"Skip")*(DAY(AB529)='Recurring Items'!$F$22)*IFERROR(N('Recurring Items'!$D$22),0)+(IF(AC529=1,'Debt Tracker'!$P$20&gt;0.01,INDEX('Debt Tracker'!$T$5:$AE$29,16,AC529-1)&gt;0.01))*('Recurring Items'!$H$23&lt;&gt;"Skip")*(DAY(AB529)='Recurring Items'!$F$23)*IFERROR(N('Recurring Items'!$D$23),0)+(IF(AC529=1,'Debt Tracker'!$P$21&gt;0.01,INDEX('Debt Tracker'!$T$5:$AE$29,17,AC529-1)&gt;0.01))*('Recurring Items'!$H$24&lt;&gt;"Skip")*(DAY(AB529)='Recurring Items'!$F$24)*IFERROR(N('Recurring Items'!$D$24),0)+(IF(AC529=1,'Debt Tracker'!$P$22&gt;0.01,INDEX('Debt Tracker'!$T$5:$AE$29,18,AC529-1)&gt;0.01))*('Recurring Items'!$H$25&lt;&gt;"Skip")*(DAY(AB529)='Recurring Items'!$F$25)*IFERROR(N('Recurring Items'!$D$25),0)+(IF(AC529=1,'Debt Tracker'!$P$23&gt;0.01,INDEX('Debt Tracker'!$T$5:$AE$29,19,AC529-1)&gt;0.01))*('Recurring Items'!$H$26&lt;&gt;"Skip")*(DAY(AB529)='Recurring Items'!$F$26)*IFERROR(N('Recurring Items'!$D$26),0)+(IF(AC529=1,'Debt Tracker'!$P$24&gt;0.01,INDEX('Debt Tracker'!$T$5:$AE$29,20,AC529-1)&gt;0.01))*('Recurring Items'!$H$27&lt;&gt;"Skip")*(DAY(AB529)='Recurring Items'!$F$27)*IFERROR(N('Recurring Items'!$D$27),0)+(IF(AC529=1,'Debt Tracker'!$P$25&gt;0.01,INDEX('Debt Tracker'!$T$5:$AE$29,21,AC529-1)&gt;0.01))*('Recurring Items'!$H$28&lt;&gt;"Skip")*(DAY(AB529)='Recurring Items'!$F$28)*IFERROR(N('Recurring Items'!$D$28),0)+(IF(AC529=1,'Debt Tracker'!$P$26&gt;0.01,INDEX('Debt Tracker'!$T$5:$AE$29,22,AC529-1)&gt;0.01))*('Recurring Items'!$H$29&lt;&gt;"Skip")*(DAY(AB529)='Recurring Items'!$F$29)*IFERROR(N('Recurring Items'!$D$29),0)+(IF(AC529=1,'Debt Tracker'!$P$27&gt;0.01,INDEX('Debt Tracker'!$T$5:$AE$29,23,AC529-1)&gt;0.01))*('Recurring Items'!$H$30&lt;&gt;"Skip")*(DAY(AB529)='Recurring Items'!$F$30)*IFERROR(N('Recurring Items'!$D$30),0)+(IF(AC529=1,'Debt Tracker'!$P$28&gt;0.01,INDEX('Debt Tracker'!$T$5:$AE$29,24,AC529-1)&gt;0.01))*('Recurring Items'!$H$31&lt;&gt;"Skip")*(DAY(AB529)='Recurring Items'!$F$31)*IFERROR(N('Recurring Items'!$D$31),0)+(IF(AC529=1,'Debt Tracker'!$P$29&gt;0.01,INDEX('Debt Tracker'!$T$5:$AE$29,25,AC529-1)&gt;0.01))*('Recurring Items'!$H$32&lt;&gt;"Skip")*(DAY(AB529)='Recurring Items'!$F$32)*IFERROR(N('Recurring Items'!$D$32),0)</f>
        <v>0</v>
      </c>
      <c r="AG529" s="1" t="n">
        <f aca="false">AD529-AE529-AF529</f>
        <v>-460</v>
      </c>
      <c r="AH529" s="1" t="n">
        <f aca="false">AH528+AG529</f>
        <v>24940.28</v>
      </c>
    </row>
    <row r="530" customFormat="false" ht="15" hidden="false" customHeight="true" outlineLevel="0" collapsed="false">
      <c r="AA530" s="1" t="n">
        <v>330</v>
      </c>
      <c r="AB530" s="145" t="n">
        <f aca="false">$D$3+330</f>
        <v>46473</v>
      </c>
      <c r="AC530" s="1" t="n">
        <f aca="false">MIN(12,1+DATEDIF($D$3,AB530,"M"))</f>
        <v>11</v>
      </c>
      <c r="AD530" s="1" t="n">
        <f aca="false">SUMPRODUCT(('Recurring Items'!$C$6:$C$56="Income")*('Recurring Items'!$H$6:$H$56&lt;&gt;"Skip")*IFERROR(N('Recurring Items'!$D$6:$D$56),0)*(('Recurring Items'!$E$6:$E$56="Monthly")*(DAY(AB530)='Recurring Items'!$F$6:$F$56)+('Recurring Items'!$E$6:$E$56="Bi-weekly")*(WEEKDAY(AB530)=IFERROR(WEEKDAY('Recurring Items'!$G$6:$G$56),0))*(MOD(AB530-IFERROR('Recurring Items'!$G$6:$G$56,0),14)=0)*(AB530&gt;=IFERROR('Recurring Items'!$G$6:$G$56,9000000000))+('Recurring Items'!$E$6:$E$56="Weekly")*(WEEKDAY(AB530)=IFERROR(WEEKDAY('Recurring Items'!$G$6:$G$56),0))*(AB530&gt;=IFERROR('Recurring Items'!$G$6:$G$56,9000000000))+('Recurring Items'!$E$6:$E$56="One-time")*(AB530='Recurring Items'!$G$6:$G$56)))</f>
        <v>0</v>
      </c>
      <c r="AE530" s="1" t="n">
        <f aca="false">SUMPRODUCT(('Recurring Items'!$C$6:$C$56="Expense")*('Recurring Items'!$H$6:$H$56&lt;&gt;"Skip")*IFERROR(N('Recurring Items'!$D$6:$D$56),0)*(('Recurring Items'!$E$6:$E$56="Monthly")*(DAY(AB530)='Recurring Items'!$F$6:$F$56)+('Recurring Items'!$E$6:$E$56="Bi-weekly")*(WEEKDAY(AB530)=IFERROR(WEEKDAY('Recurring Items'!$G$6:$G$56),0))*(MOD(AB530-IFERROR('Recurring Items'!$G$6:$G$56,0),14)=0)*(AB530&gt;=IFERROR('Recurring Items'!$G$6:$G$56,9000000000))+('Recurring Items'!$E$6:$E$56="Weekly")*(WEEKDAY(AB530)=IFERROR(WEEKDAY('Recurring Items'!$G$6:$G$56),0))*(AB530&gt;=IFERROR('Recurring Items'!$G$6:$G$56,9000000000))+('Recurring Items'!$E$6:$E$56="One-time")*(AB530='Recurring Items'!$G$6:$G$56)))</f>
        <v>0</v>
      </c>
      <c r="AF530" s="1" t="n">
        <f aca="false">(IF(AC530=1,'Debt Tracker'!$P$5&gt;0.01,INDEX('Debt Tracker'!$T$5:$AE$29,1,AC530-1)&gt;0.01))*('Recurring Items'!$H$8&lt;&gt;"Skip")*(DAY(AB530)='Recurring Items'!$F$8)*IFERROR(N('Recurring Items'!$D$8),0)+(IF(AC530=1,'Debt Tracker'!$P$6&gt;0.01,INDEX('Debt Tracker'!$T$5:$AE$29,2,AC530-1)&gt;0.01))*('Recurring Items'!$H$9&lt;&gt;"Skip")*(DAY(AB530)='Recurring Items'!$F$9)*IFERROR(N('Recurring Items'!$D$9),0)+(IF(AC530=1,'Debt Tracker'!$P$7&gt;0.01,INDEX('Debt Tracker'!$T$5:$AE$29,3,AC530-1)&gt;0.01))*('Recurring Items'!$H$10&lt;&gt;"Skip")*(DAY(AB530)='Recurring Items'!$F$10)*IFERROR(N('Recurring Items'!$D$10),0)+(IF(AC530=1,'Debt Tracker'!$P$8&gt;0.01,INDEX('Debt Tracker'!$T$5:$AE$29,4,AC530-1)&gt;0.01))*('Recurring Items'!$H$11&lt;&gt;"Skip")*(DAY(AB530)='Recurring Items'!$F$11)*IFERROR(N('Recurring Items'!$D$11),0)+(IF(AC530=1,'Debt Tracker'!$P$9&gt;0.01,INDEX('Debt Tracker'!$T$5:$AE$29,5,AC530-1)&gt;0.01))*('Recurring Items'!$H$12&lt;&gt;"Skip")*(DAY(AB530)='Recurring Items'!$F$12)*IFERROR(N('Recurring Items'!$D$12),0)+(IF(AC530=1,'Debt Tracker'!$P$10&gt;0.01,INDEX('Debt Tracker'!$T$5:$AE$29,6,AC530-1)&gt;0.01))*('Recurring Items'!$H$13&lt;&gt;"Skip")*(DAY(AB530)='Recurring Items'!$F$13)*IFERROR(N('Recurring Items'!$D$13),0)+(IF(AC530=1,'Debt Tracker'!$P$11&gt;0.01,INDEX('Debt Tracker'!$T$5:$AE$29,7,AC530-1)&gt;0.01))*('Recurring Items'!$H$14&lt;&gt;"Skip")*(DAY(AB530)='Recurring Items'!$F$14)*IFERROR(N('Recurring Items'!$D$14),0)+(IF(AC530=1,'Debt Tracker'!$P$12&gt;0.01,INDEX('Debt Tracker'!$T$5:$AE$29,8,AC530-1)&gt;0.01))*('Recurring Items'!$H$15&lt;&gt;"Skip")*(DAY(AB530)='Recurring Items'!$F$15)*IFERROR(N('Recurring Items'!$D$15),0)+(IF(AC530=1,'Debt Tracker'!$P$13&gt;0.01,INDEX('Debt Tracker'!$T$5:$AE$29,9,AC530-1)&gt;0.01))*('Recurring Items'!$H$16&lt;&gt;"Skip")*(DAY(AB530)='Recurring Items'!$F$16)*IFERROR(N('Recurring Items'!$D$16),0)+(IF(AC530=1,'Debt Tracker'!$P$14&gt;0.01,INDEX('Debt Tracker'!$T$5:$AE$29,10,AC530-1)&gt;0.01))*('Recurring Items'!$H$17&lt;&gt;"Skip")*(DAY(AB530)='Recurring Items'!$F$17)*IFERROR(N('Recurring Items'!$D$17),0)+(IF(AC530=1,'Debt Tracker'!$P$15&gt;0.01,INDEX('Debt Tracker'!$T$5:$AE$29,11,AC530-1)&gt;0.01))*('Recurring Items'!$H$18&lt;&gt;"Skip")*(DAY(AB530)='Recurring Items'!$F$18)*IFERROR(N('Recurring Items'!$D$18),0)+(IF(AC530=1,'Debt Tracker'!$P$16&gt;0.01,INDEX('Debt Tracker'!$T$5:$AE$29,12,AC530-1)&gt;0.01))*('Recurring Items'!$H$19&lt;&gt;"Skip")*(DAY(AB530)='Recurring Items'!$F$19)*IFERROR(N('Recurring Items'!$D$19),0)+(IF(AC530=1,'Debt Tracker'!$P$17&gt;0.01,INDEX('Debt Tracker'!$T$5:$AE$29,13,AC530-1)&gt;0.01))*('Recurring Items'!$H$20&lt;&gt;"Skip")*(DAY(AB530)='Recurring Items'!$F$20)*IFERROR(N('Recurring Items'!$D$20),0)+(IF(AC530=1,'Debt Tracker'!$P$18&gt;0.01,INDEX('Debt Tracker'!$T$5:$AE$29,14,AC530-1)&gt;0.01))*('Recurring Items'!$H$21&lt;&gt;"Skip")*(DAY(AB530)='Recurring Items'!$F$21)*IFERROR(N('Recurring Items'!$D$21),0)+(IF(AC530=1,'Debt Tracker'!$P$19&gt;0.01,INDEX('Debt Tracker'!$T$5:$AE$29,15,AC530-1)&gt;0.01))*('Recurring Items'!$H$22&lt;&gt;"Skip")*(DAY(AB530)='Recurring Items'!$F$22)*IFERROR(N('Recurring Items'!$D$22),0)+(IF(AC530=1,'Debt Tracker'!$P$20&gt;0.01,INDEX('Debt Tracker'!$T$5:$AE$29,16,AC530-1)&gt;0.01))*('Recurring Items'!$H$23&lt;&gt;"Skip")*(DAY(AB530)='Recurring Items'!$F$23)*IFERROR(N('Recurring Items'!$D$23),0)+(IF(AC530=1,'Debt Tracker'!$P$21&gt;0.01,INDEX('Debt Tracker'!$T$5:$AE$29,17,AC530-1)&gt;0.01))*('Recurring Items'!$H$24&lt;&gt;"Skip")*(DAY(AB530)='Recurring Items'!$F$24)*IFERROR(N('Recurring Items'!$D$24),0)+(IF(AC530=1,'Debt Tracker'!$P$22&gt;0.01,INDEX('Debt Tracker'!$T$5:$AE$29,18,AC530-1)&gt;0.01))*('Recurring Items'!$H$25&lt;&gt;"Skip")*(DAY(AB530)='Recurring Items'!$F$25)*IFERROR(N('Recurring Items'!$D$25),0)+(IF(AC530=1,'Debt Tracker'!$P$23&gt;0.01,INDEX('Debt Tracker'!$T$5:$AE$29,19,AC530-1)&gt;0.01))*('Recurring Items'!$H$26&lt;&gt;"Skip")*(DAY(AB530)='Recurring Items'!$F$26)*IFERROR(N('Recurring Items'!$D$26),0)+(IF(AC530=1,'Debt Tracker'!$P$24&gt;0.01,INDEX('Debt Tracker'!$T$5:$AE$29,20,AC530-1)&gt;0.01))*('Recurring Items'!$H$27&lt;&gt;"Skip")*(DAY(AB530)='Recurring Items'!$F$27)*IFERROR(N('Recurring Items'!$D$27),0)+(IF(AC530=1,'Debt Tracker'!$P$25&gt;0.01,INDEX('Debt Tracker'!$T$5:$AE$29,21,AC530-1)&gt;0.01))*('Recurring Items'!$H$28&lt;&gt;"Skip")*(DAY(AB530)='Recurring Items'!$F$28)*IFERROR(N('Recurring Items'!$D$28),0)+(IF(AC530=1,'Debt Tracker'!$P$26&gt;0.01,INDEX('Debt Tracker'!$T$5:$AE$29,22,AC530-1)&gt;0.01))*('Recurring Items'!$H$29&lt;&gt;"Skip")*(DAY(AB530)='Recurring Items'!$F$29)*IFERROR(N('Recurring Items'!$D$29),0)+(IF(AC530=1,'Debt Tracker'!$P$27&gt;0.01,INDEX('Debt Tracker'!$T$5:$AE$29,23,AC530-1)&gt;0.01))*('Recurring Items'!$H$30&lt;&gt;"Skip")*(DAY(AB530)='Recurring Items'!$F$30)*IFERROR(N('Recurring Items'!$D$30),0)+(IF(AC530=1,'Debt Tracker'!$P$28&gt;0.01,INDEX('Debt Tracker'!$T$5:$AE$29,24,AC530-1)&gt;0.01))*('Recurring Items'!$H$31&lt;&gt;"Skip")*(DAY(AB530)='Recurring Items'!$F$31)*IFERROR(N('Recurring Items'!$D$31),0)+(IF(AC530=1,'Debt Tracker'!$P$29&gt;0.01,INDEX('Debt Tracker'!$T$5:$AE$29,25,AC530-1)&gt;0.01))*('Recurring Items'!$H$32&lt;&gt;"Skip")*(DAY(AB530)='Recurring Items'!$F$32)*IFERROR(N('Recurring Items'!$D$32),0)</f>
        <v>0</v>
      </c>
      <c r="AG530" s="1" t="n">
        <f aca="false">AD530-AE530-AF530</f>
        <v>0</v>
      </c>
      <c r="AH530" s="1" t="n">
        <f aca="false">AH529+AG530</f>
        <v>24940.28</v>
      </c>
    </row>
    <row r="531" customFormat="false" ht="15" hidden="false" customHeight="true" outlineLevel="0" collapsed="false">
      <c r="AA531" s="1" t="n">
        <v>331</v>
      </c>
      <c r="AB531" s="145" t="n">
        <f aca="false">$D$3+331</f>
        <v>46474</v>
      </c>
      <c r="AC531" s="1" t="n">
        <f aca="false">MIN(12,1+DATEDIF($D$3,AB531,"M"))</f>
        <v>11</v>
      </c>
      <c r="AD531" s="1" t="n">
        <f aca="false">SUMPRODUCT(('Recurring Items'!$C$6:$C$56="Income")*('Recurring Items'!$H$6:$H$56&lt;&gt;"Skip")*IFERROR(N('Recurring Items'!$D$6:$D$56),0)*(('Recurring Items'!$E$6:$E$56="Monthly")*(DAY(AB531)='Recurring Items'!$F$6:$F$56)+('Recurring Items'!$E$6:$E$56="Bi-weekly")*(WEEKDAY(AB531)=IFERROR(WEEKDAY('Recurring Items'!$G$6:$G$56),0))*(MOD(AB531-IFERROR('Recurring Items'!$G$6:$G$56,0),14)=0)*(AB531&gt;=IFERROR('Recurring Items'!$G$6:$G$56,9000000000))+('Recurring Items'!$E$6:$E$56="Weekly")*(WEEKDAY(AB531)=IFERROR(WEEKDAY('Recurring Items'!$G$6:$G$56),0))*(AB531&gt;=IFERROR('Recurring Items'!$G$6:$G$56,9000000000))+('Recurring Items'!$E$6:$E$56="One-time")*(AB531='Recurring Items'!$G$6:$G$56)))</f>
        <v>0</v>
      </c>
      <c r="AE531" s="1" t="n">
        <f aca="false">SUMPRODUCT(('Recurring Items'!$C$6:$C$56="Expense")*('Recurring Items'!$H$6:$H$56&lt;&gt;"Skip")*IFERROR(N('Recurring Items'!$D$6:$D$56),0)*(('Recurring Items'!$E$6:$E$56="Monthly")*(DAY(AB531)='Recurring Items'!$F$6:$F$56)+('Recurring Items'!$E$6:$E$56="Bi-weekly")*(WEEKDAY(AB531)=IFERROR(WEEKDAY('Recurring Items'!$G$6:$G$56),0))*(MOD(AB531-IFERROR('Recurring Items'!$G$6:$G$56,0),14)=0)*(AB531&gt;=IFERROR('Recurring Items'!$G$6:$G$56,9000000000))+('Recurring Items'!$E$6:$E$56="Weekly")*(WEEKDAY(AB531)=IFERROR(WEEKDAY('Recurring Items'!$G$6:$G$56),0))*(AB531&gt;=IFERROR('Recurring Items'!$G$6:$G$56,9000000000))+('Recurring Items'!$E$6:$E$56="One-time")*(AB531='Recurring Items'!$G$6:$G$56)))</f>
        <v>0</v>
      </c>
      <c r="AF531" s="1" t="n">
        <f aca="false">(IF(AC531=1,'Debt Tracker'!$P$5&gt;0.01,INDEX('Debt Tracker'!$T$5:$AE$29,1,AC531-1)&gt;0.01))*('Recurring Items'!$H$8&lt;&gt;"Skip")*(DAY(AB531)='Recurring Items'!$F$8)*IFERROR(N('Recurring Items'!$D$8),0)+(IF(AC531=1,'Debt Tracker'!$P$6&gt;0.01,INDEX('Debt Tracker'!$T$5:$AE$29,2,AC531-1)&gt;0.01))*('Recurring Items'!$H$9&lt;&gt;"Skip")*(DAY(AB531)='Recurring Items'!$F$9)*IFERROR(N('Recurring Items'!$D$9),0)+(IF(AC531=1,'Debt Tracker'!$P$7&gt;0.01,INDEX('Debt Tracker'!$T$5:$AE$29,3,AC531-1)&gt;0.01))*('Recurring Items'!$H$10&lt;&gt;"Skip")*(DAY(AB531)='Recurring Items'!$F$10)*IFERROR(N('Recurring Items'!$D$10),0)+(IF(AC531=1,'Debt Tracker'!$P$8&gt;0.01,INDEX('Debt Tracker'!$T$5:$AE$29,4,AC531-1)&gt;0.01))*('Recurring Items'!$H$11&lt;&gt;"Skip")*(DAY(AB531)='Recurring Items'!$F$11)*IFERROR(N('Recurring Items'!$D$11),0)+(IF(AC531=1,'Debt Tracker'!$P$9&gt;0.01,INDEX('Debt Tracker'!$T$5:$AE$29,5,AC531-1)&gt;0.01))*('Recurring Items'!$H$12&lt;&gt;"Skip")*(DAY(AB531)='Recurring Items'!$F$12)*IFERROR(N('Recurring Items'!$D$12),0)+(IF(AC531=1,'Debt Tracker'!$P$10&gt;0.01,INDEX('Debt Tracker'!$T$5:$AE$29,6,AC531-1)&gt;0.01))*('Recurring Items'!$H$13&lt;&gt;"Skip")*(DAY(AB531)='Recurring Items'!$F$13)*IFERROR(N('Recurring Items'!$D$13),0)+(IF(AC531=1,'Debt Tracker'!$P$11&gt;0.01,INDEX('Debt Tracker'!$T$5:$AE$29,7,AC531-1)&gt;0.01))*('Recurring Items'!$H$14&lt;&gt;"Skip")*(DAY(AB531)='Recurring Items'!$F$14)*IFERROR(N('Recurring Items'!$D$14),0)+(IF(AC531=1,'Debt Tracker'!$P$12&gt;0.01,INDEX('Debt Tracker'!$T$5:$AE$29,8,AC531-1)&gt;0.01))*('Recurring Items'!$H$15&lt;&gt;"Skip")*(DAY(AB531)='Recurring Items'!$F$15)*IFERROR(N('Recurring Items'!$D$15),0)+(IF(AC531=1,'Debt Tracker'!$P$13&gt;0.01,INDEX('Debt Tracker'!$T$5:$AE$29,9,AC531-1)&gt;0.01))*('Recurring Items'!$H$16&lt;&gt;"Skip")*(DAY(AB531)='Recurring Items'!$F$16)*IFERROR(N('Recurring Items'!$D$16),0)+(IF(AC531=1,'Debt Tracker'!$P$14&gt;0.01,INDEX('Debt Tracker'!$T$5:$AE$29,10,AC531-1)&gt;0.01))*('Recurring Items'!$H$17&lt;&gt;"Skip")*(DAY(AB531)='Recurring Items'!$F$17)*IFERROR(N('Recurring Items'!$D$17),0)+(IF(AC531=1,'Debt Tracker'!$P$15&gt;0.01,INDEX('Debt Tracker'!$T$5:$AE$29,11,AC531-1)&gt;0.01))*('Recurring Items'!$H$18&lt;&gt;"Skip")*(DAY(AB531)='Recurring Items'!$F$18)*IFERROR(N('Recurring Items'!$D$18),0)+(IF(AC531=1,'Debt Tracker'!$P$16&gt;0.01,INDEX('Debt Tracker'!$T$5:$AE$29,12,AC531-1)&gt;0.01))*('Recurring Items'!$H$19&lt;&gt;"Skip")*(DAY(AB531)='Recurring Items'!$F$19)*IFERROR(N('Recurring Items'!$D$19),0)+(IF(AC531=1,'Debt Tracker'!$P$17&gt;0.01,INDEX('Debt Tracker'!$T$5:$AE$29,13,AC531-1)&gt;0.01))*('Recurring Items'!$H$20&lt;&gt;"Skip")*(DAY(AB531)='Recurring Items'!$F$20)*IFERROR(N('Recurring Items'!$D$20),0)+(IF(AC531=1,'Debt Tracker'!$P$18&gt;0.01,INDEX('Debt Tracker'!$T$5:$AE$29,14,AC531-1)&gt;0.01))*('Recurring Items'!$H$21&lt;&gt;"Skip")*(DAY(AB531)='Recurring Items'!$F$21)*IFERROR(N('Recurring Items'!$D$21),0)+(IF(AC531=1,'Debt Tracker'!$P$19&gt;0.01,INDEX('Debt Tracker'!$T$5:$AE$29,15,AC531-1)&gt;0.01))*('Recurring Items'!$H$22&lt;&gt;"Skip")*(DAY(AB531)='Recurring Items'!$F$22)*IFERROR(N('Recurring Items'!$D$22),0)+(IF(AC531=1,'Debt Tracker'!$P$20&gt;0.01,INDEX('Debt Tracker'!$T$5:$AE$29,16,AC531-1)&gt;0.01))*('Recurring Items'!$H$23&lt;&gt;"Skip")*(DAY(AB531)='Recurring Items'!$F$23)*IFERROR(N('Recurring Items'!$D$23),0)+(IF(AC531=1,'Debt Tracker'!$P$21&gt;0.01,INDEX('Debt Tracker'!$T$5:$AE$29,17,AC531-1)&gt;0.01))*('Recurring Items'!$H$24&lt;&gt;"Skip")*(DAY(AB531)='Recurring Items'!$F$24)*IFERROR(N('Recurring Items'!$D$24),0)+(IF(AC531=1,'Debt Tracker'!$P$22&gt;0.01,INDEX('Debt Tracker'!$T$5:$AE$29,18,AC531-1)&gt;0.01))*('Recurring Items'!$H$25&lt;&gt;"Skip")*(DAY(AB531)='Recurring Items'!$F$25)*IFERROR(N('Recurring Items'!$D$25),0)+(IF(AC531=1,'Debt Tracker'!$P$23&gt;0.01,INDEX('Debt Tracker'!$T$5:$AE$29,19,AC531-1)&gt;0.01))*('Recurring Items'!$H$26&lt;&gt;"Skip")*(DAY(AB531)='Recurring Items'!$F$26)*IFERROR(N('Recurring Items'!$D$26),0)+(IF(AC531=1,'Debt Tracker'!$P$24&gt;0.01,INDEX('Debt Tracker'!$T$5:$AE$29,20,AC531-1)&gt;0.01))*('Recurring Items'!$H$27&lt;&gt;"Skip")*(DAY(AB531)='Recurring Items'!$F$27)*IFERROR(N('Recurring Items'!$D$27),0)+(IF(AC531=1,'Debt Tracker'!$P$25&gt;0.01,INDEX('Debt Tracker'!$T$5:$AE$29,21,AC531-1)&gt;0.01))*('Recurring Items'!$H$28&lt;&gt;"Skip")*(DAY(AB531)='Recurring Items'!$F$28)*IFERROR(N('Recurring Items'!$D$28),0)+(IF(AC531=1,'Debt Tracker'!$P$26&gt;0.01,INDEX('Debt Tracker'!$T$5:$AE$29,22,AC531-1)&gt;0.01))*('Recurring Items'!$H$29&lt;&gt;"Skip")*(DAY(AB531)='Recurring Items'!$F$29)*IFERROR(N('Recurring Items'!$D$29),0)+(IF(AC531=1,'Debt Tracker'!$P$27&gt;0.01,INDEX('Debt Tracker'!$T$5:$AE$29,23,AC531-1)&gt;0.01))*('Recurring Items'!$H$30&lt;&gt;"Skip")*(DAY(AB531)='Recurring Items'!$F$30)*IFERROR(N('Recurring Items'!$D$30),0)+(IF(AC531=1,'Debt Tracker'!$P$28&gt;0.01,INDEX('Debt Tracker'!$T$5:$AE$29,24,AC531-1)&gt;0.01))*('Recurring Items'!$H$31&lt;&gt;"Skip")*(DAY(AB531)='Recurring Items'!$F$31)*IFERROR(N('Recurring Items'!$D$31),0)+(IF(AC531=1,'Debt Tracker'!$P$29&gt;0.01,INDEX('Debt Tracker'!$T$5:$AE$29,25,AC531-1)&gt;0.01))*('Recurring Items'!$H$32&lt;&gt;"Skip")*(DAY(AB531)='Recurring Items'!$F$32)*IFERROR(N('Recurring Items'!$D$32),0)</f>
        <v>0</v>
      </c>
      <c r="AG531" s="1" t="n">
        <f aca="false">AD531-AE531-AF531</f>
        <v>0</v>
      </c>
      <c r="AH531" s="1" t="n">
        <f aca="false">AH530+AG531</f>
        <v>24940.28</v>
      </c>
    </row>
    <row r="532" customFormat="false" ht="15" hidden="false" customHeight="true" outlineLevel="0" collapsed="false">
      <c r="AA532" s="1" t="n">
        <v>332</v>
      </c>
      <c r="AB532" s="145" t="n">
        <f aca="false">$D$3+332</f>
        <v>46475</v>
      </c>
      <c r="AC532" s="1" t="n">
        <f aca="false">MIN(12,1+DATEDIF($D$3,AB532,"M"))</f>
        <v>11</v>
      </c>
      <c r="AD532" s="1" t="n">
        <f aca="false">SUMPRODUCT(('Recurring Items'!$C$6:$C$56="Income")*('Recurring Items'!$H$6:$H$56&lt;&gt;"Skip")*IFERROR(N('Recurring Items'!$D$6:$D$56),0)*(('Recurring Items'!$E$6:$E$56="Monthly")*(DAY(AB532)='Recurring Items'!$F$6:$F$56)+('Recurring Items'!$E$6:$E$56="Bi-weekly")*(WEEKDAY(AB532)=IFERROR(WEEKDAY('Recurring Items'!$G$6:$G$56),0))*(MOD(AB532-IFERROR('Recurring Items'!$G$6:$G$56,0),14)=0)*(AB532&gt;=IFERROR('Recurring Items'!$G$6:$G$56,9000000000))+('Recurring Items'!$E$6:$E$56="Weekly")*(WEEKDAY(AB532)=IFERROR(WEEKDAY('Recurring Items'!$G$6:$G$56),0))*(AB532&gt;=IFERROR('Recurring Items'!$G$6:$G$56,9000000000))+('Recurring Items'!$E$6:$E$56="One-time")*(AB532='Recurring Items'!$G$6:$G$56)))</f>
        <v>0</v>
      </c>
      <c r="AE532" s="1" t="n">
        <f aca="false">SUMPRODUCT(('Recurring Items'!$C$6:$C$56="Expense")*('Recurring Items'!$H$6:$H$56&lt;&gt;"Skip")*IFERROR(N('Recurring Items'!$D$6:$D$56),0)*(('Recurring Items'!$E$6:$E$56="Monthly")*(DAY(AB532)='Recurring Items'!$F$6:$F$56)+('Recurring Items'!$E$6:$E$56="Bi-weekly")*(WEEKDAY(AB532)=IFERROR(WEEKDAY('Recurring Items'!$G$6:$G$56),0))*(MOD(AB532-IFERROR('Recurring Items'!$G$6:$G$56,0),14)=0)*(AB532&gt;=IFERROR('Recurring Items'!$G$6:$G$56,9000000000))+('Recurring Items'!$E$6:$E$56="Weekly")*(WEEKDAY(AB532)=IFERROR(WEEKDAY('Recurring Items'!$G$6:$G$56),0))*(AB532&gt;=IFERROR('Recurring Items'!$G$6:$G$56,9000000000))+('Recurring Items'!$E$6:$E$56="One-time")*(AB532='Recurring Items'!$G$6:$G$56)))</f>
        <v>237.58</v>
      </c>
      <c r="AF532" s="1" t="n">
        <f aca="false">(IF(AC532=1,'Debt Tracker'!$P$5&gt;0.01,INDEX('Debt Tracker'!$T$5:$AE$29,1,AC532-1)&gt;0.01))*('Recurring Items'!$H$8&lt;&gt;"Skip")*(DAY(AB532)='Recurring Items'!$F$8)*IFERROR(N('Recurring Items'!$D$8),0)+(IF(AC532=1,'Debt Tracker'!$P$6&gt;0.01,INDEX('Debt Tracker'!$T$5:$AE$29,2,AC532-1)&gt;0.01))*('Recurring Items'!$H$9&lt;&gt;"Skip")*(DAY(AB532)='Recurring Items'!$F$9)*IFERROR(N('Recurring Items'!$D$9),0)+(IF(AC532=1,'Debt Tracker'!$P$7&gt;0.01,INDEX('Debt Tracker'!$T$5:$AE$29,3,AC532-1)&gt;0.01))*('Recurring Items'!$H$10&lt;&gt;"Skip")*(DAY(AB532)='Recurring Items'!$F$10)*IFERROR(N('Recurring Items'!$D$10),0)+(IF(AC532=1,'Debt Tracker'!$P$8&gt;0.01,INDEX('Debt Tracker'!$T$5:$AE$29,4,AC532-1)&gt;0.01))*('Recurring Items'!$H$11&lt;&gt;"Skip")*(DAY(AB532)='Recurring Items'!$F$11)*IFERROR(N('Recurring Items'!$D$11),0)+(IF(AC532=1,'Debt Tracker'!$P$9&gt;0.01,INDEX('Debt Tracker'!$T$5:$AE$29,5,AC532-1)&gt;0.01))*('Recurring Items'!$H$12&lt;&gt;"Skip")*(DAY(AB532)='Recurring Items'!$F$12)*IFERROR(N('Recurring Items'!$D$12),0)+(IF(AC532=1,'Debt Tracker'!$P$10&gt;0.01,INDEX('Debt Tracker'!$T$5:$AE$29,6,AC532-1)&gt;0.01))*('Recurring Items'!$H$13&lt;&gt;"Skip")*(DAY(AB532)='Recurring Items'!$F$13)*IFERROR(N('Recurring Items'!$D$13),0)+(IF(AC532=1,'Debt Tracker'!$P$11&gt;0.01,INDEX('Debt Tracker'!$T$5:$AE$29,7,AC532-1)&gt;0.01))*('Recurring Items'!$H$14&lt;&gt;"Skip")*(DAY(AB532)='Recurring Items'!$F$14)*IFERROR(N('Recurring Items'!$D$14),0)+(IF(AC532=1,'Debt Tracker'!$P$12&gt;0.01,INDEX('Debt Tracker'!$T$5:$AE$29,8,AC532-1)&gt;0.01))*('Recurring Items'!$H$15&lt;&gt;"Skip")*(DAY(AB532)='Recurring Items'!$F$15)*IFERROR(N('Recurring Items'!$D$15),0)+(IF(AC532=1,'Debt Tracker'!$P$13&gt;0.01,INDEX('Debt Tracker'!$T$5:$AE$29,9,AC532-1)&gt;0.01))*('Recurring Items'!$H$16&lt;&gt;"Skip")*(DAY(AB532)='Recurring Items'!$F$16)*IFERROR(N('Recurring Items'!$D$16),0)+(IF(AC532=1,'Debt Tracker'!$P$14&gt;0.01,INDEX('Debt Tracker'!$T$5:$AE$29,10,AC532-1)&gt;0.01))*('Recurring Items'!$H$17&lt;&gt;"Skip")*(DAY(AB532)='Recurring Items'!$F$17)*IFERROR(N('Recurring Items'!$D$17),0)+(IF(AC532=1,'Debt Tracker'!$P$15&gt;0.01,INDEX('Debt Tracker'!$T$5:$AE$29,11,AC532-1)&gt;0.01))*('Recurring Items'!$H$18&lt;&gt;"Skip")*(DAY(AB532)='Recurring Items'!$F$18)*IFERROR(N('Recurring Items'!$D$18),0)+(IF(AC532=1,'Debt Tracker'!$P$16&gt;0.01,INDEX('Debt Tracker'!$T$5:$AE$29,12,AC532-1)&gt;0.01))*('Recurring Items'!$H$19&lt;&gt;"Skip")*(DAY(AB532)='Recurring Items'!$F$19)*IFERROR(N('Recurring Items'!$D$19),0)+(IF(AC532=1,'Debt Tracker'!$P$17&gt;0.01,INDEX('Debt Tracker'!$T$5:$AE$29,13,AC532-1)&gt;0.01))*('Recurring Items'!$H$20&lt;&gt;"Skip")*(DAY(AB532)='Recurring Items'!$F$20)*IFERROR(N('Recurring Items'!$D$20),0)+(IF(AC532=1,'Debt Tracker'!$P$18&gt;0.01,INDEX('Debt Tracker'!$T$5:$AE$29,14,AC532-1)&gt;0.01))*('Recurring Items'!$H$21&lt;&gt;"Skip")*(DAY(AB532)='Recurring Items'!$F$21)*IFERROR(N('Recurring Items'!$D$21),0)+(IF(AC532=1,'Debt Tracker'!$P$19&gt;0.01,INDEX('Debt Tracker'!$T$5:$AE$29,15,AC532-1)&gt;0.01))*('Recurring Items'!$H$22&lt;&gt;"Skip")*(DAY(AB532)='Recurring Items'!$F$22)*IFERROR(N('Recurring Items'!$D$22),0)+(IF(AC532=1,'Debt Tracker'!$P$20&gt;0.01,INDEX('Debt Tracker'!$T$5:$AE$29,16,AC532-1)&gt;0.01))*('Recurring Items'!$H$23&lt;&gt;"Skip")*(DAY(AB532)='Recurring Items'!$F$23)*IFERROR(N('Recurring Items'!$D$23),0)+(IF(AC532=1,'Debt Tracker'!$P$21&gt;0.01,INDEX('Debt Tracker'!$T$5:$AE$29,17,AC532-1)&gt;0.01))*('Recurring Items'!$H$24&lt;&gt;"Skip")*(DAY(AB532)='Recurring Items'!$F$24)*IFERROR(N('Recurring Items'!$D$24),0)+(IF(AC532=1,'Debt Tracker'!$P$22&gt;0.01,INDEX('Debt Tracker'!$T$5:$AE$29,18,AC532-1)&gt;0.01))*('Recurring Items'!$H$25&lt;&gt;"Skip")*(DAY(AB532)='Recurring Items'!$F$25)*IFERROR(N('Recurring Items'!$D$25),0)+(IF(AC532=1,'Debt Tracker'!$P$23&gt;0.01,INDEX('Debt Tracker'!$T$5:$AE$29,19,AC532-1)&gt;0.01))*('Recurring Items'!$H$26&lt;&gt;"Skip")*(DAY(AB532)='Recurring Items'!$F$26)*IFERROR(N('Recurring Items'!$D$26),0)+(IF(AC532=1,'Debt Tracker'!$P$24&gt;0.01,INDEX('Debt Tracker'!$T$5:$AE$29,20,AC532-1)&gt;0.01))*('Recurring Items'!$H$27&lt;&gt;"Skip")*(DAY(AB532)='Recurring Items'!$F$27)*IFERROR(N('Recurring Items'!$D$27),0)+(IF(AC532=1,'Debt Tracker'!$P$25&gt;0.01,INDEX('Debt Tracker'!$T$5:$AE$29,21,AC532-1)&gt;0.01))*('Recurring Items'!$H$28&lt;&gt;"Skip")*(DAY(AB532)='Recurring Items'!$F$28)*IFERROR(N('Recurring Items'!$D$28),0)+(IF(AC532=1,'Debt Tracker'!$P$26&gt;0.01,INDEX('Debt Tracker'!$T$5:$AE$29,22,AC532-1)&gt;0.01))*('Recurring Items'!$H$29&lt;&gt;"Skip")*(DAY(AB532)='Recurring Items'!$F$29)*IFERROR(N('Recurring Items'!$D$29),0)+(IF(AC532=1,'Debt Tracker'!$P$27&gt;0.01,INDEX('Debt Tracker'!$T$5:$AE$29,23,AC532-1)&gt;0.01))*('Recurring Items'!$H$30&lt;&gt;"Skip")*(DAY(AB532)='Recurring Items'!$F$30)*IFERROR(N('Recurring Items'!$D$30),0)+(IF(AC532=1,'Debt Tracker'!$P$28&gt;0.01,INDEX('Debt Tracker'!$T$5:$AE$29,24,AC532-1)&gt;0.01))*('Recurring Items'!$H$31&lt;&gt;"Skip")*(DAY(AB532)='Recurring Items'!$F$31)*IFERROR(N('Recurring Items'!$D$31),0)+(IF(AC532=1,'Debt Tracker'!$P$29&gt;0.01,INDEX('Debt Tracker'!$T$5:$AE$29,25,AC532-1)&gt;0.01))*('Recurring Items'!$H$32&lt;&gt;"Skip")*(DAY(AB532)='Recurring Items'!$F$32)*IFERROR(N('Recurring Items'!$D$32),0)</f>
        <v>206.43</v>
      </c>
      <c r="AG532" s="1" t="n">
        <f aca="false">AD532-AE532-AF532</f>
        <v>-444.01</v>
      </c>
      <c r="AH532" s="1" t="n">
        <f aca="false">AH531+AG532</f>
        <v>24496.27</v>
      </c>
    </row>
    <row r="533" customFormat="false" ht="15" hidden="false" customHeight="true" outlineLevel="0" collapsed="false">
      <c r="AA533" s="1" t="n">
        <v>333</v>
      </c>
      <c r="AB533" s="145" t="n">
        <f aca="false">$D$3+333</f>
        <v>46476</v>
      </c>
      <c r="AC533" s="1" t="n">
        <f aca="false">MIN(12,1+DATEDIF($D$3,AB533,"M"))</f>
        <v>11</v>
      </c>
      <c r="AD533" s="1" t="n">
        <f aca="false">SUMPRODUCT(('Recurring Items'!$C$6:$C$56="Income")*('Recurring Items'!$H$6:$H$56&lt;&gt;"Skip")*IFERROR(N('Recurring Items'!$D$6:$D$56),0)*(('Recurring Items'!$E$6:$E$56="Monthly")*(DAY(AB533)='Recurring Items'!$F$6:$F$56)+('Recurring Items'!$E$6:$E$56="Bi-weekly")*(WEEKDAY(AB533)=IFERROR(WEEKDAY('Recurring Items'!$G$6:$G$56),0))*(MOD(AB533-IFERROR('Recurring Items'!$G$6:$G$56,0),14)=0)*(AB533&gt;=IFERROR('Recurring Items'!$G$6:$G$56,9000000000))+('Recurring Items'!$E$6:$E$56="Weekly")*(WEEKDAY(AB533)=IFERROR(WEEKDAY('Recurring Items'!$G$6:$G$56),0))*(AB533&gt;=IFERROR('Recurring Items'!$G$6:$G$56,9000000000))+('Recurring Items'!$E$6:$E$56="One-time")*(AB533='Recurring Items'!$G$6:$G$56)))</f>
        <v>0</v>
      </c>
      <c r="AE533" s="1" t="n">
        <f aca="false">SUMPRODUCT(('Recurring Items'!$C$6:$C$56="Expense")*('Recurring Items'!$H$6:$H$56&lt;&gt;"Skip")*IFERROR(N('Recurring Items'!$D$6:$D$56),0)*(('Recurring Items'!$E$6:$E$56="Monthly")*(DAY(AB533)='Recurring Items'!$F$6:$F$56)+('Recurring Items'!$E$6:$E$56="Bi-weekly")*(WEEKDAY(AB533)=IFERROR(WEEKDAY('Recurring Items'!$G$6:$G$56),0))*(MOD(AB533-IFERROR('Recurring Items'!$G$6:$G$56,0),14)=0)*(AB533&gt;=IFERROR('Recurring Items'!$G$6:$G$56,9000000000))+('Recurring Items'!$E$6:$E$56="Weekly")*(WEEKDAY(AB533)=IFERROR(WEEKDAY('Recurring Items'!$G$6:$G$56),0))*(AB533&gt;=IFERROR('Recurring Items'!$G$6:$G$56,9000000000))+('Recurring Items'!$E$6:$E$56="One-time")*(AB533='Recurring Items'!$G$6:$G$56)))</f>
        <v>0</v>
      </c>
      <c r="AF533" s="1" t="n">
        <f aca="false">(IF(AC533=1,'Debt Tracker'!$P$5&gt;0.01,INDEX('Debt Tracker'!$T$5:$AE$29,1,AC533-1)&gt;0.01))*('Recurring Items'!$H$8&lt;&gt;"Skip")*(DAY(AB533)='Recurring Items'!$F$8)*IFERROR(N('Recurring Items'!$D$8),0)+(IF(AC533=1,'Debt Tracker'!$P$6&gt;0.01,INDEX('Debt Tracker'!$T$5:$AE$29,2,AC533-1)&gt;0.01))*('Recurring Items'!$H$9&lt;&gt;"Skip")*(DAY(AB533)='Recurring Items'!$F$9)*IFERROR(N('Recurring Items'!$D$9),0)+(IF(AC533=1,'Debt Tracker'!$P$7&gt;0.01,INDEX('Debt Tracker'!$T$5:$AE$29,3,AC533-1)&gt;0.01))*('Recurring Items'!$H$10&lt;&gt;"Skip")*(DAY(AB533)='Recurring Items'!$F$10)*IFERROR(N('Recurring Items'!$D$10),0)+(IF(AC533=1,'Debt Tracker'!$P$8&gt;0.01,INDEX('Debt Tracker'!$T$5:$AE$29,4,AC533-1)&gt;0.01))*('Recurring Items'!$H$11&lt;&gt;"Skip")*(DAY(AB533)='Recurring Items'!$F$11)*IFERROR(N('Recurring Items'!$D$11),0)+(IF(AC533=1,'Debt Tracker'!$P$9&gt;0.01,INDEX('Debt Tracker'!$T$5:$AE$29,5,AC533-1)&gt;0.01))*('Recurring Items'!$H$12&lt;&gt;"Skip")*(DAY(AB533)='Recurring Items'!$F$12)*IFERROR(N('Recurring Items'!$D$12),0)+(IF(AC533=1,'Debt Tracker'!$P$10&gt;0.01,INDEX('Debt Tracker'!$T$5:$AE$29,6,AC533-1)&gt;0.01))*('Recurring Items'!$H$13&lt;&gt;"Skip")*(DAY(AB533)='Recurring Items'!$F$13)*IFERROR(N('Recurring Items'!$D$13),0)+(IF(AC533=1,'Debt Tracker'!$P$11&gt;0.01,INDEX('Debt Tracker'!$T$5:$AE$29,7,AC533-1)&gt;0.01))*('Recurring Items'!$H$14&lt;&gt;"Skip")*(DAY(AB533)='Recurring Items'!$F$14)*IFERROR(N('Recurring Items'!$D$14),0)+(IF(AC533=1,'Debt Tracker'!$P$12&gt;0.01,INDEX('Debt Tracker'!$T$5:$AE$29,8,AC533-1)&gt;0.01))*('Recurring Items'!$H$15&lt;&gt;"Skip")*(DAY(AB533)='Recurring Items'!$F$15)*IFERROR(N('Recurring Items'!$D$15),0)+(IF(AC533=1,'Debt Tracker'!$P$13&gt;0.01,INDEX('Debt Tracker'!$T$5:$AE$29,9,AC533-1)&gt;0.01))*('Recurring Items'!$H$16&lt;&gt;"Skip")*(DAY(AB533)='Recurring Items'!$F$16)*IFERROR(N('Recurring Items'!$D$16),0)+(IF(AC533=1,'Debt Tracker'!$P$14&gt;0.01,INDEX('Debt Tracker'!$T$5:$AE$29,10,AC533-1)&gt;0.01))*('Recurring Items'!$H$17&lt;&gt;"Skip")*(DAY(AB533)='Recurring Items'!$F$17)*IFERROR(N('Recurring Items'!$D$17),0)+(IF(AC533=1,'Debt Tracker'!$P$15&gt;0.01,INDEX('Debt Tracker'!$T$5:$AE$29,11,AC533-1)&gt;0.01))*('Recurring Items'!$H$18&lt;&gt;"Skip")*(DAY(AB533)='Recurring Items'!$F$18)*IFERROR(N('Recurring Items'!$D$18),0)+(IF(AC533=1,'Debt Tracker'!$P$16&gt;0.01,INDEX('Debt Tracker'!$T$5:$AE$29,12,AC533-1)&gt;0.01))*('Recurring Items'!$H$19&lt;&gt;"Skip")*(DAY(AB533)='Recurring Items'!$F$19)*IFERROR(N('Recurring Items'!$D$19),0)+(IF(AC533=1,'Debt Tracker'!$P$17&gt;0.01,INDEX('Debt Tracker'!$T$5:$AE$29,13,AC533-1)&gt;0.01))*('Recurring Items'!$H$20&lt;&gt;"Skip")*(DAY(AB533)='Recurring Items'!$F$20)*IFERROR(N('Recurring Items'!$D$20),0)+(IF(AC533=1,'Debt Tracker'!$P$18&gt;0.01,INDEX('Debt Tracker'!$T$5:$AE$29,14,AC533-1)&gt;0.01))*('Recurring Items'!$H$21&lt;&gt;"Skip")*(DAY(AB533)='Recurring Items'!$F$21)*IFERROR(N('Recurring Items'!$D$21),0)+(IF(AC533=1,'Debt Tracker'!$P$19&gt;0.01,INDEX('Debt Tracker'!$T$5:$AE$29,15,AC533-1)&gt;0.01))*('Recurring Items'!$H$22&lt;&gt;"Skip")*(DAY(AB533)='Recurring Items'!$F$22)*IFERROR(N('Recurring Items'!$D$22),0)+(IF(AC533=1,'Debt Tracker'!$P$20&gt;0.01,INDEX('Debt Tracker'!$T$5:$AE$29,16,AC533-1)&gt;0.01))*('Recurring Items'!$H$23&lt;&gt;"Skip")*(DAY(AB533)='Recurring Items'!$F$23)*IFERROR(N('Recurring Items'!$D$23),0)+(IF(AC533=1,'Debt Tracker'!$P$21&gt;0.01,INDEX('Debt Tracker'!$T$5:$AE$29,17,AC533-1)&gt;0.01))*('Recurring Items'!$H$24&lt;&gt;"Skip")*(DAY(AB533)='Recurring Items'!$F$24)*IFERROR(N('Recurring Items'!$D$24),0)+(IF(AC533=1,'Debt Tracker'!$P$22&gt;0.01,INDEX('Debt Tracker'!$T$5:$AE$29,18,AC533-1)&gt;0.01))*('Recurring Items'!$H$25&lt;&gt;"Skip")*(DAY(AB533)='Recurring Items'!$F$25)*IFERROR(N('Recurring Items'!$D$25),0)+(IF(AC533=1,'Debt Tracker'!$P$23&gt;0.01,INDEX('Debt Tracker'!$T$5:$AE$29,19,AC533-1)&gt;0.01))*('Recurring Items'!$H$26&lt;&gt;"Skip")*(DAY(AB533)='Recurring Items'!$F$26)*IFERROR(N('Recurring Items'!$D$26),0)+(IF(AC533=1,'Debt Tracker'!$P$24&gt;0.01,INDEX('Debt Tracker'!$T$5:$AE$29,20,AC533-1)&gt;0.01))*('Recurring Items'!$H$27&lt;&gt;"Skip")*(DAY(AB533)='Recurring Items'!$F$27)*IFERROR(N('Recurring Items'!$D$27),0)+(IF(AC533=1,'Debt Tracker'!$P$25&gt;0.01,INDEX('Debt Tracker'!$T$5:$AE$29,21,AC533-1)&gt;0.01))*('Recurring Items'!$H$28&lt;&gt;"Skip")*(DAY(AB533)='Recurring Items'!$F$28)*IFERROR(N('Recurring Items'!$D$28),0)+(IF(AC533=1,'Debt Tracker'!$P$26&gt;0.01,INDEX('Debt Tracker'!$T$5:$AE$29,22,AC533-1)&gt;0.01))*('Recurring Items'!$H$29&lt;&gt;"Skip")*(DAY(AB533)='Recurring Items'!$F$29)*IFERROR(N('Recurring Items'!$D$29),0)+(IF(AC533=1,'Debt Tracker'!$P$27&gt;0.01,INDEX('Debt Tracker'!$T$5:$AE$29,23,AC533-1)&gt;0.01))*('Recurring Items'!$H$30&lt;&gt;"Skip")*(DAY(AB533)='Recurring Items'!$F$30)*IFERROR(N('Recurring Items'!$D$30),0)+(IF(AC533=1,'Debt Tracker'!$P$28&gt;0.01,INDEX('Debt Tracker'!$T$5:$AE$29,24,AC533-1)&gt;0.01))*('Recurring Items'!$H$31&lt;&gt;"Skip")*(DAY(AB533)='Recurring Items'!$F$31)*IFERROR(N('Recurring Items'!$D$31),0)+(IF(AC533=1,'Debt Tracker'!$P$29&gt;0.01,INDEX('Debt Tracker'!$T$5:$AE$29,25,AC533-1)&gt;0.01))*('Recurring Items'!$H$32&lt;&gt;"Skip")*(DAY(AB533)='Recurring Items'!$F$32)*IFERROR(N('Recurring Items'!$D$32),0)</f>
        <v>0</v>
      </c>
      <c r="AG533" s="1" t="n">
        <f aca="false">AD533-AE533-AF533</f>
        <v>0</v>
      </c>
      <c r="AH533" s="1" t="n">
        <f aca="false">AH532+AG533</f>
        <v>24496.27</v>
      </c>
    </row>
    <row r="534" customFormat="false" ht="15" hidden="false" customHeight="true" outlineLevel="0" collapsed="false">
      <c r="AA534" s="1" t="n">
        <v>334</v>
      </c>
      <c r="AB534" s="145" t="n">
        <f aca="false">$D$3+334</f>
        <v>46477</v>
      </c>
      <c r="AC534" s="1" t="n">
        <f aca="false">MIN(12,1+DATEDIF($D$3,AB534,"M"))</f>
        <v>11</v>
      </c>
      <c r="AD534" s="1" t="n">
        <f aca="false">SUMPRODUCT(('Recurring Items'!$C$6:$C$56="Income")*('Recurring Items'!$H$6:$H$56&lt;&gt;"Skip")*IFERROR(N('Recurring Items'!$D$6:$D$56),0)*(('Recurring Items'!$E$6:$E$56="Monthly")*(DAY(AB534)='Recurring Items'!$F$6:$F$56)+('Recurring Items'!$E$6:$E$56="Bi-weekly")*(WEEKDAY(AB534)=IFERROR(WEEKDAY('Recurring Items'!$G$6:$G$56),0))*(MOD(AB534-IFERROR('Recurring Items'!$G$6:$G$56,0),14)=0)*(AB534&gt;=IFERROR('Recurring Items'!$G$6:$G$56,9000000000))+('Recurring Items'!$E$6:$E$56="Weekly")*(WEEKDAY(AB534)=IFERROR(WEEKDAY('Recurring Items'!$G$6:$G$56),0))*(AB534&gt;=IFERROR('Recurring Items'!$G$6:$G$56,9000000000))+('Recurring Items'!$E$6:$E$56="One-time")*(AB534='Recurring Items'!$G$6:$G$56)))</f>
        <v>0</v>
      </c>
      <c r="AE534" s="1" t="n">
        <f aca="false">SUMPRODUCT(('Recurring Items'!$C$6:$C$56="Expense")*('Recurring Items'!$H$6:$H$56&lt;&gt;"Skip")*IFERROR(N('Recurring Items'!$D$6:$D$56),0)*(('Recurring Items'!$E$6:$E$56="Monthly")*(DAY(AB534)='Recurring Items'!$F$6:$F$56)+('Recurring Items'!$E$6:$E$56="Bi-weekly")*(WEEKDAY(AB534)=IFERROR(WEEKDAY('Recurring Items'!$G$6:$G$56),0))*(MOD(AB534-IFERROR('Recurring Items'!$G$6:$G$56,0),14)=0)*(AB534&gt;=IFERROR('Recurring Items'!$G$6:$G$56,9000000000))+('Recurring Items'!$E$6:$E$56="Weekly")*(WEEKDAY(AB534)=IFERROR(WEEKDAY('Recurring Items'!$G$6:$G$56),0))*(AB534&gt;=IFERROR('Recurring Items'!$G$6:$G$56,9000000000))+('Recurring Items'!$E$6:$E$56="One-time")*(AB534='Recurring Items'!$G$6:$G$56)))</f>
        <v>0</v>
      </c>
      <c r="AF534" s="1" t="n">
        <f aca="false">(IF(AC534=1,'Debt Tracker'!$P$5&gt;0.01,INDEX('Debt Tracker'!$T$5:$AE$29,1,AC534-1)&gt;0.01))*('Recurring Items'!$H$8&lt;&gt;"Skip")*(DAY(AB534)='Recurring Items'!$F$8)*IFERROR(N('Recurring Items'!$D$8),0)+(IF(AC534=1,'Debt Tracker'!$P$6&gt;0.01,INDEX('Debt Tracker'!$T$5:$AE$29,2,AC534-1)&gt;0.01))*('Recurring Items'!$H$9&lt;&gt;"Skip")*(DAY(AB534)='Recurring Items'!$F$9)*IFERROR(N('Recurring Items'!$D$9),0)+(IF(AC534=1,'Debt Tracker'!$P$7&gt;0.01,INDEX('Debt Tracker'!$T$5:$AE$29,3,AC534-1)&gt;0.01))*('Recurring Items'!$H$10&lt;&gt;"Skip")*(DAY(AB534)='Recurring Items'!$F$10)*IFERROR(N('Recurring Items'!$D$10),0)+(IF(AC534=1,'Debt Tracker'!$P$8&gt;0.01,INDEX('Debt Tracker'!$T$5:$AE$29,4,AC534-1)&gt;0.01))*('Recurring Items'!$H$11&lt;&gt;"Skip")*(DAY(AB534)='Recurring Items'!$F$11)*IFERROR(N('Recurring Items'!$D$11),0)+(IF(AC534=1,'Debt Tracker'!$P$9&gt;0.01,INDEX('Debt Tracker'!$T$5:$AE$29,5,AC534-1)&gt;0.01))*('Recurring Items'!$H$12&lt;&gt;"Skip")*(DAY(AB534)='Recurring Items'!$F$12)*IFERROR(N('Recurring Items'!$D$12),0)+(IF(AC534=1,'Debt Tracker'!$P$10&gt;0.01,INDEX('Debt Tracker'!$T$5:$AE$29,6,AC534-1)&gt;0.01))*('Recurring Items'!$H$13&lt;&gt;"Skip")*(DAY(AB534)='Recurring Items'!$F$13)*IFERROR(N('Recurring Items'!$D$13),0)+(IF(AC534=1,'Debt Tracker'!$P$11&gt;0.01,INDEX('Debt Tracker'!$T$5:$AE$29,7,AC534-1)&gt;0.01))*('Recurring Items'!$H$14&lt;&gt;"Skip")*(DAY(AB534)='Recurring Items'!$F$14)*IFERROR(N('Recurring Items'!$D$14),0)+(IF(AC534=1,'Debt Tracker'!$P$12&gt;0.01,INDEX('Debt Tracker'!$T$5:$AE$29,8,AC534-1)&gt;0.01))*('Recurring Items'!$H$15&lt;&gt;"Skip")*(DAY(AB534)='Recurring Items'!$F$15)*IFERROR(N('Recurring Items'!$D$15),0)+(IF(AC534=1,'Debt Tracker'!$P$13&gt;0.01,INDEX('Debt Tracker'!$T$5:$AE$29,9,AC534-1)&gt;0.01))*('Recurring Items'!$H$16&lt;&gt;"Skip")*(DAY(AB534)='Recurring Items'!$F$16)*IFERROR(N('Recurring Items'!$D$16),0)+(IF(AC534=1,'Debt Tracker'!$P$14&gt;0.01,INDEX('Debt Tracker'!$T$5:$AE$29,10,AC534-1)&gt;0.01))*('Recurring Items'!$H$17&lt;&gt;"Skip")*(DAY(AB534)='Recurring Items'!$F$17)*IFERROR(N('Recurring Items'!$D$17),0)+(IF(AC534=1,'Debt Tracker'!$P$15&gt;0.01,INDEX('Debt Tracker'!$T$5:$AE$29,11,AC534-1)&gt;0.01))*('Recurring Items'!$H$18&lt;&gt;"Skip")*(DAY(AB534)='Recurring Items'!$F$18)*IFERROR(N('Recurring Items'!$D$18),0)+(IF(AC534=1,'Debt Tracker'!$P$16&gt;0.01,INDEX('Debt Tracker'!$T$5:$AE$29,12,AC534-1)&gt;0.01))*('Recurring Items'!$H$19&lt;&gt;"Skip")*(DAY(AB534)='Recurring Items'!$F$19)*IFERROR(N('Recurring Items'!$D$19),0)+(IF(AC534=1,'Debt Tracker'!$P$17&gt;0.01,INDEX('Debt Tracker'!$T$5:$AE$29,13,AC534-1)&gt;0.01))*('Recurring Items'!$H$20&lt;&gt;"Skip")*(DAY(AB534)='Recurring Items'!$F$20)*IFERROR(N('Recurring Items'!$D$20),0)+(IF(AC534=1,'Debt Tracker'!$P$18&gt;0.01,INDEX('Debt Tracker'!$T$5:$AE$29,14,AC534-1)&gt;0.01))*('Recurring Items'!$H$21&lt;&gt;"Skip")*(DAY(AB534)='Recurring Items'!$F$21)*IFERROR(N('Recurring Items'!$D$21),0)+(IF(AC534=1,'Debt Tracker'!$P$19&gt;0.01,INDEX('Debt Tracker'!$T$5:$AE$29,15,AC534-1)&gt;0.01))*('Recurring Items'!$H$22&lt;&gt;"Skip")*(DAY(AB534)='Recurring Items'!$F$22)*IFERROR(N('Recurring Items'!$D$22),0)+(IF(AC534=1,'Debt Tracker'!$P$20&gt;0.01,INDEX('Debt Tracker'!$T$5:$AE$29,16,AC534-1)&gt;0.01))*('Recurring Items'!$H$23&lt;&gt;"Skip")*(DAY(AB534)='Recurring Items'!$F$23)*IFERROR(N('Recurring Items'!$D$23),0)+(IF(AC534=1,'Debt Tracker'!$P$21&gt;0.01,INDEX('Debt Tracker'!$T$5:$AE$29,17,AC534-1)&gt;0.01))*('Recurring Items'!$H$24&lt;&gt;"Skip")*(DAY(AB534)='Recurring Items'!$F$24)*IFERROR(N('Recurring Items'!$D$24),0)+(IF(AC534=1,'Debt Tracker'!$P$22&gt;0.01,INDEX('Debt Tracker'!$T$5:$AE$29,18,AC534-1)&gt;0.01))*('Recurring Items'!$H$25&lt;&gt;"Skip")*(DAY(AB534)='Recurring Items'!$F$25)*IFERROR(N('Recurring Items'!$D$25),0)+(IF(AC534=1,'Debt Tracker'!$P$23&gt;0.01,INDEX('Debt Tracker'!$T$5:$AE$29,19,AC534-1)&gt;0.01))*('Recurring Items'!$H$26&lt;&gt;"Skip")*(DAY(AB534)='Recurring Items'!$F$26)*IFERROR(N('Recurring Items'!$D$26),0)+(IF(AC534=1,'Debt Tracker'!$P$24&gt;0.01,INDEX('Debt Tracker'!$T$5:$AE$29,20,AC534-1)&gt;0.01))*('Recurring Items'!$H$27&lt;&gt;"Skip")*(DAY(AB534)='Recurring Items'!$F$27)*IFERROR(N('Recurring Items'!$D$27),0)+(IF(AC534=1,'Debt Tracker'!$P$25&gt;0.01,INDEX('Debt Tracker'!$T$5:$AE$29,21,AC534-1)&gt;0.01))*('Recurring Items'!$H$28&lt;&gt;"Skip")*(DAY(AB534)='Recurring Items'!$F$28)*IFERROR(N('Recurring Items'!$D$28),0)+(IF(AC534=1,'Debt Tracker'!$P$26&gt;0.01,INDEX('Debt Tracker'!$T$5:$AE$29,22,AC534-1)&gt;0.01))*('Recurring Items'!$H$29&lt;&gt;"Skip")*(DAY(AB534)='Recurring Items'!$F$29)*IFERROR(N('Recurring Items'!$D$29),0)+(IF(AC534=1,'Debt Tracker'!$P$27&gt;0.01,INDEX('Debt Tracker'!$T$5:$AE$29,23,AC534-1)&gt;0.01))*('Recurring Items'!$H$30&lt;&gt;"Skip")*(DAY(AB534)='Recurring Items'!$F$30)*IFERROR(N('Recurring Items'!$D$30),0)+(IF(AC534=1,'Debt Tracker'!$P$28&gt;0.01,INDEX('Debt Tracker'!$T$5:$AE$29,24,AC534-1)&gt;0.01))*('Recurring Items'!$H$31&lt;&gt;"Skip")*(DAY(AB534)='Recurring Items'!$F$31)*IFERROR(N('Recurring Items'!$D$31),0)+(IF(AC534=1,'Debt Tracker'!$P$29&gt;0.01,INDEX('Debt Tracker'!$T$5:$AE$29,25,AC534-1)&gt;0.01))*('Recurring Items'!$H$32&lt;&gt;"Skip")*(DAY(AB534)='Recurring Items'!$F$32)*IFERROR(N('Recurring Items'!$D$32),0)</f>
        <v>0</v>
      </c>
      <c r="AG534" s="1" t="n">
        <f aca="false">AD534-AE534-AF534</f>
        <v>0</v>
      </c>
      <c r="AH534" s="1" t="n">
        <f aca="false">AH533+AG534</f>
        <v>24496.27</v>
      </c>
    </row>
    <row r="535" customFormat="false" ht="15" hidden="false" customHeight="true" outlineLevel="0" collapsed="false">
      <c r="AA535" s="1" t="n">
        <v>335</v>
      </c>
      <c r="AB535" s="145" t="n">
        <f aca="false">$D$3+335</f>
        <v>46478</v>
      </c>
      <c r="AC535" s="1" t="n">
        <f aca="false">MIN(12,1+DATEDIF($D$3,AB535,"M"))</f>
        <v>12</v>
      </c>
      <c r="AD535" s="1" t="n">
        <f aca="false">SUMPRODUCT(('Recurring Items'!$C$6:$C$56="Income")*('Recurring Items'!$H$6:$H$56&lt;&gt;"Skip")*IFERROR(N('Recurring Items'!$D$6:$D$56),0)*(('Recurring Items'!$E$6:$E$56="Monthly")*(DAY(AB535)='Recurring Items'!$F$6:$F$56)+('Recurring Items'!$E$6:$E$56="Bi-weekly")*(WEEKDAY(AB535)=IFERROR(WEEKDAY('Recurring Items'!$G$6:$G$56),0))*(MOD(AB535-IFERROR('Recurring Items'!$G$6:$G$56,0),14)=0)*(AB535&gt;=IFERROR('Recurring Items'!$G$6:$G$56,9000000000))+('Recurring Items'!$E$6:$E$56="Weekly")*(WEEKDAY(AB535)=IFERROR(WEEKDAY('Recurring Items'!$G$6:$G$56),0))*(AB535&gt;=IFERROR('Recurring Items'!$G$6:$G$56,9000000000))+('Recurring Items'!$E$6:$E$56="One-time")*(AB535='Recurring Items'!$G$6:$G$56)))</f>
        <v>0</v>
      </c>
      <c r="AE535" s="1" t="n">
        <f aca="false">SUMPRODUCT(('Recurring Items'!$C$6:$C$56="Expense")*('Recurring Items'!$H$6:$H$56&lt;&gt;"Skip")*IFERROR(N('Recurring Items'!$D$6:$D$56),0)*(('Recurring Items'!$E$6:$E$56="Monthly")*(DAY(AB535)='Recurring Items'!$F$6:$F$56)+('Recurring Items'!$E$6:$E$56="Bi-weekly")*(WEEKDAY(AB535)=IFERROR(WEEKDAY('Recurring Items'!$G$6:$G$56),0))*(MOD(AB535-IFERROR('Recurring Items'!$G$6:$G$56,0),14)=0)*(AB535&gt;=IFERROR('Recurring Items'!$G$6:$G$56,9000000000))+('Recurring Items'!$E$6:$E$56="Weekly")*(WEEKDAY(AB535)=IFERROR(WEEKDAY('Recurring Items'!$G$6:$G$56),0))*(AB535&gt;=IFERROR('Recurring Items'!$G$6:$G$56,9000000000))+('Recurring Items'!$E$6:$E$56="One-time")*(AB535='Recurring Items'!$G$6:$G$56)))</f>
        <v>141.16</v>
      </c>
      <c r="AF535" s="1" t="n">
        <f aca="false">(IF(AC535=1,'Debt Tracker'!$P$5&gt;0.01,INDEX('Debt Tracker'!$T$5:$AE$29,1,AC535-1)&gt;0.01))*('Recurring Items'!$H$8&lt;&gt;"Skip")*(DAY(AB535)='Recurring Items'!$F$8)*IFERROR(N('Recurring Items'!$D$8),0)+(IF(AC535=1,'Debt Tracker'!$P$6&gt;0.01,INDEX('Debt Tracker'!$T$5:$AE$29,2,AC535-1)&gt;0.01))*('Recurring Items'!$H$9&lt;&gt;"Skip")*(DAY(AB535)='Recurring Items'!$F$9)*IFERROR(N('Recurring Items'!$D$9),0)+(IF(AC535=1,'Debt Tracker'!$P$7&gt;0.01,INDEX('Debt Tracker'!$T$5:$AE$29,3,AC535-1)&gt;0.01))*('Recurring Items'!$H$10&lt;&gt;"Skip")*(DAY(AB535)='Recurring Items'!$F$10)*IFERROR(N('Recurring Items'!$D$10),0)+(IF(AC535=1,'Debt Tracker'!$P$8&gt;0.01,INDEX('Debt Tracker'!$T$5:$AE$29,4,AC535-1)&gt;0.01))*('Recurring Items'!$H$11&lt;&gt;"Skip")*(DAY(AB535)='Recurring Items'!$F$11)*IFERROR(N('Recurring Items'!$D$11),0)+(IF(AC535=1,'Debt Tracker'!$P$9&gt;0.01,INDEX('Debt Tracker'!$T$5:$AE$29,5,AC535-1)&gt;0.01))*('Recurring Items'!$H$12&lt;&gt;"Skip")*(DAY(AB535)='Recurring Items'!$F$12)*IFERROR(N('Recurring Items'!$D$12),0)+(IF(AC535=1,'Debt Tracker'!$P$10&gt;0.01,INDEX('Debt Tracker'!$T$5:$AE$29,6,AC535-1)&gt;0.01))*('Recurring Items'!$H$13&lt;&gt;"Skip")*(DAY(AB535)='Recurring Items'!$F$13)*IFERROR(N('Recurring Items'!$D$13),0)+(IF(AC535=1,'Debt Tracker'!$P$11&gt;0.01,INDEX('Debt Tracker'!$T$5:$AE$29,7,AC535-1)&gt;0.01))*('Recurring Items'!$H$14&lt;&gt;"Skip")*(DAY(AB535)='Recurring Items'!$F$14)*IFERROR(N('Recurring Items'!$D$14),0)+(IF(AC535=1,'Debt Tracker'!$P$12&gt;0.01,INDEX('Debt Tracker'!$T$5:$AE$29,8,AC535-1)&gt;0.01))*('Recurring Items'!$H$15&lt;&gt;"Skip")*(DAY(AB535)='Recurring Items'!$F$15)*IFERROR(N('Recurring Items'!$D$15),0)+(IF(AC535=1,'Debt Tracker'!$P$13&gt;0.01,INDEX('Debt Tracker'!$T$5:$AE$29,9,AC535-1)&gt;0.01))*('Recurring Items'!$H$16&lt;&gt;"Skip")*(DAY(AB535)='Recurring Items'!$F$16)*IFERROR(N('Recurring Items'!$D$16),0)+(IF(AC535=1,'Debt Tracker'!$P$14&gt;0.01,INDEX('Debt Tracker'!$T$5:$AE$29,10,AC535-1)&gt;0.01))*('Recurring Items'!$H$17&lt;&gt;"Skip")*(DAY(AB535)='Recurring Items'!$F$17)*IFERROR(N('Recurring Items'!$D$17),0)+(IF(AC535=1,'Debt Tracker'!$P$15&gt;0.01,INDEX('Debt Tracker'!$T$5:$AE$29,11,AC535-1)&gt;0.01))*('Recurring Items'!$H$18&lt;&gt;"Skip")*(DAY(AB535)='Recurring Items'!$F$18)*IFERROR(N('Recurring Items'!$D$18),0)+(IF(AC535=1,'Debt Tracker'!$P$16&gt;0.01,INDEX('Debt Tracker'!$T$5:$AE$29,12,AC535-1)&gt;0.01))*('Recurring Items'!$H$19&lt;&gt;"Skip")*(DAY(AB535)='Recurring Items'!$F$19)*IFERROR(N('Recurring Items'!$D$19),0)+(IF(AC535=1,'Debt Tracker'!$P$17&gt;0.01,INDEX('Debt Tracker'!$T$5:$AE$29,13,AC535-1)&gt;0.01))*('Recurring Items'!$H$20&lt;&gt;"Skip")*(DAY(AB535)='Recurring Items'!$F$20)*IFERROR(N('Recurring Items'!$D$20),0)+(IF(AC535=1,'Debt Tracker'!$P$18&gt;0.01,INDEX('Debt Tracker'!$T$5:$AE$29,14,AC535-1)&gt;0.01))*('Recurring Items'!$H$21&lt;&gt;"Skip")*(DAY(AB535)='Recurring Items'!$F$21)*IFERROR(N('Recurring Items'!$D$21),0)+(IF(AC535=1,'Debt Tracker'!$P$19&gt;0.01,INDEX('Debt Tracker'!$T$5:$AE$29,15,AC535-1)&gt;0.01))*('Recurring Items'!$H$22&lt;&gt;"Skip")*(DAY(AB535)='Recurring Items'!$F$22)*IFERROR(N('Recurring Items'!$D$22),0)+(IF(AC535=1,'Debt Tracker'!$P$20&gt;0.01,INDEX('Debt Tracker'!$T$5:$AE$29,16,AC535-1)&gt;0.01))*('Recurring Items'!$H$23&lt;&gt;"Skip")*(DAY(AB535)='Recurring Items'!$F$23)*IFERROR(N('Recurring Items'!$D$23),0)+(IF(AC535=1,'Debt Tracker'!$P$21&gt;0.01,INDEX('Debt Tracker'!$T$5:$AE$29,17,AC535-1)&gt;0.01))*('Recurring Items'!$H$24&lt;&gt;"Skip")*(DAY(AB535)='Recurring Items'!$F$24)*IFERROR(N('Recurring Items'!$D$24),0)+(IF(AC535=1,'Debt Tracker'!$P$22&gt;0.01,INDEX('Debt Tracker'!$T$5:$AE$29,18,AC535-1)&gt;0.01))*('Recurring Items'!$H$25&lt;&gt;"Skip")*(DAY(AB535)='Recurring Items'!$F$25)*IFERROR(N('Recurring Items'!$D$25),0)+(IF(AC535=1,'Debt Tracker'!$P$23&gt;0.01,INDEX('Debt Tracker'!$T$5:$AE$29,19,AC535-1)&gt;0.01))*('Recurring Items'!$H$26&lt;&gt;"Skip")*(DAY(AB535)='Recurring Items'!$F$26)*IFERROR(N('Recurring Items'!$D$26),0)+(IF(AC535=1,'Debt Tracker'!$P$24&gt;0.01,INDEX('Debt Tracker'!$T$5:$AE$29,20,AC535-1)&gt;0.01))*('Recurring Items'!$H$27&lt;&gt;"Skip")*(DAY(AB535)='Recurring Items'!$F$27)*IFERROR(N('Recurring Items'!$D$27),0)+(IF(AC535=1,'Debt Tracker'!$P$25&gt;0.01,INDEX('Debt Tracker'!$T$5:$AE$29,21,AC535-1)&gt;0.01))*('Recurring Items'!$H$28&lt;&gt;"Skip")*(DAY(AB535)='Recurring Items'!$F$28)*IFERROR(N('Recurring Items'!$D$28),0)+(IF(AC535=1,'Debt Tracker'!$P$26&gt;0.01,INDEX('Debt Tracker'!$T$5:$AE$29,22,AC535-1)&gt;0.01))*('Recurring Items'!$H$29&lt;&gt;"Skip")*(DAY(AB535)='Recurring Items'!$F$29)*IFERROR(N('Recurring Items'!$D$29),0)+(IF(AC535=1,'Debt Tracker'!$P$27&gt;0.01,INDEX('Debt Tracker'!$T$5:$AE$29,23,AC535-1)&gt;0.01))*('Recurring Items'!$H$30&lt;&gt;"Skip")*(DAY(AB535)='Recurring Items'!$F$30)*IFERROR(N('Recurring Items'!$D$30),0)+(IF(AC535=1,'Debt Tracker'!$P$28&gt;0.01,INDEX('Debt Tracker'!$T$5:$AE$29,24,AC535-1)&gt;0.01))*('Recurring Items'!$H$31&lt;&gt;"Skip")*(DAY(AB535)='Recurring Items'!$F$31)*IFERROR(N('Recurring Items'!$D$31),0)+(IF(AC535=1,'Debt Tracker'!$P$29&gt;0.01,INDEX('Debt Tracker'!$T$5:$AE$29,25,AC535-1)&gt;0.01))*('Recurring Items'!$H$32&lt;&gt;"Skip")*(DAY(AB535)='Recurring Items'!$F$32)*IFERROR(N('Recurring Items'!$D$32),0)</f>
        <v>0</v>
      </c>
      <c r="AG535" s="1" t="n">
        <f aca="false">AD535-AE535-AF535</f>
        <v>-141.16</v>
      </c>
      <c r="AH535" s="1" t="n">
        <f aca="false">AH534+AG535</f>
        <v>24355.11</v>
      </c>
    </row>
    <row r="536" customFormat="false" ht="15" hidden="false" customHeight="true" outlineLevel="0" collapsed="false">
      <c r="AA536" s="1" t="n">
        <v>336</v>
      </c>
      <c r="AB536" s="145" t="n">
        <f aca="false">$D$3+336</f>
        <v>46479</v>
      </c>
      <c r="AC536" s="1" t="n">
        <f aca="false">MIN(12,1+DATEDIF($D$3,AB536,"M"))</f>
        <v>12</v>
      </c>
      <c r="AD536" s="1" t="n">
        <f aca="false">SUMPRODUCT(('Recurring Items'!$C$6:$C$56="Income")*('Recurring Items'!$H$6:$H$56&lt;&gt;"Skip")*IFERROR(N('Recurring Items'!$D$6:$D$56),0)*(('Recurring Items'!$E$6:$E$56="Monthly")*(DAY(AB536)='Recurring Items'!$F$6:$F$56)+('Recurring Items'!$E$6:$E$56="Bi-weekly")*(WEEKDAY(AB536)=IFERROR(WEEKDAY('Recurring Items'!$G$6:$G$56),0))*(MOD(AB536-IFERROR('Recurring Items'!$G$6:$G$56,0),14)=0)*(AB536&gt;=IFERROR('Recurring Items'!$G$6:$G$56,9000000000))+('Recurring Items'!$E$6:$E$56="Weekly")*(WEEKDAY(AB536)=IFERROR(WEEKDAY('Recurring Items'!$G$6:$G$56),0))*(AB536&gt;=IFERROR('Recurring Items'!$G$6:$G$56,9000000000))+('Recurring Items'!$E$6:$E$56="One-time")*(AB536='Recurring Items'!$G$6:$G$56)))</f>
        <v>3819.79</v>
      </c>
      <c r="AE536" s="1" t="n">
        <f aca="false">SUMPRODUCT(('Recurring Items'!$C$6:$C$56="Expense")*('Recurring Items'!$H$6:$H$56&lt;&gt;"Skip")*IFERROR(N('Recurring Items'!$D$6:$D$56),0)*(('Recurring Items'!$E$6:$E$56="Monthly")*(DAY(AB536)='Recurring Items'!$F$6:$F$56)+('Recurring Items'!$E$6:$E$56="Bi-weekly")*(WEEKDAY(AB536)=IFERROR(WEEKDAY('Recurring Items'!$G$6:$G$56),0))*(MOD(AB536-IFERROR('Recurring Items'!$G$6:$G$56,0),14)=0)*(AB536&gt;=IFERROR('Recurring Items'!$G$6:$G$56,9000000000))+('Recurring Items'!$E$6:$E$56="Weekly")*(WEEKDAY(AB536)=IFERROR(WEEKDAY('Recurring Items'!$G$6:$G$56),0))*(AB536&gt;=IFERROR('Recurring Items'!$G$6:$G$56,9000000000))+('Recurring Items'!$E$6:$E$56="One-time")*(AB536='Recurring Items'!$G$6:$G$56)))</f>
        <v>460</v>
      </c>
      <c r="AF536" s="1" t="n">
        <f aca="false">(IF(AC536=1,'Debt Tracker'!$P$5&gt;0.01,INDEX('Debt Tracker'!$T$5:$AE$29,1,AC536-1)&gt;0.01))*('Recurring Items'!$H$8&lt;&gt;"Skip")*(DAY(AB536)='Recurring Items'!$F$8)*IFERROR(N('Recurring Items'!$D$8),0)+(IF(AC536=1,'Debt Tracker'!$P$6&gt;0.01,INDEX('Debt Tracker'!$T$5:$AE$29,2,AC536-1)&gt;0.01))*('Recurring Items'!$H$9&lt;&gt;"Skip")*(DAY(AB536)='Recurring Items'!$F$9)*IFERROR(N('Recurring Items'!$D$9),0)+(IF(AC536=1,'Debt Tracker'!$P$7&gt;0.01,INDEX('Debt Tracker'!$T$5:$AE$29,3,AC536-1)&gt;0.01))*('Recurring Items'!$H$10&lt;&gt;"Skip")*(DAY(AB536)='Recurring Items'!$F$10)*IFERROR(N('Recurring Items'!$D$10),0)+(IF(AC536=1,'Debt Tracker'!$P$8&gt;0.01,INDEX('Debt Tracker'!$T$5:$AE$29,4,AC536-1)&gt;0.01))*('Recurring Items'!$H$11&lt;&gt;"Skip")*(DAY(AB536)='Recurring Items'!$F$11)*IFERROR(N('Recurring Items'!$D$11),0)+(IF(AC536=1,'Debt Tracker'!$P$9&gt;0.01,INDEX('Debt Tracker'!$T$5:$AE$29,5,AC536-1)&gt;0.01))*('Recurring Items'!$H$12&lt;&gt;"Skip")*(DAY(AB536)='Recurring Items'!$F$12)*IFERROR(N('Recurring Items'!$D$12),0)+(IF(AC536=1,'Debt Tracker'!$P$10&gt;0.01,INDEX('Debt Tracker'!$T$5:$AE$29,6,AC536-1)&gt;0.01))*('Recurring Items'!$H$13&lt;&gt;"Skip")*(DAY(AB536)='Recurring Items'!$F$13)*IFERROR(N('Recurring Items'!$D$13),0)+(IF(AC536=1,'Debt Tracker'!$P$11&gt;0.01,INDEX('Debt Tracker'!$T$5:$AE$29,7,AC536-1)&gt;0.01))*('Recurring Items'!$H$14&lt;&gt;"Skip")*(DAY(AB536)='Recurring Items'!$F$14)*IFERROR(N('Recurring Items'!$D$14),0)+(IF(AC536=1,'Debt Tracker'!$P$12&gt;0.01,INDEX('Debt Tracker'!$T$5:$AE$29,8,AC536-1)&gt;0.01))*('Recurring Items'!$H$15&lt;&gt;"Skip")*(DAY(AB536)='Recurring Items'!$F$15)*IFERROR(N('Recurring Items'!$D$15),0)+(IF(AC536=1,'Debt Tracker'!$P$13&gt;0.01,INDEX('Debt Tracker'!$T$5:$AE$29,9,AC536-1)&gt;0.01))*('Recurring Items'!$H$16&lt;&gt;"Skip")*(DAY(AB536)='Recurring Items'!$F$16)*IFERROR(N('Recurring Items'!$D$16),0)+(IF(AC536=1,'Debt Tracker'!$P$14&gt;0.01,INDEX('Debt Tracker'!$T$5:$AE$29,10,AC536-1)&gt;0.01))*('Recurring Items'!$H$17&lt;&gt;"Skip")*(DAY(AB536)='Recurring Items'!$F$17)*IFERROR(N('Recurring Items'!$D$17),0)+(IF(AC536=1,'Debt Tracker'!$P$15&gt;0.01,INDEX('Debt Tracker'!$T$5:$AE$29,11,AC536-1)&gt;0.01))*('Recurring Items'!$H$18&lt;&gt;"Skip")*(DAY(AB536)='Recurring Items'!$F$18)*IFERROR(N('Recurring Items'!$D$18),0)+(IF(AC536=1,'Debt Tracker'!$P$16&gt;0.01,INDEX('Debt Tracker'!$T$5:$AE$29,12,AC536-1)&gt;0.01))*('Recurring Items'!$H$19&lt;&gt;"Skip")*(DAY(AB536)='Recurring Items'!$F$19)*IFERROR(N('Recurring Items'!$D$19),0)+(IF(AC536=1,'Debt Tracker'!$P$17&gt;0.01,INDEX('Debt Tracker'!$T$5:$AE$29,13,AC536-1)&gt;0.01))*('Recurring Items'!$H$20&lt;&gt;"Skip")*(DAY(AB536)='Recurring Items'!$F$20)*IFERROR(N('Recurring Items'!$D$20),0)+(IF(AC536=1,'Debt Tracker'!$P$18&gt;0.01,INDEX('Debt Tracker'!$T$5:$AE$29,14,AC536-1)&gt;0.01))*('Recurring Items'!$H$21&lt;&gt;"Skip")*(DAY(AB536)='Recurring Items'!$F$21)*IFERROR(N('Recurring Items'!$D$21),0)+(IF(AC536=1,'Debt Tracker'!$P$19&gt;0.01,INDEX('Debt Tracker'!$T$5:$AE$29,15,AC536-1)&gt;0.01))*('Recurring Items'!$H$22&lt;&gt;"Skip")*(DAY(AB536)='Recurring Items'!$F$22)*IFERROR(N('Recurring Items'!$D$22),0)+(IF(AC536=1,'Debt Tracker'!$P$20&gt;0.01,INDEX('Debt Tracker'!$T$5:$AE$29,16,AC536-1)&gt;0.01))*('Recurring Items'!$H$23&lt;&gt;"Skip")*(DAY(AB536)='Recurring Items'!$F$23)*IFERROR(N('Recurring Items'!$D$23),0)+(IF(AC536=1,'Debt Tracker'!$P$21&gt;0.01,INDEX('Debt Tracker'!$T$5:$AE$29,17,AC536-1)&gt;0.01))*('Recurring Items'!$H$24&lt;&gt;"Skip")*(DAY(AB536)='Recurring Items'!$F$24)*IFERROR(N('Recurring Items'!$D$24),0)+(IF(AC536=1,'Debt Tracker'!$P$22&gt;0.01,INDEX('Debt Tracker'!$T$5:$AE$29,18,AC536-1)&gt;0.01))*('Recurring Items'!$H$25&lt;&gt;"Skip")*(DAY(AB536)='Recurring Items'!$F$25)*IFERROR(N('Recurring Items'!$D$25),0)+(IF(AC536=1,'Debt Tracker'!$P$23&gt;0.01,INDEX('Debt Tracker'!$T$5:$AE$29,19,AC536-1)&gt;0.01))*('Recurring Items'!$H$26&lt;&gt;"Skip")*(DAY(AB536)='Recurring Items'!$F$26)*IFERROR(N('Recurring Items'!$D$26),0)+(IF(AC536=1,'Debt Tracker'!$P$24&gt;0.01,INDEX('Debt Tracker'!$T$5:$AE$29,20,AC536-1)&gt;0.01))*('Recurring Items'!$H$27&lt;&gt;"Skip")*(DAY(AB536)='Recurring Items'!$F$27)*IFERROR(N('Recurring Items'!$D$27),0)+(IF(AC536=1,'Debt Tracker'!$P$25&gt;0.01,INDEX('Debt Tracker'!$T$5:$AE$29,21,AC536-1)&gt;0.01))*('Recurring Items'!$H$28&lt;&gt;"Skip")*(DAY(AB536)='Recurring Items'!$F$28)*IFERROR(N('Recurring Items'!$D$28),0)+(IF(AC536=1,'Debt Tracker'!$P$26&gt;0.01,INDEX('Debt Tracker'!$T$5:$AE$29,22,AC536-1)&gt;0.01))*('Recurring Items'!$H$29&lt;&gt;"Skip")*(DAY(AB536)='Recurring Items'!$F$29)*IFERROR(N('Recurring Items'!$D$29),0)+(IF(AC536=1,'Debt Tracker'!$P$27&gt;0.01,INDEX('Debt Tracker'!$T$5:$AE$29,23,AC536-1)&gt;0.01))*('Recurring Items'!$H$30&lt;&gt;"Skip")*(DAY(AB536)='Recurring Items'!$F$30)*IFERROR(N('Recurring Items'!$D$30),0)+(IF(AC536=1,'Debt Tracker'!$P$28&gt;0.01,INDEX('Debt Tracker'!$T$5:$AE$29,24,AC536-1)&gt;0.01))*('Recurring Items'!$H$31&lt;&gt;"Skip")*(DAY(AB536)='Recurring Items'!$F$31)*IFERROR(N('Recurring Items'!$D$31),0)+(IF(AC536=1,'Debt Tracker'!$P$29&gt;0.01,INDEX('Debt Tracker'!$T$5:$AE$29,25,AC536-1)&gt;0.01))*('Recurring Items'!$H$32&lt;&gt;"Skip")*(DAY(AB536)='Recurring Items'!$F$32)*IFERROR(N('Recurring Items'!$D$32),0)</f>
        <v>1309.17</v>
      </c>
      <c r="AG536" s="1" t="n">
        <f aca="false">AD536-AE536-AF536</f>
        <v>2050.62</v>
      </c>
      <c r="AH536" s="1" t="n">
        <f aca="false">AH535+AG536</f>
        <v>26405.73</v>
      </c>
    </row>
    <row r="537" customFormat="false" ht="15" hidden="false" customHeight="true" outlineLevel="0" collapsed="false">
      <c r="AA537" s="1" t="n">
        <v>337</v>
      </c>
      <c r="AB537" s="145" t="n">
        <f aca="false">$D$3+337</f>
        <v>46480</v>
      </c>
      <c r="AC537" s="1" t="n">
        <f aca="false">MIN(12,1+DATEDIF($D$3,AB537,"M"))</f>
        <v>12</v>
      </c>
      <c r="AD537" s="1" t="n">
        <f aca="false">SUMPRODUCT(('Recurring Items'!$C$6:$C$56="Income")*('Recurring Items'!$H$6:$H$56&lt;&gt;"Skip")*IFERROR(N('Recurring Items'!$D$6:$D$56),0)*(('Recurring Items'!$E$6:$E$56="Monthly")*(DAY(AB537)='Recurring Items'!$F$6:$F$56)+('Recurring Items'!$E$6:$E$56="Bi-weekly")*(WEEKDAY(AB537)=IFERROR(WEEKDAY('Recurring Items'!$G$6:$G$56),0))*(MOD(AB537-IFERROR('Recurring Items'!$G$6:$G$56,0),14)=0)*(AB537&gt;=IFERROR('Recurring Items'!$G$6:$G$56,9000000000))+('Recurring Items'!$E$6:$E$56="Weekly")*(WEEKDAY(AB537)=IFERROR(WEEKDAY('Recurring Items'!$G$6:$G$56),0))*(AB537&gt;=IFERROR('Recurring Items'!$G$6:$G$56,9000000000))+('Recurring Items'!$E$6:$E$56="One-time")*(AB537='Recurring Items'!$G$6:$G$56)))</f>
        <v>0</v>
      </c>
      <c r="AE537" s="1" t="n">
        <f aca="false">SUMPRODUCT(('Recurring Items'!$C$6:$C$56="Expense")*('Recurring Items'!$H$6:$H$56&lt;&gt;"Skip")*IFERROR(N('Recurring Items'!$D$6:$D$56),0)*(('Recurring Items'!$E$6:$E$56="Monthly")*(DAY(AB537)='Recurring Items'!$F$6:$F$56)+('Recurring Items'!$E$6:$E$56="Bi-weekly")*(WEEKDAY(AB537)=IFERROR(WEEKDAY('Recurring Items'!$G$6:$G$56),0))*(MOD(AB537-IFERROR('Recurring Items'!$G$6:$G$56,0),14)=0)*(AB537&gt;=IFERROR('Recurring Items'!$G$6:$G$56,9000000000))+('Recurring Items'!$E$6:$E$56="Weekly")*(WEEKDAY(AB537)=IFERROR(WEEKDAY('Recurring Items'!$G$6:$G$56),0))*(AB537&gt;=IFERROR('Recurring Items'!$G$6:$G$56,9000000000))+('Recurring Items'!$E$6:$E$56="One-time")*(AB537='Recurring Items'!$G$6:$G$56)))</f>
        <v>927.53</v>
      </c>
      <c r="AF537" s="1" t="n">
        <f aca="false">(IF(AC537=1,'Debt Tracker'!$P$5&gt;0.01,INDEX('Debt Tracker'!$T$5:$AE$29,1,AC537-1)&gt;0.01))*('Recurring Items'!$H$8&lt;&gt;"Skip")*(DAY(AB537)='Recurring Items'!$F$8)*IFERROR(N('Recurring Items'!$D$8),0)+(IF(AC537=1,'Debt Tracker'!$P$6&gt;0.01,INDEX('Debt Tracker'!$T$5:$AE$29,2,AC537-1)&gt;0.01))*('Recurring Items'!$H$9&lt;&gt;"Skip")*(DAY(AB537)='Recurring Items'!$F$9)*IFERROR(N('Recurring Items'!$D$9),0)+(IF(AC537=1,'Debt Tracker'!$P$7&gt;0.01,INDEX('Debt Tracker'!$T$5:$AE$29,3,AC537-1)&gt;0.01))*('Recurring Items'!$H$10&lt;&gt;"Skip")*(DAY(AB537)='Recurring Items'!$F$10)*IFERROR(N('Recurring Items'!$D$10),0)+(IF(AC537=1,'Debt Tracker'!$P$8&gt;0.01,INDEX('Debt Tracker'!$T$5:$AE$29,4,AC537-1)&gt;0.01))*('Recurring Items'!$H$11&lt;&gt;"Skip")*(DAY(AB537)='Recurring Items'!$F$11)*IFERROR(N('Recurring Items'!$D$11),0)+(IF(AC537=1,'Debt Tracker'!$P$9&gt;0.01,INDEX('Debt Tracker'!$T$5:$AE$29,5,AC537-1)&gt;0.01))*('Recurring Items'!$H$12&lt;&gt;"Skip")*(DAY(AB537)='Recurring Items'!$F$12)*IFERROR(N('Recurring Items'!$D$12),0)+(IF(AC537=1,'Debt Tracker'!$P$10&gt;0.01,INDEX('Debt Tracker'!$T$5:$AE$29,6,AC537-1)&gt;0.01))*('Recurring Items'!$H$13&lt;&gt;"Skip")*(DAY(AB537)='Recurring Items'!$F$13)*IFERROR(N('Recurring Items'!$D$13),0)+(IF(AC537=1,'Debt Tracker'!$P$11&gt;0.01,INDEX('Debt Tracker'!$T$5:$AE$29,7,AC537-1)&gt;0.01))*('Recurring Items'!$H$14&lt;&gt;"Skip")*(DAY(AB537)='Recurring Items'!$F$14)*IFERROR(N('Recurring Items'!$D$14),0)+(IF(AC537=1,'Debt Tracker'!$P$12&gt;0.01,INDEX('Debt Tracker'!$T$5:$AE$29,8,AC537-1)&gt;0.01))*('Recurring Items'!$H$15&lt;&gt;"Skip")*(DAY(AB537)='Recurring Items'!$F$15)*IFERROR(N('Recurring Items'!$D$15),0)+(IF(AC537=1,'Debt Tracker'!$P$13&gt;0.01,INDEX('Debt Tracker'!$T$5:$AE$29,9,AC537-1)&gt;0.01))*('Recurring Items'!$H$16&lt;&gt;"Skip")*(DAY(AB537)='Recurring Items'!$F$16)*IFERROR(N('Recurring Items'!$D$16),0)+(IF(AC537=1,'Debt Tracker'!$P$14&gt;0.01,INDEX('Debt Tracker'!$T$5:$AE$29,10,AC537-1)&gt;0.01))*('Recurring Items'!$H$17&lt;&gt;"Skip")*(DAY(AB537)='Recurring Items'!$F$17)*IFERROR(N('Recurring Items'!$D$17),0)+(IF(AC537=1,'Debt Tracker'!$P$15&gt;0.01,INDEX('Debt Tracker'!$T$5:$AE$29,11,AC537-1)&gt;0.01))*('Recurring Items'!$H$18&lt;&gt;"Skip")*(DAY(AB537)='Recurring Items'!$F$18)*IFERROR(N('Recurring Items'!$D$18),0)+(IF(AC537=1,'Debt Tracker'!$P$16&gt;0.01,INDEX('Debt Tracker'!$T$5:$AE$29,12,AC537-1)&gt;0.01))*('Recurring Items'!$H$19&lt;&gt;"Skip")*(DAY(AB537)='Recurring Items'!$F$19)*IFERROR(N('Recurring Items'!$D$19),0)+(IF(AC537=1,'Debt Tracker'!$P$17&gt;0.01,INDEX('Debt Tracker'!$T$5:$AE$29,13,AC537-1)&gt;0.01))*('Recurring Items'!$H$20&lt;&gt;"Skip")*(DAY(AB537)='Recurring Items'!$F$20)*IFERROR(N('Recurring Items'!$D$20),0)+(IF(AC537=1,'Debt Tracker'!$P$18&gt;0.01,INDEX('Debt Tracker'!$T$5:$AE$29,14,AC537-1)&gt;0.01))*('Recurring Items'!$H$21&lt;&gt;"Skip")*(DAY(AB537)='Recurring Items'!$F$21)*IFERROR(N('Recurring Items'!$D$21),0)+(IF(AC537=1,'Debt Tracker'!$P$19&gt;0.01,INDEX('Debt Tracker'!$T$5:$AE$29,15,AC537-1)&gt;0.01))*('Recurring Items'!$H$22&lt;&gt;"Skip")*(DAY(AB537)='Recurring Items'!$F$22)*IFERROR(N('Recurring Items'!$D$22),0)+(IF(AC537=1,'Debt Tracker'!$P$20&gt;0.01,INDEX('Debt Tracker'!$T$5:$AE$29,16,AC537-1)&gt;0.01))*('Recurring Items'!$H$23&lt;&gt;"Skip")*(DAY(AB537)='Recurring Items'!$F$23)*IFERROR(N('Recurring Items'!$D$23),0)+(IF(AC537=1,'Debt Tracker'!$P$21&gt;0.01,INDEX('Debt Tracker'!$T$5:$AE$29,17,AC537-1)&gt;0.01))*('Recurring Items'!$H$24&lt;&gt;"Skip")*(DAY(AB537)='Recurring Items'!$F$24)*IFERROR(N('Recurring Items'!$D$24),0)+(IF(AC537=1,'Debt Tracker'!$P$22&gt;0.01,INDEX('Debt Tracker'!$T$5:$AE$29,18,AC537-1)&gt;0.01))*('Recurring Items'!$H$25&lt;&gt;"Skip")*(DAY(AB537)='Recurring Items'!$F$25)*IFERROR(N('Recurring Items'!$D$25),0)+(IF(AC537=1,'Debt Tracker'!$P$23&gt;0.01,INDEX('Debt Tracker'!$T$5:$AE$29,19,AC537-1)&gt;0.01))*('Recurring Items'!$H$26&lt;&gt;"Skip")*(DAY(AB537)='Recurring Items'!$F$26)*IFERROR(N('Recurring Items'!$D$26),0)+(IF(AC537=1,'Debt Tracker'!$P$24&gt;0.01,INDEX('Debt Tracker'!$T$5:$AE$29,20,AC537-1)&gt;0.01))*('Recurring Items'!$H$27&lt;&gt;"Skip")*(DAY(AB537)='Recurring Items'!$F$27)*IFERROR(N('Recurring Items'!$D$27),0)+(IF(AC537=1,'Debt Tracker'!$P$25&gt;0.01,INDEX('Debt Tracker'!$T$5:$AE$29,21,AC537-1)&gt;0.01))*('Recurring Items'!$H$28&lt;&gt;"Skip")*(DAY(AB537)='Recurring Items'!$F$28)*IFERROR(N('Recurring Items'!$D$28),0)+(IF(AC537=1,'Debt Tracker'!$P$26&gt;0.01,INDEX('Debt Tracker'!$T$5:$AE$29,22,AC537-1)&gt;0.01))*('Recurring Items'!$H$29&lt;&gt;"Skip")*(DAY(AB537)='Recurring Items'!$F$29)*IFERROR(N('Recurring Items'!$D$29),0)+(IF(AC537=1,'Debt Tracker'!$P$27&gt;0.01,INDEX('Debt Tracker'!$T$5:$AE$29,23,AC537-1)&gt;0.01))*('Recurring Items'!$H$30&lt;&gt;"Skip")*(DAY(AB537)='Recurring Items'!$F$30)*IFERROR(N('Recurring Items'!$D$30),0)+(IF(AC537=1,'Debt Tracker'!$P$28&gt;0.01,INDEX('Debt Tracker'!$T$5:$AE$29,24,AC537-1)&gt;0.01))*('Recurring Items'!$H$31&lt;&gt;"Skip")*(DAY(AB537)='Recurring Items'!$F$31)*IFERROR(N('Recurring Items'!$D$31),0)+(IF(AC537=1,'Debt Tracker'!$P$29&gt;0.01,INDEX('Debt Tracker'!$T$5:$AE$29,25,AC537-1)&gt;0.01))*('Recurring Items'!$H$32&lt;&gt;"Skip")*(DAY(AB537)='Recurring Items'!$F$32)*IFERROR(N('Recurring Items'!$D$32),0)</f>
        <v>0</v>
      </c>
      <c r="AG537" s="1" t="n">
        <f aca="false">AD537-AE537-AF537</f>
        <v>-927.53</v>
      </c>
      <c r="AH537" s="1" t="n">
        <f aca="false">AH536+AG537</f>
        <v>25478.2</v>
      </c>
    </row>
    <row r="538" customFormat="false" ht="15" hidden="false" customHeight="true" outlineLevel="0" collapsed="false">
      <c r="AA538" s="1" t="n">
        <v>338</v>
      </c>
      <c r="AB538" s="145" t="n">
        <f aca="false">$D$3+338</f>
        <v>46481</v>
      </c>
      <c r="AC538" s="1" t="n">
        <f aca="false">MIN(12,1+DATEDIF($D$3,AB538,"M"))</f>
        <v>12</v>
      </c>
      <c r="AD538" s="1" t="n">
        <f aca="false">SUMPRODUCT(('Recurring Items'!$C$6:$C$56="Income")*('Recurring Items'!$H$6:$H$56&lt;&gt;"Skip")*IFERROR(N('Recurring Items'!$D$6:$D$56),0)*(('Recurring Items'!$E$6:$E$56="Monthly")*(DAY(AB538)='Recurring Items'!$F$6:$F$56)+('Recurring Items'!$E$6:$E$56="Bi-weekly")*(WEEKDAY(AB538)=IFERROR(WEEKDAY('Recurring Items'!$G$6:$G$56),0))*(MOD(AB538-IFERROR('Recurring Items'!$G$6:$G$56,0),14)=0)*(AB538&gt;=IFERROR('Recurring Items'!$G$6:$G$56,9000000000))+('Recurring Items'!$E$6:$E$56="Weekly")*(WEEKDAY(AB538)=IFERROR(WEEKDAY('Recurring Items'!$G$6:$G$56),0))*(AB538&gt;=IFERROR('Recurring Items'!$G$6:$G$56,9000000000))+('Recurring Items'!$E$6:$E$56="One-time")*(AB538='Recurring Items'!$G$6:$G$56)))</f>
        <v>0</v>
      </c>
      <c r="AE538" s="1" t="n">
        <f aca="false">SUMPRODUCT(('Recurring Items'!$C$6:$C$56="Expense")*('Recurring Items'!$H$6:$H$56&lt;&gt;"Skip")*IFERROR(N('Recurring Items'!$D$6:$D$56),0)*(('Recurring Items'!$E$6:$E$56="Monthly")*(DAY(AB538)='Recurring Items'!$F$6:$F$56)+('Recurring Items'!$E$6:$E$56="Bi-weekly")*(WEEKDAY(AB538)=IFERROR(WEEKDAY('Recurring Items'!$G$6:$G$56),0))*(MOD(AB538-IFERROR('Recurring Items'!$G$6:$G$56,0),14)=0)*(AB538&gt;=IFERROR('Recurring Items'!$G$6:$G$56,9000000000))+('Recurring Items'!$E$6:$E$56="Weekly")*(WEEKDAY(AB538)=IFERROR(WEEKDAY('Recurring Items'!$G$6:$G$56),0))*(AB538&gt;=IFERROR('Recurring Items'!$G$6:$G$56,9000000000))+('Recurring Items'!$E$6:$E$56="One-time")*(AB538='Recurring Items'!$G$6:$G$56)))</f>
        <v>0</v>
      </c>
      <c r="AF538" s="1" t="n">
        <f aca="false">(IF(AC538=1,'Debt Tracker'!$P$5&gt;0.01,INDEX('Debt Tracker'!$T$5:$AE$29,1,AC538-1)&gt;0.01))*('Recurring Items'!$H$8&lt;&gt;"Skip")*(DAY(AB538)='Recurring Items'!$F$8)*IFERROR(N('Recurring Items'!$D$8),0)+(IF(AC538=1,'Debt Tracker'!$P$6&gt;0.01,INDEX('Debt Tracker'!$T$5:$AE$29,2,AC538-1)&gt;0.01))*('Recurring Items'!$H$9&lt;&gt;"Skip")*(DAY(AB538)='Recurring Items'!$F$9)*IFERROR(N('Recurring Items'!$D$9),0)+(IF(AC538=1,'Debt Tracker'!$P$7&gt;0.01,INDEX('Debt Tracker'!$T$5:$AE$29,3,AC538-1)&gt;0.01))*('Recurring Items'!$H$10&lt;&gt;"Skip")*(DAY(AB538)='Recurring Items'!$F$10)*IFERROR(N('Recurring Items'!$D$10),0)+(IF(AC538=1,'Debt Tracker'!$P$8&gt;0.01,INDEX('Debt Tracker'!$T$5:$AE$29,4,AC538-1)&gt;0.01))*('Recurring Items'!$H$11&lt;&gt;"Skip")*(DAY(AB538)='Recurring Items'!$F$11)*IFERROR(N('Recurring Items'!$D$11),0)+(IF(AC538=1,'Debt Tracker'!$P$9&gt;0.01,INDEX('Debt Tracker'!$T$5:$AE$29,5,AC538-1)&gt;0.01))*('Recurring Items'!$H$12&lt;&gt;"Skip")*(DAY(AB538)='Recurring Items'!$F$12)*IFERROR(N('Recurring Items'!$D$12),0)+(IF(AC538=1,'Debt Tracker'!$P$10&gt;0.01,INDEX('Debt Tracker'!$T$5:$AE$29,6,AC538-1)&gt;0.01))*('Recurring Items'!$H$13&lt;&gt;"Skip")*(DAY(AB538)='Recurring Items'!$F$13)*IFERROR(N('Recurring Items'!$D$13),0)+(IF(AC538=1,'Debt Tracker'!$P$11&gt;0.01,INDEX('Debt Tracker'!$T$5:$AE$29,7,AC538-1)&gt;0.01))*('Recurring Items'!$H$14&lt;&gt;"Skip")*(DAY(AB538)='Recurring Items'!$F$14)*IFERROR(N('Recurring Items'!$D$14),0)+(IF(AC538=1,'Debt Tracker'!$P$12&gt;0.01,INDEX('Debt Tracker'!$T$5:$AE$29,8,AC538-1)&gt;0.01))*('Recurring Items'!$H$15&lt;&gt;"Skip")*(DAY(AB538)='Recurring Items'!$F$15)*IFERROR(N('Recurring Items'!$D$15),0)+(IF(AC538=1,'Debt Tracker'!$P$13&gt;0.01,INDEX('Debt Tracker'!$T$5:$AE$29,9,AC538-1)&gt;0.01))*('Recurring Items'!$H$16&lt;&gt;"Skip")*(DAY(AB538)='Recurring Items'!$F$16)*IFERROR(N('Recurring Items'!$D$16),0)+(IF(AC538=1,'Debt Tracker'!$P$14&gt;0.01,INDEX('Debt Tracker'!$T$5:$AE$29,10,AC538-1)&gt;0.01))*('Recurring Items'!$H$17&lt;&gt;"Skip")*(DAY(AB538)='Recurring Items'!$F$17)*IFERROR(N('Recurring Items'!$D$17),0)+(IF(AC538=1,'Debt Tracker'!$P$15&gt;0.01,INDEX('Debt Tracker'!$T$5:$AE$29,11,AC538-1)&gt;0.01))*('Recurring Items'!$H$18&lt;&gt;"Skip")*(DAY(AB538)='Recurring Items'!$F$18)*IFERROR(N('Recurring Items'!$D$18),0)+(IF(AC538=1,'Debt Tracker'!$P$16&gt;0.01,INDEX('Debt Tracker'!$T$5:$AE$29,12,AC538-1)&gt;0.01))*('Recurring Items'!$H$19&lt;&gt;"Skip")*(DAY(AB538)='Recurring Items'!$F$19)*IFERROR(N('Recurring Items'!$D$19),0)+(IF(AC538=1,'Debt Tracker'!$P$17&gt;0.01,INDEX('Debt Tracker'!$T$5:$AE$29,13,AC538-1)&gt;0.01))*('Recurring Items'!$H$20&lt;&gt;"Skip")*(DAY(AB538)='Recurring Items'!$F$20)*IFERROR(N('Recurring Items'!$D$20),0)+(IF(AC538=1,'Debt Tracker'!$P$18&gt;0.01,INDEX('Debt Tracker'!$T$5:$AE$29,14,AC538-1)&gt;0.01))*('Recurring Items'!$H$21&lt;&gt;"Skip")*(DAY(AB538)='Recurring Items'!$F$21)*IFERROR(N('Recurring Items'!$D$21),0)+(IF(AC538=1,'Debt Tracker'!$P$19&gt;0.01,INDEX('Debt Tracker'!$T$5:$AE$29,15,AC538-1)&gt;0.01))*('Recurring Items'!$H$22&lt;&gt;"Skip")*(DAY(AB538)='Recurring Items'!$F$22)*IFERROR(N('Recurring Items'!$D$22),0)+(IF(AC538=1,'Debt Tracker'!$P$20&gt;0.01,INDEX('Debt Tracker'!$T$5:$AE$29,16,AC538-1)&gt;0.01))*('Recurring Items'!$H$23&lt;&gt;"Skip")*(DAY(AB538)='Recurring Items'!$F$23)*IFERROR(N('Recurring Items'!$D$23),0)+(IF(AC538=1,'Debt Tracker'!$P$21&gt;0.01,INDEX('Debt Tracker'!$T$5:$AE$29,17,AC538-1)&gt;0.01))*('Recurring Items'!$H$24&lt;&gt;"Skip")*(DAY(AB538)='Recurring Items'!$F$24)*IFERROR(N('Recurring Items'!$D$24),0)+(IF(AC538=1,'Debt Tracker'!$P$22&gt;0.01,INDEX('Debt Tracker'!$T$5:$AE$29,18,AC538-1)&gt;0.01))*('Recurring Items'!$H$25&lt;&gt;"Skip")*(DAY(AB538)='Recurring Items'!$F$25)*IFERROR(N('Recurring Items'!$D$25),0)+(IF(AC538=1,'Debt Tracker'!$P$23&gt;0.01,INDEX('Debt Tracker'!$T$5:$AE$29,19,AC538-1)&gt;0.01))*('Recurring Items'!$H$26&lt;&gt;"Skip")*(DAY(AB538)='Recurring Items'!$F$26)*IFERROR(N('Recurring Items'!$D$26),0)+(IF(AC538=1,'Debt Tracker'!$P$24&gt;0.01,INDEX('Debt Tracker'!$T$5:$AE$29,20,AC538-1)&gt;0.01))*('Recurring Items'!$H$27&lt;&gt;"Skip")*(DAY(AB538)='Recurring Items'!$F$27)*IFERROR(N('Recurring Items'!$D$27),0)+(IF(AC538=1,'Debt Tracker'!$P$25&gt;0.01,INDEX('Debt Tracker'!$T$5:$AE$29,21,AC538-1)&gt;0.01))*('Recurring Items'!$H$28&lt;&gt;"Skip")*(DAY(AB538)='Recurring Items'!$F$28)*IFERROR(N('Recurring Items'!$D$28),0)+(IF(AC538=1,'Debt Tracker'!$P$26&gt;0.01,INDEX('Debt Tracker'!$T$5:$AE$29,22,AC538-1)&gt;0.01))*('Recurring Items'!$H$29&lt;&gt;"Skip")*(DAY(AB538)='Recurring Items'!$F$29)*IFERROR(N('Recurring Items'!$D$29),0)+(IF(AC538=1,'Debt Tracker'!$P$27&gt;0.01,INDEX('Debt Tracker'!$T$5:$AE$29,23,AC538-1)&gt;0.01))*('Recurring Items'!$H$30&lt;&gt;"Skip")*(DAY(AB538)='Recurring Items'!$F$30)*IFERROR(N('Recurring Items'!$D$30),0)+(IF(AC538=1,'Debt Tracker'!$P$28&gt;0.01,INDEX('Debt Tracker'!$T$5:$AE$29,24,AC538-1)&gt;0.01))*('Recurring Items'!$H$31&lt;&gt;"Skip")*(DAY(AB538)='Recurring Items'!$F$31)*IFERROR(N('Recurring Items'!$D$31),0)+(IF(AC538=1,'Debt Tracker'!$P$29&gt;0.01,INDEX('Debt Tracker'!$T$5:$AE$29,25,AC538-1)&gt;0.01))*('Recurring Items'!$H$32&lt;&gt;"Skip")*(DAY(AB538)='Recurring Items'!$F$32)*IFERROR(N('Recurring Items'!$D$32),0)</f>
        <v>0</v>
      </c>
      <c r="AG538" s="1" t="n">
        <f aca="false">AD538-AE538-AF538</f>
        <v>0</v>
      </c>
      <c r="AH538" s="1" t="n">
        <f aca="false">AH537+AG538</f>
        <v>25478.2</v>
      </c>
    </row>
    <row r="539" customFormat="false" ht="15" hidden="false" customHeight="true" outlineLevel="0" collapsed="false">
      <c r="AA539" s="1" t="n">
        <v>339</v>
      </c>
      <c r="AB539" s="145" t="n">
        <f aca="false">$D$3+339</f>
        <v>46482</v>
      </c>
      <c r="AC539" s="1" t="n">
        <f aca="false">MIN(12,1+DATEDIF($D$3,AB539,"M"))</f>
        <v>12</v>
      </c>
      <c r="AD539" s="1" t="n">
        <f aca="false">SUMPRODUCT(('Recurring Items'!$C$6:$C$56="Income")*('Recurring Items'!$H$6:$H$56&lt;&gt;"Skip")*IFERROR(N('Recurring Items'!$D$6:$D$56),0)*(('Recurring Items'!$E$6:$E$56="Monthly")*(DAY(AB539)='Recurring Items'!$F$6:$F$56)+('Recurring Items'!$E$6:$E$56="Bi-weekly")*(WEEKDAY(AB539)=IFERROR(WEEKDAY('Recurring Items'!$G$6:$G$56),0))*(MOD(AB539-IFERROR('Recurring Items'!$G$6:$G$56,0),14)=0)*(AB539&gt;=IFERROR('Recurring Items'!$G$6:$G$56,9000000000))+('Recurring Items'!$E$6:$E$56="Weekly")*(WEEKDAY(AB539)=IFERROR(WEEKDAY('Recurring Items'!$G$6:$G$56),0))*(AB539&gt;=IFERROR('Recurring Items'!$G$6:$G$56,9000000000))+('Recurring Items'!$E$6:$E$56="One-time")*(AB539='Recurring Items'!$G$6:$G$56)))</f>
        <v>0</v>
      </c>
      <c r="AE539" s="1" t="n">
        <f aca="false">SUMPRODUCT(('Recurring Items'!$C$6:$C$56="Expense")*('Recurring Items'!$H$6:$H$56&lt;&gt;"Skip")*IFERROR(N('Recurring Items'!$D$6:$D$56),0)*(('Recurring Items'!$E$6:$E$56="Monthly")*(DAY(AB539)='Recurring Items'!$F$6:$F$56)+('Recurring Items'!$E$6:$E$56="Bi-weekly")*(WEEKDAY(AB539)=IFERROR(WEEKDAY('Recurring Items'!$G$6:$G$56),0))*(MOD(AB539-IFERROR('Recurring Items'!$G$6:$G$56,0),14)=0)*(AB539&gt;=IFERROR('Recurring Items'!$G$6:$G$56,9000000000))+('Recurring Items'!$E$6:$E$56="Weekly")*(WEEKDAY(AB539)=IFERROR(WEEKDAY('Recurring Items'!$G$6:$G$56),0))*(AB539&gt;=IFERROR('Recurring Items'!$G$6:$G$56,9000000000))+('Recurring Items'!$E$6:$E$56="One-time")*(AB539='Recurring Items'!$G$6:$G$56)))</f>
        <v>51.01</v>
      </c>
      <c r="AF539" s="1" t="n">
        <f aca="false">(IF(AC539=1,'Debt Tracker'!$P$5&gt;0.01,INDEX('Debt Tracker'!$T$5:$AE$29,1,AC539-1)&gt;0.01))*('Recurring Items'!$H$8&lt;&gt;"Skip")*(DAY(AB539)='Recurring Items'!$F$8)*IFERROR(N('Recurring Items'!$D$8),0)+(IF(AC539=1,'Debt Tracker'!$P$6&gt;0.01,INDEX('Debt Tracker'!$T$5:$AE$29,2,AC539-1)&gt;0.01))*('Recurring Items'!$H$9&lt;&gt;"Skip")*(DAY(AB539)='Recurring Items'!$F$9)*IFERROR(N('Recurring Items'!$D$9),0)+(IF(AC539=1,'Debt Tracker'!$P$7&gt;0.01,INDEX('Debt Tracker'!$T$5:$AE$29,3,AC539-1)&gt;0.01))*('Recurring Items'!$H$10&lt;&gt;"Skip")*(DAY(AB539)='Recurring Items'!$F$10)*IFERROR(N('Recurring Items'!$D$10),0)+(IF(AC539=1,'Debt Tracker'!$P$8&gt;0.01,INDEX('Debt Tracker'!$T$5:$AE$29,4,AC539-1)&gt;0.01))*('Recurring Items'!$H$11&lt;&gt;"Skip")*(DAY(AB539)='Recurring Items'!$F$11)*IFERROR(N('Recurring Items'!$D$11),0)+(IF(AC539=1,'Debt Tracker'!$P$9&gt;0.01,INDEX('Debt Tracker'!$T$5:$AE$29,5,AC539-1)&gt;0.01))*('Recurring Items'!$H$12&lt;&gt;"Skip")*(DAY(AB539)='Recurring Items'!$F$12)*IFERROR(N('Recurring Items'!$D$12),0)+(IF(AC539=1,'Debt Tracker'!$P$10&gt;0.01,INDEX('Debt Tracker'!$T$5:$AE$29,6,AC539-1)&gt;0.01))*('Recurring Items'!$H$13&lt;&gt;"Skip")*(DAY(AB539)='Recurring Items'!$F$13)*IFERROR(N('Recurring Items'!$D$13),0)+(IF(AC539=1,'Debt Tracker'!$P$11&gt;0.01,INDEX('Debt Tracker'!$T$5:$AE$29,7,AC539-1)&gt;0.01))*('Recurring Items'!$H$14&lt;&gt;"Skip")*(DAY(AB539)='Recurring Items'!$F$14)*IFERROR(N('Recurring Items'!$D$14),0)+(IF(AC539=1,'Debt Tracker'!$P$12&gt;0.01,INDEX('Debt Tracker'!$T$5:$AE$29,8,AC539-1)&gt;0.01))*('Recurring Items'!$H$15&lt;&gt;"Skip")*(DAY(AB539)='Recurring Items'!$F$15)*IFERROR(N('Recurring Items'!$D$15),0)+(IF(AC539=1,'Debt Tracker'!$P$13&gt;0.01,INDEX('Debt Tracker'!$T$5:$AE$29,9,AC539-1)&gt;0.01))*('Recurring Items'!$H$16&lt;&gt;"Skip")*(DAY(AB539)='Recurring Items'!$F$16)*IFERROR(N('Recurring Items'!$D$16),0)+(IF(AC539=1,'Debt Tracker'!$P$14&gt;0.01,INDEX('Debt Tracker'!$T$5:$AE$29,10,AC539-1)&gt;0.01))*('Recurring Items'!$H$17&lt;&gt;"Skip")*(DAY(AB539)='Recurring Items'!$F$17)*IFERROR(N('Recurring Items'!$D$17),0)+(IF(AC539=1,'Debt Tracker'!$P$15&gt;0.01,INDEX('Debt Tracker'!$T$5:$AE$29,11,AC539-1)&gt;0.01))*('Recurring Items'!$H$18&lt;&gt;"Skip")*(DAY(AB539)='Recurring Items'!$F$18)*IFERROR(N('Recurring Items'!$D$18),0)+(IF(AC539=1,'Debt Tracker'!$P$16&gt;0.01,INDEX('Debt Tracker'!$T$5:$AE$29,12,AC539-1)&gt;0.01))*('Recurring Items'!$H$19&lt;&gt;"Skip")*(DAY(AB539)='Recurring Items'!$F$19)*IFERROR(N('Recurring Items'!$D$19),0)+(IF(AC539=1,'Debt Tracker'!$P$17&gt;0.01,INDEX('Debt Tracker'!$T$5:$AE$29,13,AC539-1)&gt;0.01))*('Recurring Items'!$H$20&lt;&gt;"Skip")*(DAY(AB539)='Recurring Items'!$F$20)*IFERROR(N('Recurring Items'!$D$20),0)+(IF(AC539=1,'Debt Tracker'!$P$18&gt;0.01,INDEX('Debt Tracker'!$T$5:$AE$29,14,AC539-1)&gt;0.01))*('Recurring Items'!$H$21&lt;&gt;"Skip")*(DAY(AB539)='Recurring Items'!$F$21)*IFERROR(N('Recurring Items'!$D$21),0)+(IF(AC539=1,'Debt Tracker'!$P$19&gt;0.01,INDEX('Debt Tracker'!$T$5:$AE$29,15,AC539-1)&gt;0.01))*('Recurring Items'!$H$22&lt;&gt;"Skip")*(DAY(AB539)='Recurring Items'!$F$22)*IFERROR(N('Recurring Items'!$D$22),0)+(IF(AC539=1,'Debt Tracker'!$P$20&gt;0.01,INDEX('Debt Tracker'!$T$5:$AE$29,16,AC539-1)&gt;0.01))*('Recurring Items'!$H$23&lt;&gt;"Skip")*(DAY(AB539)='Recurring Items'!$F$23)*IFERROR(N('Recurring Items'!$D$23),0)+(IF(AC539=1,'Debt Tracker'!$P$21&gt;0.01,INDEX('Debt Tracker'!$T$5:$AE$29,17,AC539-1)&gt;0.01))*('Recurring Items'!$H$24&lt;&gt;"Skip")*(DAY(AB539)='Recurring Items'!$F$24)*IFERROR(N('Recurring Items'!$D$24),0)+(IF(AC539=1,'Debt Tracker'!$P$22&gt;0.01,INDEX('Debt Tracker'!$T$5:$AE$29,18,AC539-1)&gt;0.01))*('Recurring Items'!$H$25&lt;&gt;"Skip")*(DAY(AB539)='Recurring Items'!$F$25)*IFERROR(N('Recurring Items'!$D$25),0)+(IF(AC539=1,'Debt Tracker'!$P$23&gt;0.01,INDEX('Debt Tracker'!$T$5:$AE$29,19,AC539-1)&gt;0.01))*('Recurring Items'!$H$26&lt;&gt;"Skip")*(DAY(AB539)='Recurring Items'!$F$26)*IFERROR(N('Recurring Items'!$D$26),0)+(IF(AC539=1,'Debt Tracker'!$P$24&gt;0.01,INDEX('Debt Tracker'!$T$5:$AE$29,20,AC539-1)&gt;0.01))*('Recurring Items'!$H$27&lt;&gt;"Skip")*(DAY(AB539)='Recurring Items'!$F$27)*IFERROR(N('Recurring Items'!$D$27),0)+(IF(AC539=1,'Debt Tracker'!$P$25&gt;0.01,INDEX('Debt Tracker'!$T$5:$AE$29,21,AC539-1)&gt;0.01))*('Recurring Items'!$H$28&lt;&gt;"Skip")*(DAY(AB539)='Recurring Items'!$F$28)*IFERROR(N('Recurring Items'!$D$28),0)+(IF(AC539=1,'Debt Tracker'!$P$26&gt;0.01,INDEX('Debt Tracker'!$T$5:$AE$29,22,AC539-1)&gt;0.01))*('Recurring Items'!$H$29&lt;&gt;"Skip")*(DAY(AB539)='Recurring Items'!$F$29)*IFERROR(N('Recurring Items'!$D$29),0)+(IF(AC539=1,'Debt Tracker'!$P$27&gt;0.01,INDEX('Debt Tracker'!$T$5:$AE$29,23,AC539-1)&gt;0.01))*('Recurring Items'!$H$30&lt;&gt;"Skip")*(DAY(AB539)='Recurring Items'!$F$30)*IFERROR(N('Recurring Items'!$D$30),0)+(IF(AC539=1,'Debt Tracker'!$P$28&gt;0.01,INDEX('Debt Tracker'!$T$5:$AE$29,24,AC539-1)&gt;0.01))*('Recurring Items'!$H$31&lt;&gt;"Skip")*(DAY(AB539)='Recurring Items'!$F$31)*IFERROR(N('Recurring Items'!$D$31),0)+(IF(AC539=1,'Debt Tracker'!$P$29&gt;0.01,INDEX('Debt Tracker'!$T$5:$AE$29,25,AC539-1)&gt;0.01))*('Recurring Items'!$H$32&lt;&gt;"Skip")*(DAY(AB539)='Recurring Items'!$F$32)*IFERROR(N('Recurring Items'!$D$32),0)</f>
        <v>0</v>
      </c>
      <c r="AG539" s="1" t="n">
        <f aca="false">AD539-AE539-AF539</f>
        <v>-51.01</v>
      </c>
      <c r="AH539" s="1" t="n">
        <f aca="false">AH538+AG539</f>
        <v>25427.19</v>
      </c>
    </row>
    <row r="540" customFormat="false" ht="15" hidden="false" customHeight="true" outlineLevel="0" collapsed="false">
      <c r="AA540" s="1" t="n">
        <v>340</v>
      </c>
      <c r="AB540" s="145" t="n">
        <f aca="false">$D$3+340</f>
        <v>46483</v>
      </c>
      <c r="AC540" s="1" t="n">
        <f aca="false">MIN(12,1+DATEDIF($D$3,AB540,"M"))</f>
        <v>12</v>
      </c>
      <c r="AD540" s="1" t="n">
        <f aca="false">SUMPRODUCT(('Recurring Items'!$C$6:$C$56="Income")*('Recurring Items'!$H$6:$H$56&lt;&gt;"Skip")*IFERROR(N('Recurring Items'!$D$6:$D$56),0)*(('Recurring Items'!$E$6:$E$56="Monthly")*(DAY(AB540)='Recurring Items'!$F$6:$F$56)+('Recurring Items'!$E$6:$E$56="Bi-weekly")*(WEEKDAY(AB540)=IFERROR(WEEKDAY('Recurring Items'!$G$6:$G$56),0))*(MOD(AB540-IFERROR('Recurring Items'!$G$6:$G$56,0),14)=0)*(AB540&gt;=IFERROR('Recurring Items'!$G$6:$G$56,9000000000))+('Recurring Items'!$E$6:$E$56="Weekly")*(WEEKDAY(AB540)=IFERROR(WEEKDAY('Recurring Items'!$G$6:$G$56),0))*(AB540&gt;=IFERROR('Recurring Items'!$G$6:$G$56,9000000000))+('Recurring Items'!$E$6:$E$56="One-time")*(AB540='Recurring Items'!$G$6:$G$56)))</f>
        <v>0</v>
      </c>
      <c r="AE540" s="1" t="n">
        <f aca="false">SUMPRODUCT(('Recurring Items'!$C$6:$C$56="Expense")*('Recurring Items'!$H$6:$H$56&lt;&gt;"Skip")*IFERROR(N('Recurring Items'!$D$6:$D$56),0)*(('Recurring Items'!$E$6:$E$56="Monthly")*(DAY(AB540)='Recurring Items'!$F$6:$F$56)+('Recurring Items'!$E$6:$E$56="Bi-weekly")*(WEEKDAY(AB540)=IFERROR(WEEKDAY('Recurring Items'!$G$6:$G$56),0))*(MOD(AB540-IFERROR('Recurring Items'!$G$6:$G$56,0),14)=0)*(AB540&gt;=IFERROR('Recurring Items'!$G$6:$G$56,9000000000))+('Recurring Items'!$E$6:$E$56="Weekly")*(WEEKDAY(AB540)=IFERROR(WEEKDAY('Recurring Items'!$G$6:$G$56),0))*(AB540&gt;=IFERROR('Recurring Items'!$G$6:$G$56,9000000000))+('Recurring Items'!$E$6:$E$56="One-time")*(AB540='Recurring Items'!$G$6:$G$56)))</f>
        <v>651.55</v>
      </c>
      <c r="AF540" s="1" t="n">
        <f aca="false">(IF(AC540=1,'Debt Tracker'!$P$5&gt;0.01,INDEX('Debt Tracker'!$T$5:$AE$29,1,AC540-1)&gt;0.01))*('Recurring Items'!$H$8&lt;&gt;"Skip")*(DAY(AB540)='Recurring Items'!$F$8)*IFERROR(N('Recurring Items'!$D$8),0)+(IF(AC540=1,'Debt Tracker'!$P$6&gt;0.01,INDEX('Debt Tracker'!$T$5:$AE$29,2,AC540-1)&gt;0.01))*('Recurring Items'!$H$9&lt;&gt;"Skip")*(DAY(AB540)='Recurring Items'!$F$9)*IFERROR(N('Recurring Items'!$D$9),0)+(IF(AC540=1,'Debt Tracker'!$P$7&gt;0.01,INDEX('Debt Tracker'!$T$5:$AE$29,3,AC540-1)&gt;0.01))*('Recurring Items'!$H$10&lt;&gt;"Skip")*(DAY(AB540)='Recurring Items'!$F$10)*IFERROR(N('Recurring Items'!$D$10),0)+(IF(AC540=1,'Debt Tracker'!$P$8&gt;0.01,INDEX('Debt Tracker'!$T$5:$AE$29,4,AC540-1)&gt;0.01))*('Recurring Items'!$H$11&lt;&gt;"Skip")*(DAY(AB540)='Recurring Items'!$F$11)*IFERROR(N('Recurring Items'!$D$11),0)+(IF(AC540=1,'Debt Tracker'!$P$9&gt;0.01,INDEX('Debt Tracker'!$T$5:$AE$29,5,AC540-1)&gt;0.01))*('Recurring Items'!$H$12&lt;&gt;"Skip")*(DAY(AB540)='Recurring Items'!$F$12)*IFERROR(N('Recurring Items'!$D$12),0)+(IF(AC540=1,'Debt Tracker'!$P$10&gt;0.01,INDEX('Debt Tracker'!$T$5:$AE$29,6,AC540-1)&gt;0.01))*('Recurring Items'!$H$13&lt;&gt;"Skip")*(DAY(AB540)='Recurring Items'!$F$13)*IFERROR(N('Recurring Items'!$D$13),0)+(IF(AC540=1,'Debt Tracker'!$P$11&gt;0.01,INDEX('Debt Tracker'!$T$5:$AE$29,7,AC540-1)&gt;0.01))*('Recurring Items'!$H$14&lt;&gt;"Skip")*(DAY(AB540)='Recurring Items'!$F$14)*IFERROR(N('Recurring Items'!$D$14),0)+(IF(AC540=1,'Debt Tracker'!$P$12&gt;0.01,INDEX('Debt Tracker'!$T$5:$AE$29,8,AC540-1)&gt;0.01))*('Recurring Items'!$H$15&lt;&gt;"Skip")*(DAY(AB540)='Recurring Items'!$F$15)*IFERROR(N('Recurring Items'!$D$15),0)+(IF(AC540=1,'Debt Tracker'!$P$13&gt;0.01,INDEX('Debt Tracker'!$T$5:$AE$29,9,AC540-1)&gt;0.01))*('Recurring Items'!$H$16&lt;&gt;"Skip")*(DAY(AB540)='Recurring Items'!$F$16)*IFERROR(N('Recurring Items'!$D$16),0)+(IF(AC540=1,'Debt Tracker'!$P$14&gt;0.01,INDEX('Debt Tracker'!$T$5:$AE$29,10,AC540-1)&gt;0.01))*('Recurring Items'!$H$17&lt;&gt;"Skip")*(DAY(AB540)='Recurring Items'!$F$17)*IFERROR(N('Recurring Items'!$D$17),0)+(IF(AC540=1,'Debt Tracker'!$P$15&gt;0.01,INDEX('Debt Tracker'!$T$5:$AE$29,11,AC540-1)&gt;0.01))*('Recurring Items'!$H$18&lt;&gt;"Skip")*(DAY(AB540)='Recurring Items'!$F$18)*IFERROR(N('Recurring Items'!$D$18),0)+(IF(AC540=1,'Debt Tracker'!$P$16&gt;0.01,INDEX('Debt Tracker'!$T$5:$AE$29,12,AC540-1)&gt;0.01))*('Recurring Items'!$H$19&lt;&gt;"Skip")*(DAY(AB540)='Recurring Items'!$F$19)*IFERROR(N('Recurring Items'!$D$19),0)+(IF(AC540=1,'Debt Tracker'!$P$17&gt;0.01,INDEX('Debt Tracker'!$T$5:$AE$29,13,AC540-1)&gt;0.01))*('Recurring Items'!$H$20&lt;&gt;"Skip")*(DAY(AB540)='Recurring Items'!$F$20)*IFERROR(N('Recurring Items'!$D$20),0)+(IF(AC540=1,'Debt Tracker'!$P$18&gt;0.01,INDEX('Debt Tracker'!$T$5:$AE$29,14,AC540-1)&gt;0.01))*('Recurring Items'!$H$21&lt;&gt;"Skip")*(DAY(AB540)='Recurring Items'!$F$21)*IFERROR(N('Recurring Items'!$D$21),0)+(IF(AC540=1,'Debt Tracker'!$P$19&gt;0.01,INDEX('Debt Tracker'!$T$5:$AE$29,15,AC540-1)&gt;0.01))*('Recurring Items'!$H$22&lt;&gt;"Skip")*(DAY(AB540)='Recurring Items'!$F$22)*IFERROR(N('Recurring Items'!$D$22),0)+(IF(AC540=1,'Debt Tracker'!$P$20&gt;0.01,INDEX('Debt Tracker'!$T$5:$AE$29,16,AC540-1)&gt;0.01))*('Recurring Items'!$H$23&lt;&gt;"Skip")*(DAY(AB540)='Recurring Items'!$F$23)*IFERROR(N('Recurring Items'!$D$23),0)+(IF(AC540=1,'Debt Tracker'!$P$21&gt;0.01,INDEX('Debt Tracker'!$T$5:$AE$29,17,AC540-1)&gt;0.01))*('Recurring Items'!$H$24&lt;&gt;"Skip")*(DAY(AB540)='Recurring Items'!$F$24)*IFERROR(N('Recurring Items'!$D$24),0)+(IF(AC540=1,'Debt Tracker'!$P$22&gt;0.01,INDEX('Debt Tracker'!$T$5:$AE$29,18,AC540-1)&gt;0.01))*('Recurring Items'!$H$25&lt;&gt;"Skip")*(DAY(AB540)='Recurring Items'!$F$25)*IFERROR(N('Recurring Items'!$D$25),0)+(IF(AC540=1,'Debt Tracker'!$P$23&gt;0.01,INDEX('Debt Tracker'!$T$5:$AE$29,19,AC540-1)&gt;0.01))*('Recurring Items'!$H$26&lt;&gt;"Skip")*(DAY(AB540)='Recurring Items'!$F$26)*IFERROR(N('Recurring Items'!$D$26),0)+(IF(AC540=1,'Debt Tracker'!$P$24&gt;0.01,INDEX('Debt Tracker'!$T$5:$AE$29,20,AC540-1)&gt;0.01))*('Recurring Items'!$H$27&lt;&gt;"Skip")*(DAY(AB540)='Recurring Items'!$F$27)*IFERROR(N('Recurring Items'!$D$27),0)+(IF(AC540=1,'Debt Tracker'!$P$25&gt;0.01,INDEX('Debt Tracker'!$T$5:$AE$29,21,AC540-1)&gt;0.01))*('Recurring Items'!$H$28&lt;&gt;"Skip")*(DAY(AB540)='Recurring Items'!$F$28)*IFERROR(N('Recurring Items'!$D$28),0)+(IF(AC540=1,'Debt Tracker'!$P$26&gt;0.01,INDEX('Debt Tracker'!$T$5:$AE$29,22,AC540-1)&gt;0.01))*('Recurring Items'!$H$29&lt;&gt;"Skip")*(DAY(AB540)='Recurring Items'!$F$29)*IFERROR(N('Recurring Items'!$D$29),0)+(IF(AC540=1,'Debt Tracker'!$P$27&gt;0.01,INDEX('Debt Tracker'!$T$5:$AE$29,23,AC540-1)&gt;0.01))*('Recurring Items'!$H$30&lt;&gt;"Skip")*(DAY(AB540)='Recurring Items'!$F$30)*IFERROR(N('Recurring Items'!$D$30),0)+(IF(AC540=1,'Debt Tracker'!$P$28&gt;0.01,INDEX('Debt Tracker'!$T$5:$AE$29,24,AC540-1)&gt;0.01))*('Recurring Items'!$H$31&lt;&gt;"Skip")*(DAY(AB540)='Recurring Items'!$F$31)*IFERROR(N('Recurring Items'!$D$31),0)+(IF(AC540=1,'Debt Tracker'!$P$29&gt;0.01,INDEX('Debt Tracker'!$T$5:$AE$29,25,AC540-1)&gt;0.01))*('Recurring Items'!$H$32&lt;&gt;"Skip")*(DAY(AB540)='Recurring Items'!$F$32)*IFERROR(N('Recurring Items'!$D$32),0)</f>
        <v>0</v>
      </c>
      <c r="AG540" s="1" t="n">
        <f aca="false">AD540-AE540-AF540</f>
        <v>-651.55</v>
      </c>
      <c r="AH540" s="1" t="n">
        <f aca="false">AH539+AG540</f>
        <v>24775.64</v>
      </c>
    </row>
    <row r="541" customFormat="false" ht="15" hidden="false" customHeight="true" outlineLevel="0" collapsed="false">
      <c r="AA541" s="1" t="n">
        <v>341</v>
      </c>
      <c r="AB541" s="145" t="n">
        <f aca="false">$D$3+341</f>
        <v>46484</v>
      </c>
      <c r="AC541" s="1" t="n">
        <f aca="false">MIN(12,1+DATEDIF($D$3,AB541,"M"))</f>
        <v>12</v>
      </c>
      <c r="AD541" s="1" t="n">
        <f aca="false">SUMPRODUCT(('Recurring Items'!$C$6:$C$56="Income")*('Recurring Items'!$H$6:$H$56&lt;&gt;"Skip")*IFERROR(N('Recurring Items'!$D$6:$D$56),0)*(('Recurring Items'!$E$6:$E$56="Monthly")*(DAY(AB541)='Recurring Items'!$F$6:$F$56)+('Recurring Items'!$E$6:$E$56="Bi-weekly")*(WEEKDAY(AB541)=IFERROR(WEEKDAY('Recurring Items'!$G$6:$G$56),0))*(MOD(AB541-IFERROR('Recurring Items'!$G$6:$G$56,0),14)=0)*(AB541&gt;=IFERROR('Recurring Items'!$G$6:$G$56,9000000000))+('Recurring Items'!$E$6:$E$56="Weekly")*(WEEKDAY(AB541)=IFERROR(WEEKDAY('Recurring Items'!$G$6:$G$56),0))*(AB541&gt;=IFERROR('Recurring Items'!$G$6:$G$56,9000000000))+('Recurring Items'!$E$6:$E$56="One-time")*(AB541='Recurring Items'!$G$6:$G$56)))</f>
        <v>0</v>
      </c>
      <c r="AE541" s="1" t="n">
        <f aca="false">SUMPRODUCT(('Recurring Items'!$C$6:$C$56="Expense")*('Recurring Items'!$H$6:$H$56&lt;&gt;"Skip")*IFERROR(N('Recurring Items'!$D$6:$D$56),0)*(('Recurring Items'!$E$6:$E$56="Monthly")*(DAY(AB541)='Recurring Items'!$F$6:$F$56)+('Recurring Items'!$E$6:$E$56="Bi-weekly")*(WEEKDAY(AB541)=IFERROR(WEEKDAY('Recurring Items'!$G$6:$G$56),0))*(MOD(AB541-IFERROR('Recurring Items'!$G$6:$G$56,0),14)=0)*(AB541&gt;=IFERROR('Recurring Items'!$G$6:$G$56,9000000000))+('Recurring Items'!$E$6:$E$56="Weekly")*(WEEKDAY(AB541)=IFERROR(WEEKDAY('Recurring Items'!$G$6:$G$56),0))*(AB541&gt;=IFERROR('Recurring Items'!$G$6:$G$56,9000000000))+('Recurring Items'!$E$6:$E$56="One-time")*(AB541='Recurring Items'!$G$6:$G$56)))</f>
        <v>672.8</v>
      </c>
      <c r="AF541" s="1" t="n">
        <f aca="false">(IF(AC541=1,'Debt Tracker'!$P$5&gt;0.01,INDEX('Debt Tracker'!$T$5:$AE$29,1,AC541-1)&gt;0.01))*('Recurring Items'!$H$8&lt;&gt;"Skip")*(DAY(AB541)='Recurring Items'!$F$8)*IFERROR(N('Recurring Items'!$D$8),0)+(IF(AC541=1,'Debt Tracker'!$P$6&gt;0.01,INDEX('Debt Tracker'!$T$5:$AE$29,2,AC541-1)&gt;0.01))*('Recurring Items'!$H$9&lt;&gt;"Skip")*(DAY(AB541)='Recurring Items'!$F$9)*IFERROR(N('Recurring Items'!$D$9),0)+(IF(AC541=1,'Debt Tracker'!$P$7&gt;0.01,INDEX('Debt Tracker'!$T$5:$AE$29,3,AC541-1)&gt;0.01))*('Recurring Items'!$H$10&lt;&gt;"Skip")*(DAY(AB541)='Recurring Items'!$F$10)*IFERROR(N('Recurring Items'!$D$10),0)+(IF(AC541=1,'Debt Tracker'!$P$8&gt;0.01,INDEX('Debt Tracker'!$T$5:$AE$29,4,AC541-1)&gt;0.01))*('Recurring Items'!$H$11&lt;&gt;"Skip")*(DAY(AB541)='Recurring Items'!$F$11)*IFERROR(N('Recurring Items'!$D$11),0)+(IF(AC541=1,'Debt Tracker'!$P$9&gt;0.01,INDEX('Debt Tracker'!$T$5:$AE$29,5,AC541-1)&gt;0.01))*('Recurring Items'!$H$12&lt;&gt;"Skip")*(DAY(AB541)='Recurring Items'!$F$12)*IFERROR(N('Recurring Items'!$D$12),0)+(IF(AC541=1,'Debt Tracker'!$P$10&gt;0.01,INDEX('Debt Tracker'!$T$5:$AE$29,6,AC541-1)&gt;0.01))*('Recurring Items'!$H$13&lt;&gt;"Skip")*(DAY(AB541)='Recurring Items'!$F$13)*IFERROR(N('Recurring Items'!$D$13),0)+(IF(AC541=1,'Debt Tracker'!$P$11&gt;0.01,INDEX('Debt Tracker'!$T$5:$AE$29,7,AC541-1)&gt;0.01))*('Recurring Items'!$H$14&lt;&gt;"Skip")*(DAY(AB541)='Recurring Items'!$F$14)*IFERROR(N('Recurring Items'!$D$14),0)+(IF(AC541=1,'Debt Tracker'!$P$12&gt;0.01,INDEX('Debt Tracker'!$T$5:$AE$29,8,AC541-1)&gt;0.01))*('Recurring Items'!$H$15&lt;&gt;"Skip")*(DAY(AB541)='Recurring Items'!$F$15)*IFERROR(N('Recurring Items'!$D$15),0)+(IF(AC541=1,'Debt Tracker'!$P$13&gt;0.01,INDEX('Debt Tracker'!$T$5:$AE$29,9,AC541-1)&gt;0.01))*('Recurring Items'!$H$16&lt;&gt;"Skip")*(DAY(AB541)='Recurring Items'!$F$16)*IFERROR(N('Recurring Items'!$D$16),0)+(IF(AC541=1,'Debt Tracker'!$P$14&gt;0.01,INDEX('Debt Tracker'!$T$5:$AE$29,10,AC541-1)&gt;0.01))*('Recurring Items'!$H$17&lt;&gt;"Skip")*(DAY(AB541)='Recurring Items'!$F$17)*IFERROR(N('Recurring Items'!$D$17),0)+(IF(AC541=1,'Debt Tracker'!$P$15&gt;0.01,INDEX('Debt Tracker'!$T$5:$AE$29,11,AC541-1)&gt;0.01))*('Recurring Items'!$H$18&lt;&gt;"Skip")*(DAY(AB541)='Recurring Items'!$F$18)*IFERROR(N('Recurring Items'!$D$18),0)+(IF(AC541=1,'Debt Tracker'!$P$16&gt;0.01,INDEX('Debt Tracker'!$T$5:$AE$29,12,AC541-1)&gt;0.01))*('Recurring Items'!$H$19&lt;&gt;"Skip")*(DAY(AB541)='Recurring Items'!$F$19)*IFERROR(N('Recurring Items'!$D$19),0)+(IF(AC541=1,'Debt Tracker'!$P$17&gt;0.01,INDEX('Debt Tracker'!$T$5:$AE$29,13,AC541-1)&gt;0.01))*('Recurring Items'!$H$20&lt;&gt;"Skip")*(DAY(AB541)='Recurring Items'!$F$20)*IFERROR(N('Recurring Items'!$D$20),0)+(IF(AC541=1,'Debt Tracker'!$P$18&gt;0.01,INDEX('Debt Tracker'!$T$5:$AE$29,14,AC541-1)&gt;0.01))*('Recurring Items'!$H$21&lt;&gt;"Skip")*(DAY(AB541)='Recurring Items'!$F$21)*IFERROR(N('Recurring Items'!$D$21),0)+(IF(AC541=1,'Debt Tracker'!$P$19&gt;0.01,INDEX('Debt Tracker'!$T$5:$AE$29,15,AC541-1)&gt;0.01))*('Recurring Items'!$H$22&lt;&gt;"Skip")*(DAY(AB541)='Recurring Items'!$F$22)*IFERROR(N('Recurring Items'!$D$22),0)+(IF(AC541=1,'Debt Tracker'!$P$20&gt;0.01,INDEX('Debt Tracker'!$T$5:$AE$29,16,AC541-1)&gt;0.01))*('Recurring Items'!$H$23&lt;&gt;"Skip")*(DAY(AB541)='Recurring Items'!$F$23)*IFERROR(N('Recurring Items'!$D$23),0)+(IF(AC541=1,'Debt Tracker'!$P$21&gt;0.01,INDEX('Debt Tracker'!$T$5:$AE$29,17,AC541-1)&gt;0.01))*('Recurring Items'!$H$24&lt;&gt;"Skip")*(DAY(AB541)='Recurring Items'!$F$24)*IFERROR(N('Recurring Items'!$D$24),0)+(IF(AC541=1,'Debt Tracker'!$P$22&gt;0.01,INDEX('Debt Tracker'!$T$5:$AE$29,18,AC541-1)&gt;0.01))*('Recurring Items'!$H$25&lt;&gt;"Skip")*(DAY(AB541)='Recurring Items'!$F$25)*IFERROR(N('Recurring Items'!$D$25),0)+(IF(AC541=1,'Debt Tracker'!$P$23&gt;0.01,INDEX('Debt Tracker'!$T$5:$AE$29,19,AC541-1)&gt;0.01))*('Recurring Items'!$H$26&lt;&gt;"Skip")*(DAY(AB541)='Recurring Items'!$F$26)*IFERROR(N('Recurring Items'!$D$26),0)+(IF(AC541=1,'Debt Tracker'!$P$24&gt;0.01,INDEX('Debt Tracker'!$T$5:$AE$29,20,AC541-1)&gt;0.01))*('Recurring Items'!$H$27&lt;&gt;"Skip")*(DAY(AB541)='Recurring Items'!$F$27)*IFERROR(N('Recurring Items'!$D$27),0)+(IF(AC541=1,'Debt Tracker'!$P$25&gt;0.01,INDEX('Debt Tracker'!$T$5:$AE$29,21,AC541-1)&gt;0.01))*('Recurring Items'!$H$28&lt;&gt;"Skip")*(DAY(AB541)='Recurring Items'!$F$28)*IFERROR(N('Recurring Items'!$D$28),0)+(IF(AC541=1,'Debt Tracker'!$P$26&gt;0.01,INDEX('Debt Tracker'!$T$5:$AE$29,22,AC541-1)&gt;0.01))*('Recurring Items'!$H$29&lt;&gt;"Skip")*(DAY(AB541)='Recurring Items'!$F$29)*IFERROR(N('Recurring Items'!$D$29),0)+(IF(AC541=1,'Debt Tracker'!$P$27&gt;0.01,INDEX('Debt Tracker'!$T$5:$AE$29,23,AC541-1)&gt;0.01))*('Recurring Items'!$H$30&lt;&gt;"Skip")*(DAY(AB541)='Recurring Items'!$F$30)*IFERROR(N('Recurring Items'!$D$30),0)+(IF(AC541=1,'Debt Tracker'!$P$28&gt;0.01,INDEX('Debt Tracker'!$T$5:$AE$29,24,AC541-1)&gt;0.01))*('Recurring Items'!$H$31&lt;&gt;"Skip")*(DAY(AB541)='Recurring Items'!$F$31)*IFERROR(N('Recurring Items'!$D$31),0)+(IF(AC541=1,'Debt Tracker'!$P$29&gt;0.01,INDEX('Debt Tracker'!$T$5:$AE$29,25,AC541-1)&gt;0.01))*('Recurring Items'!$H$32&lt;&gt;"Skip")*(DAY(AB541)='Recurring Items'!$F$32)*IFERROR(N('Recurring Items'!$D$32),0)</f>
        <v>0</v>
      </c>
      <c r="AG541" s="1" t="n">
        <f aca="false">AD541-AE541-AF541</f>
        <v>-672.8</v>
      </c>
      <c r="AH541" s="1" t="n">
        <f aca="false">AH540+AG541</f>
        <v>24102.84</v>
      </c>
    </row>
    <row r="542" customFormat="false" ht="15" hidden="false" customHeight="true" outlineLevel="0" collapsed="false">
      <c r="AA542" s="1" t="n">
        <v>342</v>
      </c>
      <c r="AB542" s="145" t="n">
        <f aca="false">$D$3+342</f>
        <v>46485</v>
      </c>
      <c r="AC542" s="1" t="n">
        <f aca="false">MIN(12,1+DATEDIF($D$3,AB542,"M"))</f>
        <v>12</v>
      </c>
      <c r="AD542" s="1" t="n">
        <f aca="false">SUMPRODUCT(('Recurring Items'!$C$6:$C$56="Income")*('Recurring Items'!$H$6:$H$56&lt;&gt;"Skip")*IFERROR(N('Recurring Items'!$D$6:$D$56),0)*(('Recurring Items'!$E$6:$E$56="Monthly")*(DAY(AB542)='Recurring Items'!$F$6:$F$56)+('Recurring Items'!$E$6:$E$56="Bi-weekly")*(WEEKDAY(AB542)=IFERROR(WEEKDAY('Recurring Items'!$G$6:$G$56),0))*(MOD(AB542-IFERROR('Recurring Items'!$G$6:$G$56,0),14)=0)*(AB542&gt;=IFERROR('Recurring Items'!$G$6:$G$56,9000000000))+('Recurring Items'!$E$6:$E$56="Weekly")*(WEEKDAY(AB542)=IFERROR(WEEKDAY('Recurring Items'!$G$6:$G$56),0))*(AB542&gt;=IFERROR('Recurring Items'!$G$6:$G$56,9000000000))+('Recurring Items'!$E$6:$E$56="One-time")*(AB542='Recurring Items'!$G$6:$G$56)))</f>
        <v>2274.42</v>
      </c>
      <c r="AE542" s="1" t="n">
        <f aca="false">SUMPRODUCT(('Recurring Items'!$C$6:$C$56="Expense")*('Recurring Items'!$H$6:$H$56&lt;&gt;"Skip")*IFERROR(N('Recurring Items'!$D$6:$D$56),0)*(('Recurring Items'!$E$6:$E$56="Monthly")*(DAY(AB542)='Recurring Items'!$F$6:$F$56)+('Recurring Items'!$E$6:$E$56="Bi-weekly")*(WEEKDAY(AB542)=IFERROR(WEEKDAY('Recurring Items'!$G$6:$G$56),0))*(MOD(AB542-IFERROR('Recurring Items'!$G$6:$G$56,0),14)=0)*(AB542&gt;=IFERROR('Recurring Items'!$G$6:$G$56,9000000000))+('Recurring Items'!$E$6:$E$56="Weekly")*(WEEKDAY(AB542)=IFERROR(WEEKDAY('Recurring Items'!$G$6:$G$56),0))*(AB542&gt;=IFERROR('Recurring Items'!$G$6:$G$56,9000000000))+('Recurring Items'!$E$6:$E$56="One-time")*(AB542='Recurring Items'!$G$6:$G$56)))</f>
        <v>53.85</v>
      </c>
      <c r="AF542" s="1" t="n">
        <f aca="false">(IF(AC542=1,'Debt Tracker'!$P$5&gt;0.01,INDEX('Debt Tracker'!$T$5:$AE$29,1,AC542-1)&gt;0.01))*('Recurring Items'!$H$8&lt;&gt;"Skip")*(DAY(AB542)='Recurring Items'!$F$8)*IFERROR(N('Recurring Items'!$D$8),0)+(IF(AC542=1,'Debt Tracker'!$P$6&gt;0.01,INDEX('Debt Tracker'!$T$5:$AE$29,2,AC542-1)&gt;0.01))*('Recurring Items'!$H$9&lt;&gt;"Skip")*(DAY(AB542)='Recurring Items'!$F$9)*IFERROR(N('Recurring Items'!$D$9),0)+(IF(AC542=1,'Debt Tracker'!$P$7&gt;0.01,INDEX('Debt Tracker'!$T$5:$AE$29,3,AC542-1)&gt;0.01))*('Recurring Items'!$H$10&lt;&gt;"Skip")*(DAY(AB542)='Recurring Items'!$F$10)*IFERROR(N('Recurring Items'!$D$10),0)+(IF(AC542=1,'Debt Tracker'!$P$8&gt;0.01,INDEX('Debt Tracker'!$T$5:$AE$29,4,AC542-1)&gt;0.01))*('Recurring Items'!$H$11&lt;&gt;"Skip")*(DAY(AB542)='Recurring Items'!$F$11)*IFERROR(N('Recurring Items'!$D$11),0)+(IF(AC542=1,'Debt Tracker'!$P$9&gt;0.01,INDEX('Debt Tracker'!$T$5:$AE$29,5,AC542-1)&gt;0.01))*('Recurring Items'!$H$12&lt;&gt;"Skip")*(DAY(AB542)='Recurring Items'!$F$12)*IFERROR(N('Recurring Items'!$D$12),0)+(IF(AC542=1,'Debt Tracker'!$P$10&gt;0.01,INDEX('Debt Tracker'!$T$5:$AE$29,6,AC542-1)&gt;0.01))*('Recurring Items'!$H$13&lt;&gt;"Skip")*(DAY(AB542)='Recurring Items'!$F$13)*IFERROR(N('Recurring Items'!$D$13),0)+(IF(AC542=1,'Debt Tracker'!$P$11&gt;0.01,INDEX('Debt Tracker'!$T$5:$AE$29,7,AC542-1)&gt;0.01))*('Recurring Items'!$H$14&lt;&gt;"Skip")*(DAY(AB542)='Recurring Items'!$F$14)*IFERROR(N('Recurring Items'!$D$14),0)+(IF(AC542=1,'Debt Tracker'!$P$12&gt;0.01,INDEX('Debt Tracker'!$T$5:$AE$29,8,AC542-1)&gt;0.01))*('Recurring Items'!$H$15&lt;&gt;"Skip")*(DAY(AB542)='Recurring Items'!$F$15)*IFERROR(N('Recurring Items'!$D$15),0)+(IF(AC542=1,'Debt Tracker'!$P$13&gt;0.01,INDEX('Debt Tracker'!$T$5:$AE$29,9,AC542-1)&gt;0.01))*('Recurring Items'!$H$16&lt;&gt;"Skip")*(DAY(AB542)='Recurring Items'!$F$16)*IFERROR(N('Recurring Items'!$D$16),0)+(IF(AC542=1,'Debt Tracker'!$P$14&gt;0.01,INDEX('Debt Tracker'!$T$5:$AE$29,10,AC542-1)&gt;0.01))*('Recurring Items'!$H$17&lt;&gt;"Skip")*(DAY(AB542)='Recurring Items'!$F$17)*IFERROR(N('Recurring Items'!$D$17),0)+(IF(AC542=1,'Debt Tracker'!$P$15&gt;0.01,INDEX('Debt Tracker'!$T$5:$AE$29,11,AC542-1)&gt;0.01))*('Recurring Items'!$H$18&lt;&gt;"Skip")*(DAY(AB542)='Recurring Items'!$F$18)*IFERROR(N('Recurring Items'!$D$18),0)+(IF(AC542=1,'Debt Tracker'!$P$16&gt;0.01,INDEX('Debt Tracker'!$T$5:$AE$29,12,AC542-1)&gt;0.01))*('Recurring Items'!$H$19&lt;&gt;"Skip")*(DAY(AB542)='Recurring Items'!$F$19)*IFERROR(N('Recurring Items'!$D$19),0)+(IF(AC542=1,'Debt Tracker'!$P$17&gt;0.01,INDEX('Debt Tracker'!$T$5:$AE$29,13,AC542-1)&gt;0.01))*('Recurring Items'!$H$20&lt;&gt;"Skip")*(DAY(AB542)='Recurring Items'!$F$20)*IFERROR(N('Recurring Items'!$D$20),0)+(IF(AC542=1,'Debt Tracker'!$P$18&gt;0.01,INDEX('Debt Tracker'!$T$5:$AE$29,14,AC542-1)&gt;0.01))*('Recurring Items'!$H$21&lt;&gt;"Skip")*(DAY(AB542)='Recurring Items'!$F$21)*IFERROR(N('Recurring Items'!$D$21),0)+(IF(AC542=1,'Debt Tracker'!$P$19&gt;0.01,INDEX('Debt Tracker'!$T$5:$AE$29,15,AC542-1)&gt;0.01))*('Recurring Items'!$H$22&lt;&gt;"Skip")*(DAY(AB542)='Recurring Items'!$F$22)*IFERROR(N('Recurring Items'!$D$22),0)+(IF(AC542=1,'Debt Tracker'!$P$20&gt;0.01,INDEX('Debt Tracker'!$T$5:$AE$29,16,AC542-1)&gt;0.01))*('Recurring Items'!$H$23&lt;&gt;"Skip")*(DAY(AB542)='Recurring Items'!$F$23)*IFERROR(N('Recurring Items'!$D$23),0)+(IF(AC542=1,'Debt Tracker'!$P$21&gt;0.01,INDEX('Debt Tracker'!$T$5:$AE$29,17,AC542-1)&gt;0.01))*('Recurring Items'!$H$24&lt;&gt;"Skip")*(DAY(AB542)='Recurring Items'!$F$24)*IFERROR(N('Recurring Items'!$D$24),0)+(IF(AC542=1,'Debt Tracker'!$P$22&gt;0.01,INDEX('Debt Tracker'!$T$5:$AE$29,18,AC542-1)&gt;0.01))*('Recurring Items'!$H$25&lt;&gt;"Skip")*(DAY(AB542)='Recurring Items'!$F$25)*IFERROR(N('Recurring Items'!$D$25),0)+(IF(AC542=1,'Debt Tracker'!$P$23&gt;0.01,INDEX('Debt Tracker'!$T$5:$AE$29,19,AC542-1)&gt;0.01))*('Recurring Items'!$H$26&lt;&gt;"Skip")*(DAY(AB542)='Recurring Items'!$F$26)*IFERROR(N('Recurring Items'!$D$26),0)+(IF(AC542=1,'Debt Tracker'!$P$24&gt;0.01,INDEX('Debt Tracker'!$T$5:$AE$29,20,AC542-1)&gt;0.01))*('Recurring Items'!$H$27&lt;&gt;"Skip")*(DAY(AB542)='Recurring Items'!$F$27)*IFERROR(N('Recurring Items'!$D$27),0)+(IF(AC542=1,'Debt Tracker'!$P$25&gt;0.01,INDEX('Debt Tracker'!$T$5:$AE$29,21,AC542-1)&gt;0.01))*('Recurring Items'!$H$28&lt;&gt;"Skip")*(DAY(AB542)='Recurring Items'!$F$28)*IFERROR(N('Recurring Items'!$D$28),0)+(IF(AC542=1,'Debt Tracker'!$P$26&gt;0.01,INDEX('Debt Tracker'!$T$5:$AE$29,22,AC542-1)&gt;0.01))*('Recurring Items'!$H$29&lt;&gt;"Skip")*(DAY(AB542)='Recurring Items'!$F$29)*IFERROR(N('Recurring Items'!$D$29),0)+(IF(AC542=1,'Debt Tracker'!$P$27&gt;0.01,INDEX('Debt Tracker'!$T$5:$AE$29,23,AC542-1)&gt;0.01))*('Recurring Items'!$H$30&lt;&gt;"Skip")*(DAY(AB542)='Recurring Items'!$F$30)*IFERROR(N('Recurring Items'!$D$30),0)+(IF(AC542=1,'Debt Tracker'!$P$28&gt;0.01,INDEX('Debt Tracker'!$T$5:$AE$29,24,AC542-1)&gt;0.01))*('Recurring Items'!$H$31&lt;&gt;"Skip")*(DAY(AB542)='Recurring Items'!$F$31)*IFERROR(N('Recurring Items'!$D$31),0)+(IF(AC542=1,'Debt Tracker'!$P$29&gt;0.01,INDEX('Debt Tracker'!$T$5:$AE$29,25,AC542-1)&gt;0.01))*('Recurring Items'!$H$32&lt;&gt;"Skip")*(DAY(AB542)='Recurring Items'!$F$32)*IFERROR(N('Recurring Items'!$D$32),0)</f>
        <v>0</v>
      </c>
      <c r="AG542" s="1" t="n">
        <f aca="false">AD542-AE542-AF542</f>
        <v>2220.57</v>
      </c>
      <c r="AH542" s="1" t="n">
        <f aca="false">AH541+AG542</f>
        <v>26323.41</v>
      </c>
    </row>
    <row r="543" customFormat="false" ht="15" hidden="false" customHeight="true" outlineLevel="0" collapsed="false">
      <c r="AA543" s="1" t="n">
        <v>343</v>
      </c>
      <c r="AB543" s="145" t="n">
        <f aca="false">$D$3+343</f>
        <v>46486</v>
      </c>
      <c r="AC543" s="1" t="n">
        <f aca="false">MIN(12,1+DATEDIF($D$3,AB543,"M"))</f>
        <v>12</v>
      </c>
      <c r="AD543" s="1" t="n">
        <f aca="false">SUMPRODUCT(('Recurring Items'!$C$6:$C$56="Income")*('Recurring Items'!$H$6:$H$56&lt;&gt;"Skip")*IFERROR(N('Recurring Items'!$D$6:$D$56),0)*(('Recurring Items'!$E$6:$E$56="Monthly")*(DAY(AB543)='Recurring Items'!$F$6:$F$56)+('Recurring Items'!$E$6:$E$56="Bi-weekly")*(WEEKDAY(AB543)=IFERROR(WEEKDAY('Recurring Items'!$G$6:$G$56),0))*(MOD(AB543-IFERROR('Recurring Items'!$G$6:$G$56,0),14)=0)*(AB543&gt;=IFERROR('Recurring Items'!$G$6:$G$56,9000000000))+('Recurring Items'!$E$6:$E$56="Weekly")*(WEEKDAY(AB543)=IFERROR(WEEKDAY('Recurring Items'!$G$6:$G$56),0))*(AB543&gt;=IFERROR('Recurring Items'!$G$6:$G$56,9000000000))+('Recurring Items'!$E$6:$E$56="One-time")*(AB543='Recurring Items'!$G$6:$G$56)))</f>
        <v>0</v>
      </c>
      <c r="AE543" s="1" t="n">
        <f aca="false">SUMPRODUCT(('Recurring Items'!$C$6:$C$56="Expense")*('Recurring Items'!$H$6:$H$56&lt;&gt;"Skip")*IFERROR(N('Recurring Items'!$D$6:$D$56),0)*(('Recurring Items'!$E$6:$E$56="Monthly")*(DAY(AB543)='Recurring Items'!$F$6:$F$56)+('Recurring Items'!$E$6:$E$56="Bi-weekly")*(WEEKDAY(AB543)=IFERROR(WEEKDAY('Recurring Items'!$G$6:$G$56),0))*(MOD(AB543-IFERROR('Recurring Items'!$G$6:$G$56,0),14)=0)*(AB543&gt;=IFERROR('Recurring Items'!$G$6:$G$56,9000000000))+('Recurring Items'!$E$6:$E$56="Weekly")*(WEEKDAY(AB543)=IFERROR(WEEKDAY('Recurring Items'!$G$6:$G$56),0))*(AB543&gt;=IFERROR('Recurring Items'!$G$6:$G$56,9000000000))+('Recurring Items'!$E$6:$E$56="One-time")*(AB543='Recurring Items'!$G$6:$G$56)))</f>
        <v>460</v>
      </c>
      <c r="AF543" s="1" t="n">
        <f aca="false">(IF(AC543=1,'Debt Tracker'!$P$5&gt;0.01,INDEX('Debt Tracker'!$T$5:$AE$29,1,AC543-1)&gt;0.01))*('Recurring Items'!$H$8&lt;&gt;"Skip")*(DAY(AB543)='Recurring Items'!$F$8)*IFERROR(N('Recurring Items'!$D$8),0)+(IF(AC543=1,'Debt Tracker'!$P$6&gt;0.01,INDEX('Debt Tracker'!$T$5:$AE$29,2,AC543-1)&gt;0.01))*('Recurring Items'!$H$9&lt;&gt;"Skip")*(DAY(AB543)='Recurring Items'!$F$9)*IFERROR(N('Recurring Items'!$D$9),0)+(IF(AC543=1,'Debt Tracker'!$P$7&gt;0.01,INDEX('Debt Tracker'!$T$5:$AE$29,3,AC543-1)&gt;0.01))*('Recurring Items'!$H$10&lt;&gt;"Skip")*(DAY(AB543)='Recurring Items'!$F$10)*IFERROR(N('Recurring Items'!$D$10),0)+(IF(AC543=1,'Debt Tracker'!$P$8&gt;0.01,INDEX('Debt Tracker'!$T$5:$AE$29,4,AC543-1)&gt;0.01))*('Recurring Items'!$H$11&lt;&gt;"Skip")*(DAY(AB543)='Recurring Items'!$F$11)*IFERROR(N('Recurring Items'!$D$11),0)+(IF(AC543=1,'Debt Tracker'!$P$9&gt;0.01,INDEX('Debt Tracker'!$T$5:$AE$29,5,AC543-1)&gt;0.01))*('Recurring Items'!$H$12&lt;&gt;"Skip")*(DAY(AB543)='Recurring Items'!$F$12)*IFERROR(N('Recurring Items'!$D$12),0)+(IF(AC543=1,'Debt Tracker'!$P$10&gt;0.01,INDEX('Debt Tracker'!$T$5:$AE$29,6,AC543-1)&gt;0.01))*('Recurring Items'!$H$13&lt;&gt;"Skip")*(DAY(AB543)='Recurring Items'!$F$13)*IFERROR(N('Recurring Items'!$D$13),0)+(IF(AC543=1,'Debt Tracker'!$P$11&gt;0.01,INDEX('Debt Tracker'!$T$5:$AE$29,7,AC543-1)&gt;0.01))*('Recurring Items'!$H$14&lt;&gt;"Skip")*(DAY(AB543)='Recurring Items'!$F$14)*IFERROR(N('Recurring Items'!$D$14),0)+(IF(AC543=1,'Debt Tracker'!$P$12&gt;0.01,INDEX('Debt Tracker'!$T$5:$AE$29,8,AC543-1)&gt;0.01))*('Recurring Items'!$H$15&lt;&gt;"Skip")*(DAY(AB543)='Recurring Items'!$F$15)*IFERROR(N('Recurring Items'!$D$15),0)+(IF(AC543=1,'Debt Tracker'!$P$13&gt;0.01,INDEX('Debt Tracker'!$T$5:$AE$29,9,AC543-1)&gt;0.01))*('Recurring Items'!$H$16&lt;&gt;"Skip")*(DAY(AB543)='Recurring Items'!$F$16)*IFERROR(N('Recurring Items'!$D$16),0)+(IF(AC543=1,'Debt Tracker'!$P$14&gt;0.01,INDEX('Debt Tracker'!$T$5:$AE$29,10,AC543-1)&gt;0.01))*('Recurring Items'!$H$17&lt;&gt;"Skip")*(DAY(AB543)='Recurring Items'!$F$17)*IFERROR(N('Recurring Items'!$D$17),0)+(IF(AC543=1,'Debt Tracker'!$P$15&gt;0.01,INDEX('Debt Tracker'!$T$5:$AE$29,11,AC543-1)&gt;0.01))*('Recurring Items'!$H$18&lt;&gt;"Skip")*(DAY(AB543)='Recurring Items'!$F$18)*IFERROR(N('Recurring Items'!$D$18),0)+(IF(AC543=1,'Debt Tracker'!$P$16&gt;0.01,INDEX('Debt Tracker'!$T$5:$AE$29,12,AC543-1)&gt;0.01))*('Recurring Items'!$H$19&lt;&gt;"Skip")*(DAY(AB543)='Recurring Items'!$F$19)*IFERROR(N('Recurring Items'!$D$19),0)+(IF(AC543=1,'Debt Tracker'!$P$17&gt;0.01,INDEX('Debt Tracker'!$T$5:$AE$29,13,AC543-1)&gt;0.01))*('Recurring Items'!$H$20&lt;&gt;"Skip")*(DAY(AB543)='Recurring Items'!$F$20)*IFERROR(N('Recurring Items'!$D$20),0)+(IF(AC543=1,'Debt Tracker'!$P$18&gt;0.01,INDEX('Debt Tracker'!$T$5:$AE$29,14,AC543-1)&gt;0.01))*('Recurring Items'!$H$21&lt;&gt;"Skip")*(DAY(AB543)='Recurring Items'!$F$21)*IFERROR(N('Recurring Items'!$D$21),0)+(IF(AC543=1,'Debt Tracker'!$P$19&gt;0.01,INDEX('Debt Tracker'!$T$5:$AE$29,15,AC543-1)&gt;0.01))*('Recurring Items'!$H$22&lt;&gt;"Skip")*(DAY(AB543)='Recurring Items'!$F$22)*IFERROR(N('Recurring Items'!$D$22),0)+(IF(AC543=1,'Debt Tracker'!$P$20&gt;0.01,INDEX('Debt Tracker'!$T$5:$AE$29,16,AC543-1)&gt;0.01))*('Recurring Items'!$H$23&lt;&gt;"Skip")*(DAY(AB543)='Recurring Items'!$F$23)*IFERROR(N('Recurring Items'!$D$23),0)+(IF(AC543=1,'Debt Tracker'!$P$21&gt;0.01,INDEX('Debt Tracker'!$T$5:$AE$29,17,AC543-1)&gt;0.01))*('Recurring Items'!$H$24&lt;&gt;"Skip")*(DAY(AB543)='Recurring Items'!$F$24)*IFERROR(N('Recurring Items'!$D$24),0)+(IF(AC543=1,'Debt Tracker'!$P$22&gt;0.01,INDEX('Debt Tracker'!$T$5:$AE$29,18,AC543-1)&gt;0.01))*('Recurring Items'!$H$25&lt;&gt;"Skip")*(DAY(AB543)='Recurring Items'!$F$25)*IFERROR(N('Recurring Items'!$D$25),0)+(IF(AC543=1,'Debt Tracker'!$P$23&gt;0.01,INDEX('Debt Tracker'!$T$5:$AE$29,19,AC543-1)&gt;0.01))*('Recurring Items'!$H$26&lt;&gt;"Skip")*(DAY(AB543)='Recurring Items'!$F$26)*IFERROR(N('Recurring Items'!$D$26),0)+(IF(AC543=1,'Debt Tracker'!$P$24&gt;0.01,INDEX('Debt Tracker'!$T$5:$AE$29,20,AC543-1)&gt;0.01))*('Recurring Items'!$H$27&lt;&gt;"Skip")*(DAY(AB543)='Recurring Items'!$F$27)*IFERROR(N('Recurring Items'!$D$27),0)+(IF(AC543=1,'Debt Tracker'!$P$25&gt;0.01,INDEX('Debt Tracker'!$T$5:$AE$29,21,AC543-1)&gt;0.01))*('Recurring Items'!$H$28&lt;&gt;"Skip")*(DAY(AB543)='Recurring Items'!$F$28)*IFERROR(N('Recurring Items'!$D$28),0)+(IF(AC543=1,'Debt Tracker'!$P$26&gt;0.01,INDEX('Debt Tracker'!$T$5:$AE$29,22,AC543-1)&gt;0.01))*('Recurring Items'!$H$29&lt;&gt;"Skip")*(DAY(AB543)='Recurring Items'!$F$29)*IFERROR(N('Recurring Items'!$D$29),0)+(IF(AC543=1,'Debt Tracker'!$P$27&gt;0.01,INDEX('Debt Tracker'!$T$5:$AE$29,23,AC543-1)&gt;0.01))*('Recurring Items'!$H$30&lt;&gt;"Skip")*(DAY(AB543)='Recurring Items'!$F$30)*IFERROR(N('Recurring Items'!$D$30),0)+(IF(AC543=1,'Debt Tracker'!$P$28&gt;0.01,INDEX('Debt Tracker'!$T$5:$AE$29,24,AC543-1)&gt;0.01))*('Recurring Items'!$H$31&lt;&gt;"Skip")*(DAY(AB543)='Recurring Items'!$F$31)*IFERROR(N('Recurring Items'!$D$31),0)+(IF(AC543=1,'Debt Tracker'!$P$29&gt;0.01,INDEX('Debt Tracker'!$T$5:$AE$29,25,AC543-1)&gt;0.01))*('Recurring Items'!$H$32&lt;&gt;"Skip")*(DAY(AB543)='Recurring Items'!$F$32)*IFERROR(N('Recurring Items'!$D$32),0)</f>
        <v>0</v>
      </c>
      <c r="AG543" s="1" t="n">
        <f aca="false">AD543-AE543-AF543</f>
        <v>-460</v>
      </c>
      <c r="AH543" s="1" t="n">
        <f aca="false">AH542+AG543</f>
        <v>25863.41</v>
      </c>
    </row>
    <row r="544" customFormat="false" ht="15" hidden="false" customHeight="true" outlineLevel="0" collapsed="false">
      <c r="AA544" s="1" t="n">
        <v>344</v>
      </c>
      <c r="AB544" s="145" t="n">
        <f aca="false">$D$3+344</f>
        <v>46487</v>
      </c>
      <c r="AC544" s="1" t="n">
        <f aca="false">MIN(12,1+DATEDIF($D$3,AB544,"M"))</f>
        <v>12</v>
      </c>
      <c r="AD544" s="1" t="n">
        <f aca="false">SUMPRODUCT(('Recurring Items'!$C$6:$C$56="Income")*('Recurring Items'!$H$6:$H$56&lt;&gt;"Skip")*IFERROR(N('Recurring Items'!$D$6:$D$56),0)*(('Recurring Items'!$E$6:$E$56="Monthly")*(DAY(AB544)='Recurring Items'!$F$6:$F$56)+('Recurring Items'!$E$6:$E$56="Bi-weekly")*(WEEKDAY(AB544)=IFERROR(WEEKDAY('Recurring Items'!$G$6:$G$56),0))*(MOD(AB544-IFERROR('Recurring Items'!$G$6:$G$56,0),14)=0)*(AB544&gt;=IFERROR('Recurring Items'!$G$6:$G$56,9000000000))+('Recurring Items'!$E$6:$E$56="Weekly")*(WEEKDAY(AB544)=IFERROR(WEEKDAY('Recurring Items'!$G$6:$G$56),0))*(AB544&gt;=IFERROR('Recurring Items'!$G$6:$G$56,9000000000))+('Recurring Items'!$E$6:$E$56="One-time")*(AB544='Recurring Items'!$G$6:$G$56)))</f>
        <v>0</v>
      </c>
      <c r="AE544" s="1" t="n">
        <f aca="false">SUMPRODUCT(('Recurring Items'!$C$6:$C$56="Expense")*('Recurring Items'!$H$6:$H$56&lt;&gt;"Skip")*IFERROR(N('Recurring Items'!$D$6:$D$56),0)*(('Recurring Items'!$E$6:$E$56="Monthly")*(DAY(AB544)='Recurring Items'!$F$6:$F$56)+('Recurring Items'!$E$6:$E$56="Bi-weekly")*(WEEKDAY(AB544)=IFERROR(WEEKDAY('Recurring Items'!$G$6:$G$56),0))*(MOD(AB544-IFERROR('Recurring Items'!$G$6:$G$56,0),14)=0)*(AB544&gt;=IFERROR('Recurring Items'!$G$6:$G$56,9000000000))+('Recurring Items'!$E$6:$E$56="Weekly")*(WEEKDAY(AB544)=IFERROR(WEEKDAY('Recurring Items'!$G$6:$G$56),0))*(AB544&gt;=IFERROR('Recurring Items'!$G$6:$G$56,9000000000))+('Recurring Items'!$E$6:$E$56="One-time")*(AB544='Recurring Items'!$G$6:$G$56)))</f>
        <v>340.22</v>
      </c>
      <c r="AF544" s="1" t="n">
        <f aca="false">(IF(AC544=1,'Debt Tracker'!$P$5&gt;0.01,INDEX('Debt Tracker'!$T$5:$AE$29,1,AC544-1)&gt;0.01))*('Recurring Items'!$H$8&lt;&gt;"Skip")*(DAY(AB544)='Recurring Items'!$F$8)*IFERROR(N('Recurring Items'!$D$8),0)+(IF(AC544=1,'Debt Tracker'!$P$6&gt;0.01,INDEX('Debt Tracker'!$T$5:$AE$29,2,AC544-1)&gt;0.01))*('Recurring Items'!$H$9&lt;&gt;"Skip")*(DAY(AB544)='Recurring Items'!$F$9)*IFERROR(N('Recurring Items'!$D$9),0)+(IF(AC544=1,'Debt Tracker'!$P$7&gt;0.01,INDEX('Debt Tracker'!$T$5:$AE$29,3,AC544-1)&gt;0.01))*('Recurring Items'!$H$10&lt;&gt;"Skip")*(DAY(AB544)='Recurring Items'!$F$10)*IFERROR(N('Recurring Items'!$D$10),0)+(IF(AC544=1,'Debt Tracker'!$P$8&gt;0.01,INDEX('Debt Tracker'!$T$5:$AE$29,4,AC544-1)&gt;0.01))*('Recurring Items'!$H$11&lt;&gt;"Skip")*(DAY(AB544)='Recurring Items'!$F$11)*IFERROR(N('Recurring Items'!$D$11),0)+(IF(AC544=1,'Debt Tracker'!$P$9&gt;0.01,INDEX('Debt Tracker'!$T$5:$AE$29,5,AC544-1)&gt;0.01))*('Recurring Items'!$H$12&lt;&gt;"Skip")*(DAY(AB544)='Recurring Items'!$F$12)*IFERROR(N('Recurring Items'!$D$12),0)+(IF(AC544=1,'Debt Tracker'!$P$10&gt;0.01,INDEX('Debt Tracker'!$T$5:$AE$29,6,AC544-1)&gt;0.01))*('Recurring Items'!$H$13&lt;&gt;"Skip")*(DAY(AB544)='Recurring Items'!$F$13)*IFERROR(N('Recurring Items'!$D$13),0)+(IF(AC544=1,'Debt Tracker'!$P$11&gt;0.01,INDEX('Debt Tracker'!$T$5:$AE$29,7,AC544-1)&gt;0.01))*('Recurring Items'!$H$14&lt;&gt;"Skip")*(DAY(AB544)='Recurring Items'!$F$14)*IFERROR(N('Recurring Items'!$D$14),0)+(IF(AC544=1,'Debt Tracker'!$P$12&gt;0.01,INDEX('Debt Tracker'!$T$5:$AE$29,8,AC544-1)&gt;0.01))*('Recurring Items'!$H$15&lt;&gt;"Skip")*(DAY(AB544)='Recurring Items'!$F$15)*IFERROR(N('Recurring Items'!$D$15),0)+(IF(AC544=1,'Debt Tracker'!$P$13&gt;0.01,INDEX('Debt Tracker'!$T$5:$AE$29,9,AC544-1)&gt;0.01))*('Recurring Items'!$H$16&lt;&gt;"Skip")*(DAY(AB544)='Recurring Items'!$F$16)*IFERROR(N('Recurring Items'!$D$16),0)+(IF(AC544=1,'Debt Tracker'!$P$14&gt;0.01,INDEX('Debt Tracker'!$T$5:$AE$29,10,AC544-1)&gt;0.01))*('Recurring Items'!$H$17&lt;&gt;"Skip")*(DAY(AB544)='Recurring Items'!$F$17)*IFERROR(N('Recurring Items'!$D$17),0)+(IF(AC544=1,'Debt Tracker'!$P$15&gt;0.01,INDEX('Debt Tracker'!$T$5:$AE$29,11,AC544-1)&gt;0.01))*('Recurring Items'!$H$18&lt;&gt;"Skip")*(DAY(AB544)='Recurring Items'!$F$18)*IFERROR(N('Recurring Items'!$D$18),0)+(IF(AC544=1,'Debt Tracker'!$P$16&gt;0.01,INDEX('Debt Tracker'!$T$5:$AE$29,12,AC544-1)&gt;0.01))*('Recurring Items'!$H$19&lt;&gt;"Skip")*(DAY(AB544)='Recurring Items'!$F$19)*IFERROR(N('Recurring Items'!$D$19),0)+(IF(AC544=1,'Debt Tracker'!$P$17&gt;0.01,INDEX('Debt Tracker'!$T$5:$AE$29,13,AC544-1)&gt;0.01))*('Recurring Items'!$H$20&lt;&gt;"Skip")*(DAY(AB544)='Recurring Items'!$F$20)*IFERROR(N('Recurring Items'!$D$20),0)+(IF(AC544=1,'Debt Tracker'!$P$18&gt;0.01,INDEX('Debt Tracker'!$T$5:$AE$29,14,AC544-1)&gt;0.01))*('Recurring Items'!$H$21&lt;&gt;"Skip")*(DAY(AB544)='Recurring Items'!$F$21)*IFERROR(N('Recurring Items'!$D$21),0)+(IF(AC544=1,'Debt Tracker'!$P$19&gt;0.01,INDEX('Debt Tracker'!$T$5:$AE$29,15,AC544-1)&gt;0.01))*('Recurring Items'!$H$22&lt;&gt;"Skip")*(DAY(AB544)='Recurring Items'!$F$22)*IFERROR(N('Recurring Items'!$D$22),0)+(IF(AC544=1,'Debt Tracker'!$P$20&gt;0.01,INDEX('Debt Tracker'!$T$5:$AE$29,16,AC544-1)&gt;0.01))*('Recurring Items'!$H$23&lt;&gt;"Skip")*(DAY(AB544)='Recurring Items'!$F$23)*IFERROR(N('Recurring Items'!$D$23),0)+(IF(AC544=1,'Debt Tracker'!$P$21&gt;0.01,INDEX('Debt Tracker'!$T$5:$AE$29,17,AC544-1)&gt;0.01))*('Recurring Items'!$H$24&lt;&gt;"Skip")*(DAY(AB544)='Recurring Items'!$F$24)*IFERROR(N('Recurring Items'!$D$24),0)+(IF(AC544=1,'Debt Tracker'!$P$22&gt;0.01,INDEX('Debt Tracker'!$T$5:$AE$29,18,AC544-1)&gt;0.01))*('Recurring Items'!$H$25&lt;&gt;"Skip")*(DAY(AB544)='Recurring Items'!$F$25)*IFERROR(N('Recurring Items'!$D$25),0)+(IF(AC544=1,'Debt Tracker'!$P$23&gt;0.01,INDEX('Debt Tracker'!$T$5:$AE$29,19,AC544-1)&gt;0.01))*('Recurring Items'!$H$26&lt;&gt;"Skip")*(DAY(AB544)='Recurring Items'!$F$26)*IFERROR(N('Recurring Items'!$D$26),0)+(IF(AC544=1,'Debt Tracker'!$P$24&gt;0.01,INDEX('Debt Tracker'!$T$5:$AE$29,20,AC544-1)&gt;0.01))*('Recurring Items'!$H$27&lt;&gt;"Skip")*(DAY(AB544)='Recurring Items'!$F$27)*IFERROR(N('Recurring Items'!$D$27),0)+(IF(AC544=1,'Debt Tracker'!$P$25&gt;0.01,INDEX('Debt Tracker'!$T$5:$AE$29,21,AC544-1)&gt;0.01))*('Recurring Items'!$H$28&lt;&gt;"Skip")*(DAY(AB544)='Recurring Items'!$F$28)*IFERROR(N('Recurring Items'!$D$28),0)+(IF(AC544=1,'Debt Tracker'!$P$26&gt;0.01,INDEX('Debt Tracker'!$T$5:$AE$29,22,AC544-1)&gt;0.01))*('Recurring Items'!$H$29&lt;&gt;"Skip")*(DAY(AB544)='Recurring Items'!$F$29)*IFERROR(N('Recurring Items'!$D$29),0)+(IF(AC544=1,'Debt Tracker'!$P$27&gt;0.01,INDEX('Debt Tracker'!$T$5:$AE$29,23,AC544-1)&gt;0.01))*('Recurring Items'!$H$30&lt;&gt;"Skip")*(DAY(AB544)='Recurring Items'!$F$30)*IFERROR(N('Recurring Items'!$D$30),0)+(IF(AC544=1,'Debt Tracker'!$P$28&gt;0.01,INDEX('Debt Tracker'!$T$5:$AE$29,24,AC544-1)&gt;0.01))*('Recurring Items'!$H$31&lt;&gt;"Skip")*(DAY(AB544)='Recurring Items'!$F$31)*IFERROR(N('Recurring Items'!$D$31),0)+(IF(AC544=1,'Debt Tracker'!$P$29&gt;0.01,INDEX('Debt Tracker'!$T$5:$AE$29,25,AC544-1)&gt;0.01))*('Recurring Items'!$H$32&lt;&gt;"Skip")*(DAY(AB544)='Recurring Items'!$F$32)*IFERROR(N('Recurring Items'!$D$32),0)</f>
        <v>0</v>
      </c>
      <c r="AG544" s="1" t="n">
        <f aca="false">AD544-AE544-AF544</f>
        <v>-340.22</v>
      </c>
      <c r="AH544" s="1" t="n">
        <f aca="false">AH543+AG544</f>
        <v>25523.19</v>
      </c>
    </row>
    <row r="545" customFormat="false" ht="15" hidden="false" customHeight="true" outlineLevel="0" collapsed="false">
      <c r="AA545" s="1" t="n">
        <v>345</v>
      </c>
      <c r="AB545" s="145" t="n">
        <f aca="false">$D$3+345</f>
        <v>46488</v>
      </c>
      <c r="AC545" s="1" t="n">
        <f aca="false">MIN(12,1+DATEDIF($D$3,AB545,"M"))</f>
        <v>12</v>
      </c>
      <c r="AD545" s="1" t="n">
        <f aca="false">SUMPRODUCT(('Recurring Items'!$C$6:$C$56="Income")*('Recurring Items'!$H$6:$H$56&lt;&gt;"Skip")*IFERROR(N('Recurring Items'!$D$6:$D$56),0)*(('Recurring Items'!$E$6:$E$56="Monthly")*(DAY(AB545)='Recurring Items'!$F$6:$F$56)+('Recurring Items'!$E$6:$E$56="Bi-weekly")*(WEEKDAY(AB545)=IFERROR(WEEKDAY('Recurring Items'!$G$6:$G$56),0))*(MOD(AB545-IFERROR('Recurring Items'!$G$6:$G$56,0),14)=0)*(AB545&gt;=IFERROR('Recurring Items'!$G$6:$G$56,9000000000))+('Recurring Items'!$E$6:$E$56="Weekly")*(WEEKDAY(AB545)=IFERROR(WEEKDAY('Recurring Items'!$G$6:$G$56),0))*(AB545&gt;=IFERROR('Recurring Items'!$G$6:$G$56,9000000000))+('Recurring Items'!$E$6:$E$56="One-time")*(AB545='Recurring Items'!$G$6:$G$56)))</f>
        <v>0</v>
      </c>
      <c r="AE545" s="1" t="n">
        <f aca="false">SUMPRODUCT(('Recurring Items'!$C$6:$C$56="Expense")*('Recurring Items'!$H$6:$H$56&lt;&gt;"Skip")*IFERROR(N('Recurring Items'!$D$6:$D$56),0)*(('Recurring Items'!$E$6:$E$56="Monthly")*(DAY(AB545)='Recurring Items'!$F$6:$F$56)+('Recurring Items'!$E$6:$E$56="Bi-weekly")*(WEEKDAY(AB545)=IFERROR(WEEKDAY('Recurring Items'!$G$6:$G$56),0))*(MOD(AB545-IFERROR('Recurring Items'!$G$6:$G$56,0),14)=0)*(AB545&gt;=IFERROR('Recurring Items'!$G$6:$G$56,9000000000))+('Recurring Items'!$E$6:$E$56="Weekly")*(WEEKDAY(AB545)=IFERROR(WEEKDAY('Recurring Items'!$G$6:$G$56),0))*(AB545&gt;=IFERROR('Recurring Items'!$G$6:$G$56,9000000000))+('Recurring Items'!$E$6:$E$56="One-time")*(AB545='Recurring Items'!$G$6:$G$56)))</f>
        <v>0</v>
      </c>
      <c r="AF545" s="1" t="n">
        <f aca="false">(IF(AC545=1,'Debt Tracker'!$P$5&gt;0.01,INDEX('Debt Tracker'!$T$5:$AE$29,1,AC545-1)&gt;0.01))*('Recurring Items'!$H$8&lt;&gt;"Skip")*(DAY(AB545)='Recurring Items'!$F$8)*IFERROR(N('Recurring Items'!$D$8),0)+(IF(AC545=1,'Debt Tracker'!$P$6&gt;0.01,INDEX('Debt Tracker'!$T$5:$AE$29,2,AC545-1)&gt;0.01))*('Recurring Items'!$H$9&lt;&gt;"Skip")*(DAY(AB545)='Recurring Items'!$F$9)*IFERROR(N('Recurring Items'!$D$9),0)+(IF(AC545=1,'Debt Tracker'!$P$7&gt;0.01,INDEX('Debt Tracker'!$T$5:$AE$29,3,AC545-1)&gt;0.01))*('Recurring Items'!$H$10&lt;&gt;"Skip")*(DAY(AB545)='Recurring Items'!$F$10)*IFERROR(N('Recurring Items'!$D$10),0)+(IF(AC545=1,'Debt Tracker'!$P$8&gt;0.01,INDEX('Debt Tracker'!$T$5:$AE$29,4,AC545-1)&gt;0.01))*('Recurring Items'!$H$11&lt;&gt;"Skip")*(DAY(AB545)='Recurring Items'!$F$11)*IFERROR(N('Recurring Items'!$D$11),0)+(IF(AC545=1,'Debt Tracker'!$P$9&gt;0.01,INDEX('Debt Tracker'!$T$5:$AE$29,5,AC545-1)&gt;0.01))*('Recurring Items'!$H$12&lt;&gt;"Skip")*(DAY(AB545)='Recurring Items'!$F$12)*IFERROR(N('Recurring Items'!$D$12),0)+(IF(AC545=1,'Debt Tracker'!$P$10&gt;0.01,INDEX('Debt Tracker'!$T$5:$AE$29,6,AC545-1)&gt;0.01))*('Recurring Items'!$H$13&lt;&gt;"Skip")*(DAY(AB545)='Recurring Items'!$F$13)*IFERROR(N('Recurring Items'!$D$13),0)+(IF(AC545=1,'Debt Tracker'!$P$11&gt;0.01,INDEX('Debt Tracker'!$T$5:$AE$29,7,AC545-1)&gt;0.01))*('Recurring Items'!$H$14&lt;&gt;"Skip")*(DAY(AB545)='Recurring Items'!$F$14)*IFERROR(N('Recurring Items'!$D$14),0)+(IF(AC545=1,'Debt Tracker'!$P$12&gt;0.01,INDEX('Debt Tracker'!$T$5:$AE$29,8,AC545-1)&gt;0.01))*('Recurring Items'!$H$15&lt;&gt;"Skip")*(DAY(AB545)='Recurring Items'!$F$15)*IFERROR(N('Recurring Items'!$D$15),0)+(IF(AC545=1,'Debt Tracker'!$P$13&gt;0.01,INDEX('Debt Tracker'!$T$5:$AE$29,9,AC545-1)&gt;0.01))*('Recurring Items'!$H$16&lt;&gt;"Skip")*(DAY(AB545)='Recurring Items'!$F$16)*IFERROR(N('Recurring Items'!$D$16),0)+(IF(AC545=1,'Debt Tracker'!$P$14&gt;0.01,INDEX('Debt Tracker'!$T$5:$AE$29,10,AC545-1)&gt;0.01))*('Recurring Items'!$H$17&lt;&gt;"Skip")*(DAY(AB545)='Recurring Items'!$F$17)*IFERROR(N('Recurring Items'!$D$17),0)+(IF(AC545=1,'Debt Tracker'!$P$15&gt;0.01,INDEX('Debt Tracker'!$T$5:$AE$29,11,AC545-1)&gt;0.01))*('Recurring Items'!$H$18&lt;&gt;"Skip")*(DAY(AB545)='Recurring Items'!$F$18)*IFERROR(N('Recurring Items'!$D$18),0)+(IF(AC545=1,'Debt Tracker'!$P$16&gt;0.01,INDEX('Debt Tracker'!$T$5:$AE$29,12,AC545-1)&gt;0.01))*('Recurring Items'!$H$19&lt;&gt;"Skip")*(DAY(AB545)='Recurring Items'!$F$19)*IFERROR(N('Recurring Items'!$D$19),0)+(IF(AC545=1,'Debt Tracker'!$P$17&gt;0.01,INDEX('Debt Tracker'!$T$5:$AE$29,13,AC545-1)&gt;0.01))*('Recurring Items'!$H$20&lt;&gt;"Skip")*(DAY(AB545)='Recurring Items'!$F$20)*IFERROR(N('Recurring Items'!$D$20),0)+(IF(AC545=1,'Debt Tracker'!$P$18&gt;0.01,INDEX('Debt Tracker'!$T$5:$AE$29,14,AC545-1)&gt;0.01))*('Recurring Items'!$H$21&lt;&gt;"Skip")*(DAY(AB545)='Recurring Items'!$F$21)*IFERROR(N('Recurring Items'!$D$21),0)+(IF(AC545=1,'Debt Tracker'!$P$19&gt;0.01,INDEX('Debt Tracker'!$T$5:$AE$29,15,AC545-1)&gt;0.01))*('Recurring Items'!$H$22&lt;&gt;"Skip")*(DAY(AB545)='Recurring Items'!$F$22)*IFERROR(N('Recurring Items'!$D$22),0)+(IF(AC545=1,'Debt Tracker'!$P$20&gt;0.01,INDEX('Debt Tracker'!$T$5:$AE$29,16,AC545-1)&gt;0.01))*('Recurring Items'!$H$23&lt;&gt;"Skip")*(DAY(AB545)='Recurring Items'!$F$23)*IFERROR(N('Recurring Items'!$D$23),0)+(IF(AC545=1,'Debt Tracker'!$P$21&gt;0.01,INDEX('Debt Tracker'!$T$5:$AE$29,17,AC545-1)&gt;0.01))*('Recurring Items'!$H$24&lt;&gt;"Skip")*(DAY(AB545)='Recurring Items'!$F$24)*IFERROR(N('Recurring Items'!$D$24),0)+(IF(AC545=1,'Debt Tracker'!$P$22&gt;0.01,INDEX('Debt Tracker'!$T$5:$AE$29,18,AC545-1)&gt;0.01))*('Recurring Items'!$H$25&lt;&gt;"Skip")*(DAY(AB545)='Recurring Items'!$F$25)*IFERROR(N('Recurring Items'!$D$25),0)+(IF(AC545=1,'Debt Tracker'!$P$23&gt;0.01,INDEX('Debt Tracker'!$T$5:$AE$29,19,AC545-1)&gt;0.01))*('Recurring Items'!$H$26&lt;&gt;"Skip")*(DAY(AB545)='Recurring Items'!$F$26)*IFERROR(N('Recurring Items'!$D$26),0)+(IF(AC545=1,'Debt Tracker'!$P$24&gt;0.01,INDEX('Debt Tracker'!$T$5:$AE$29,20,AC545-1)&gt;0.01))*('Recurring Items'!$H$27&lt;&gt;"Skip")*(DAY(AB545)='Recurring Items'!$F$27)*IFERROR(N('Recurring Items'!$D$27),0)+(IF(AC545=1,'Debt Tracker'!$P$25&gt;0.01,INDEX('Debt Tracker'!$T$5:$AE$29,21,AC545-1)&gt;0.01))*('Recurring Items'!$H$28&lt;&gt;"Skip")*(DAY(AB545)='Recurring Items'!$F$28)*IFERROR(N('Recurring Items'!$D$28),0)+(IF(AC545=1,'Debt Tracker'!$P$26&gt;0.01,INDEX('Debt Tracker'!$T$5:$AE$29,22,AC545-1)&gt;0.01))*('Recurring Items'!$H$29&lt;&gt;"Skip")*(DAY(AB545)='Recurring Items'!$F$29)*IFERROR(N('Recurring Items'!$D$29),0)+(IF(AC545=1,'Debt Tracker'!$P$27&gt;0.01,INDEX('Debt Tracker'!$T$5:$AE$29,23,AC545-1)&gt;0.01))*('Recurring Items'!$H$30&lt;&gt;"Skip")*(DAY(AB545)='Recurring Items'!$F$30)*IFERROR(N('Recurring Items'!$D$30),0)+(IF(AC545=1,'Debt Tracker'!$P$28&gt;0.01,INDEX('Debt Tracker'!$T$5:$AE$29,24,AC545-1)&gt;0.01))*('Recurring Items'!$H$31&lt;&gt;"Skip")*(DAY(AB545)='Recurring Items'!$F$31)*IFERROR(N('Recurring Items'!$D$31),0)+(IF(AC545=1,'Debt Tracker'!$P$29&gt;0.01,INDEX('Debt Tracker'!$T$5:$AE$29,25,AC545-1)&gt;0.01))*('Recurring Items'!$H$32&lt;&gt;"Skip")*(DAY(AB545)='Recurring Items'!$F$32)*IFERROR(N('Recurring Items'!$D$32),0)</f>
        <v>0</v>
      </c>
      <c r="AG545" s="1" t="n">
        <f aca="false">AD545-AE545-AF545</f>
        <v>0</v>
      </c>
      <c r="AH545" s="1" t="n">
        <f aca="false">AH544+AG545</f>
        <v>25523.19</v>
      </c>
    </row>
    <row r="546" customFormat="false" ht="15" hidden="false" customHeight="true" outlineLevel="0" collapsed="false">
      <c r="AA546" s="1" t="n">
        <v>346</v>
      </c>
      <c r="AB546" s="145" t="n">
        <f aca="false">$D$3+346</f>
        <v>46489</v>
      </c>
      <c r="AC546" s="1" t="n">
        <f aca="false">MIN(12,1+DATEDIF($D$3,AB546,"M"))</f>
        <v>12</v>
      </c>
      <c r="AD546" s="1" t="n">
        <f aca="false">SUMPRODUCT(('Recurring Items'!$C$6:$C$56="Income")*('Recurring Items'!$H$6:$H$56&lt;&gt;"Skip")*IFERROR(N('Recurring Items'!$D$6:$D$56),0)*(('Recurring Items'!$E$6:$E$56="Monthly")*(DAY(AB546)='Recurring Items'!$F$6:$F$56)+('Recurring Items'!$E$6:$E$56="Bi-weekly")*(WEEKDAY(AB546)=IFERROR(WEEKDAY('Recurring Items'!$G$6:$G$56),0))*(MOD(AB546-IFERROR('Recurring Items'!$G$6:$G$56,0),14)=0)*(AB546&gt;=IFERROR('Recurring Items'!$G$6:$G$56,9000000000))+('Recurring Items'!$E$6:$E$56="Weekly")*(WEEKDAY(AB546)=IFERROR(WEEKDAY('Recurring Items'!$G$6:$G$56),0))*(AB546&gt;=IFERROR('Recurring Items'!$G$6:$G$56,9000000000))+('Recurring Items'!$E$6:$E$56="One-time")*(AB546='Recurring Items'!$G$6:$G$56)))</f>
        <v>0</v>
      </c>
      <c r="AE546" s="1" t="n">
        <f aca="false">SUMPRODUCT(('Recurring Items'!$C$6:$C$56="Expense")*('Recurring Items'!$H$6:$H$56&lt;&gt;"Skip")*IFERROR(N('Recurring Items'!$D$6:$D$56),0)*(('Recurring Items'!$E$6:$E$56="Monthly")*(DAY(AB546)='Recurring Items'!$F$6:$F$56)+('Recurring Items'!$E$6:$E$56="Bi-weekly")*(WEEKDAY(AB546)=IFERROR(WEEKDAY('Recurring Items'!$G$6:$G$56),0))*(MOD(AB546-IFERROR('Recurring Items'!$G$6:$G$56,0),14)=0)*(AB546&gt;=IFERROR('Recurring Items'!$G$6:$G$56,9000000000))+('Recurring Items'!$E$6:$E$56="Weekly")*(WEEKDAY(AB546)=IFERROR(WEEKDAY('Recurring Items'!$G$6:$G$56),0))*(AB546&gt;=IFERROR('Recurring Items'!$G$6:$G$56,9000000000))+('Recurring Items'!$E$6:$E$56="One-time")*(AB546='Recurring Items'!$G$6:$G$56)))</f>
        <v>167.68</v>
      </c>
      <c r="AF546" s="1" t="n">
        <f aca="false">(IF(AC546=1,'Debt Tracker'!$P$5&gt;0.01,INDEX('Debt Tracker'!$T$5:$AE$29,1,AC546-1)&gt;0.01))*('Recurring Items'!$H$8&lt;&gt;"Skip")*(DAY(AB546)='Recurring Items'!$F$8)*IFERROR(N('Recurring Items'!$D$8),0)+(IF(AC546=1,'Debt Tracker'!$P$6&gt;0.01,INDEX('Debt Tracker'!$T$5:$AE$29,2,AC546-1)&gt;0.01))*('Recurring Items'!$H$9&lt;&gt;"Skip")*(DAY(AB546)='Recurring Items'!$F$9)*IFERROR(N('Recurring Items'!$D$9),0)+(IF(AC546=1,'Debt Tracker'!$P$7&gt;0.01,INDEX('Debt Tracker'!$T$5:$AE$29,3,AC546-1)&gt;0.01))*('Recurring Items'!$H$10&lt;&gt;"Skip")*(DAY(AB546)='Recurring Items'!$F$10)*IFERROR(N('Recurring Items'!$D$10),0)+(IF(AC546=1,'Debt Tracker'!$P$8&gt;0.01,INDEX('Debt Tracker'!$T$5:$AE$29,4,AC546-1)&gt;0.01))*('Recurring Items'!$H$11&lt;&gt;"Skip")*(DAY(AB546)='Recurring Items'!$F$11)*IFERROR(N('Recurring Items'!$D$11),0)+(IF(AC546=1,'Debt Tracker'!$P$9&gt;0.01,INDEX('Debt Tracker'!$T$5:$AE$29,5,AC546-1)&gt;0.01))*('Recurring Items'!$H$12&lt;&gt;"Skip")*(DAY(AB546)='Recurring Items'!$F$12)*IFERROR(N('Recurring Items'!$D$12),0)+(IF(AC546=1,'Debt Tracker'!$P$10&gt;0.01,INDEX('Debt Tracker'!$T$5:$AE$29,6,AC546-1)&gt;0.01))*('Recurring Items'!$H$13&lt;&gt;"Skip")*(DAY(AB546)='Recurring Items'!$F$13)*IFERROR(N('Recurring Items'!$D$13),0)+(IF(AC546=1,'Debt Tracker'!$P$11&gt;0.01,INDEX('Debt Tracker'!$T$5:$AE$29,7,AC546-1)&gt;0.01))*('Recurring Items'!$H$14&lt;&gt;"Skip")*(DAY(AB546)='Recurring Items'!$F$14)*IFERROR(N('Recurring Items'!$D$14),0)+(IF(AC546=1,'Debt Tracker'!$P$12&gt;0.01,INDEX('Debt Tracker'!$T$5:$AE$29,8,AC546-1)&gt;0.01))*('Recurring Items'!$H$15&lt;&gt;"Skip")*(DAY(AB546)='Recurring Items'!$F$15)*IFERROR(N('Recurring Items'!$D$15),0)+(IF(AC546=1,'Debt Tracker'!$P$13&gt;0.01,INDEX('Debt Tracker'!$T$5:$AE$29,9,AC546-1)&gt;0.01))*('Recurring Items'!$H$16&lt;&gt;"Skip")*(DAY(AB546)='Recurring Items'!$F$16)*IFERROR(N('Recurring Items'!$D$16),0)+(IF(AC546=1,'Debt Tracker'!$P$14&gt;0.01,INDEX('Debt Tracker'!$T$5:$AE$29,10,AC546-1)&gt;0.01))*('Recurring Items'!$H$17&lt;&gt;"Skip")*(DAY(AB546)='Recurring Items'!$F$17)*IFERROR(N('Recurring Items'!$D$17),0)+(IF(AC546=1,'Debt Tracker'!$P$15&gt;0.01,INDEX('Debt Tracker'!$T$5:$AE$29,11,AC546-1)&gt;0.01))*('Recurring Items'!$H$18&lt;&gt;"Skip")*(DAY(AB546)='Recurring Items'!$F$18)*IFERROR(N('Recurring Items'!$D$18),0)+(IF(AC546=1,'Debt Tracker'!$P$16&gt;0.01,INDEX('Debt Tracker'!$T$5:$AE$29,12,AC546-1)&gt;0.01))*('Recurring Items'!$H$19&lt;&gt;"Skip")*(DAY(AB546)='Recurring Items'!$F$19)*IFERROR(N('Recurring Items'!$D$19),0)+(IF(AC546=1,'Debt Tracker'!$P$17&gt;0.01,INDEX('Debt Tracker'!$T$5:$AE$29,13,AC546-1)&gt;0.01))*('Recurring Items'!$H$20&lt;&gt;"Skip")*(DAY(AB546)='Recurring Items'!$F$20)*IFERROR(N('Recurring Items'!$D$20),0)+(IF(AC546=1,'Debt Tracker'!$P$18&gt;0.01,INDEX('Debt Tracker'!$T$5:$AE$29,14,AC546-1)&gt;0.01))*('Recurring Items'!$H$21&lt;&gt;"Skip")*(DAY(AB546)='Recurring Items'!$F$21)*IFERROR(N('Recurring Items'!$D$21),0)+(IF(AC546=1,'Debt Tracker'!$P$19&gt;0.01,INDEX('Debt Tracker'!$T$5:$AE$29,15,AC546-1)&gt;0.01))*('Recurring Items'!$H$22&lt;&gt;"Skip")*(DAY(AB546)='Recurring Items'!$F$22)*IFERROR(N('Recurring Items'!$D$22),0)+(IF(AC546=1,'Debt Tracker'!$P$20&gt;0.01,INDEX('Debt Tracker'!$T$5:$AE$29,16,AC546-1)&gt;0.01))*('Recurring Items'!$H$23&lt;&gt;"Skip")*(DAY(AB546)='Recurring Items'!$F$23)*IFERROR(N('Recurring Items'!$D$23),0)+(IF(AC546=1,'Debt Tracker'!$P$21&gt;0.01,INDEX('Debt Tracker'!$T$5:$AE$29,17,AC546-1)&gt;0.01))*('Recurring Items'!$H$24&lt;&gt;"Skip")*(DAY(AB546)='Recurring Items'!$F$24)*IFERROR(N('Recurring Items'!$D$24),0)+(IF(AC546=1,'Debt Tracker'!$P$22&gt;0.01,INDEX('Debt Tracker'!$T$5:$AE$29,18,AC546-1)&gt;0.01))*('Recurring Items'!$H$25&lt;&gt;"Skip")*(DAY(AB546)='Recurring Items'!$F$25)*IFERROR(N('Recurring Items'!$D$25),0)+(IF(AC546=1,'Debt Tracker'!$P$23&gt;0.01,INDEX('Debt Tracker'!$T$5:$AE$29,19,AC546-1)&gt;0.01))*('Recurring Items'!$H$26&lt;&gt;"Skip")*(DAY(AB546)='Recurring Items'!$F$26)*IFERROR(N('Recurring Items'!$D$26),0)+(IF(AC546=1,'Debt Tracker'!$P$24&gt;0.01,INDEX('Debt Tracker'!$T$5:$AE$29,20,AC546-1)&gt;0.01))*('Recurring Items'!$H$27&lt;&gt;"Skip")*(DAY(AB546)='Recurring Items'!$F$27)*IFERROR(N('Recurring Items'!$D$27),0)+(IF(AC546=1,'Debt Tracker'!$P$25&gt;0.01,INDEX('Debt Tracker'!$T$5:$AE$29,21,AC546-1)&gt;0.01))*('Recurring Items'!$H$28&lt;&gt;"Skip")*(DAY(AB546)='Recurring Items'!$F$28)*IFERROR(N('Recurring Items'!$D$28),0)+(IF(AC546=1,'Debt Tracker'!$P$26&gt;0.01,INDEX('Debt Tracker'!$T$5:$AE$29,22,AC546-1)&gt;0.01))*('Recurring Items'!$H$29&lt;&gt;"Skip")*(DAY(AB546)='Recurring Items'!$F$29)*IFERROR(N('Recurring Items'!$D$29),0)+(IF(AC546=1,'Debt Tracker'!$P$27&gt;0.01,INDEX('Debt Tracker'!$T$5:$AE$29,23,AC546-1)&gt;0.01))*('Recurring Items'!$H$30&lt;&gt;"Skip")*(DAY(AB546)='Recurring Items'!$F$30)*IFERROR(N('Recurring Items'!$D$30),0)+(IF(AC546=1,'Debt Tracker'!$P$28&gt;0.01,INDEX('Debt Tracker'!$T$5:$AE$29,24,AC546-1)&gt;0.01))*('Recurring Items'!$H$31&lt;&gt;"Skip")*(DAY(AB546)='Recurring Items'!$F$31)*IFERROR(N('Recurring Items'!$D$31),0)+(IF(AC546=1,'Debt Tracker'!$P$29&gt;0.01,INDEX('Debt Tracker'!$T$5:$AE$29,25,AC546-1)&gt;0.01))*('Recurring Items'!$H$32&lt;&gt;"Skip")*(DAY(AB546)='Recurring Items'!$F$32)*IFERROR(N('Recurring Items'!$D$32),0)</f>
        <v>0</v>
      </c>
      <c r="AG546" s="1" t="n">
        <f aca="false">AD546-AE546-AF546</f>
        <v>-167.68</v>
      </c>
      <c r="AH546" s="1" t="n">
        <f aca="false">AH545+AG546</f>
        <v>25355.51</v>
      </c>
    </row>
    <row r="547" customFormat="false" ht="15" hidden="false" customHeight="true" outlineLevel="0" collapsed="false">
      <c r="AA547" s="1" t="n">
        <v>347</v>
      </c>
      <c r="AB547" s="145" t="n">
        <f aca="false">$D$3+347</f>
        <v>46490</v>
      </c>
      <c r="AC547" s="1" t="n">
        <f aca="false">MIN(12,1+DATEDIF($D$3,AB547,"M"))</f>
        <v>12</v>
      </c>
      <c r="AD547" s="1" t="n">
        <f aca="false">SUMPRODUCT(('Recurring Items'!$C$6:$C$56="Income")*('Recurring Items'!$H$6:$H$56&lt;&gt;"Skip")*IFERROR(N('Recurring Items'!$D$6:$D$56),0)*(('Recurring Items'!$E$6:$E$56="Monthly")*(DAY(AB547)='Recurring Items'!$F$6:$F$56)+('Recurring Items'!$E$6:$E$56="Bi-weekly")*(WEEKDAY(AB547)=IFERROR(WEEKDAY('Recurring Items'!$G$6:$G$56),0))*(MOD(AB547-IFERROR('Recurring Items'!$G$6:$G$56,0),14)=0)*(AB547&gt;=IFERROR('Recurring Items'!$G$6:$G$56,9000000000))+('Recurring Items'!$E$6:$E$56="Weekly")*(WEEKDAY(AB547)=IFERROR(WEEKDAY('Recurring Items'!$G$6:$G$56),0))*(AB547&gt;=IFERROR('Recurring Items'!$G$6:$G$56,9000000000))+('Recurring Items'!$E$6:$E$56="One-time")*(AB547='Recurring Items'!$G$6:$G$56)))</f>
        <v>0</v>
      </c>
      <c r="AE547" s="1" t="n">
        <f aca="false">SUMPRODUCT(('Recurring Items'!$C$6:$C$56="Expense")*('Recurring Items'!$H$6:$H$56&lt;&gt;"Skip")*IFERROR(N('Recurring Items'!$D$6:$D$56),0)*(('Recurring Items'!$E$6:$E$56="Monthly")*(DAY(AB547)='Recurring Items'!$F$6:$F$56)+('Recurring Items'!$E$6:$E$56="Bi-weekly")*(WEEKDAY(AB547)=IFERROR(WEEKDAY('Recurring Items'!$G$6:$G$56),0))*(MOD(AB547-IFERROR('Recurring Items'!$G$6:$G$56,0),14)=0)*(AB547&gt;=IFERROR('Recurring Items'!$G$6:$G$56,9000000000))+('Recurring Items'!$E$6:$E$56="Weekly")*(WEEKDAY(AB547)=IFERROR(WEEKDAY('Recurring Items'!$G$6:$G$56),0))*(AB547&gt;=IFERROR('Recurring Items'!$G$6:$G$56,9000000000))+('Recurring Items'!$E$6:$E$56="One-time")*(AB547='Recurring Items'!$G$6:$G$56)))</f>
        <v>0</v>
      </c>
      <c r="AF547" s="1" t="n">
        <f aca="false">(IF(AC547=1,'Debt Tracker'!$P$5&gt;0.01,INDEX('Debt Tracker'!$T$5:$AE$29,1,AC547-1)&gt;0.01))*('Recurring Items'!$H$8&lt;&gt;"Skip")*(DAY(AB547)='Recurring Items'!$F$8)*IFERROR(N('Recurring Items'!$D$8),0)+(IF(AC547=1,'Debt Tracker'!$P$6&gt;0.01,INDEX('Debt Tracker'!$T$5:$AE$29,2,AC547-1)&gt;0.01))*('Recurring Items'!$H$9&lt;&gt;"Skip")*(DAY(AB547)='Recurring Items'!$F$9)*IFERROR(N('Recurring Items'!$D$9),0)+(IF(AC547=1,'Debt Tracker'!$P$7&gt;0.01,INDEX('Debt Tracker'!$T$5:$AE$29,3,AC547-1)&gt;0.01))*('Recurring Items'!$H$10&lt;&gt;"Skip")*(DAY(AB547)='Recurring Items'!$F$10)*IFERROR(N('Recurring Items'!$D$10),0)+(IF(AC547=1,'Debt Tracker'!$P$8&gt;0.01,INDEX('Debt Tracker'!$T$5:$AE$29,4,AC547-1)&gt;0.01))*('Recurring Items'!$H$11&lt;&gt;"Skip")*(DAY(AB547)='Recurring Items'!$F$11)*IFERROR(N('Recurring Items'!$D$11),0)+(IF(AC547=1,'Debt Tracker'!$P$9&gt;0.01,INDEX('Debt Tracker'!$T$5:$AE$29,5,AC547-1)&gt;0.01))*('Recurring Items'!$H$12&lt;&gt;"Skip")*(DAY(AB547)='Recurring Items'!$F$12)*IFERROR(N('Recurring Items'!$D$12),0)+(IF(AC547=1,'Debt Tracker'!$P$10&gt;0.01,INDEX('Debt Tracker'!$T$5:$AE$29,6,AC547-1)&gt;0.01))*('Recurring Items'!$H$13&lt;&gt;"Skip")*(DAY(AB547)='Recurring Items'!$F$13)*IFERROR(N('Recurring Items'!$D$13),0)+(IF(AC547=1,'Debt Tracker'!$P$11&gt;0.01,INDEX('Debt Tracker'!$T$5:$AE$29,7,AC547-1)&gt;0.01))*('Recurring Items'!$H$14&lt;&gt;"Skip")*(DAY(AB547)='Recurring Items'!$F$14)*IFERROR(N('Recurring Items'!$D$14),0)+(IF(AC547=1,'Debt Tracker'!$P$12&gt;0.01,INDEX('Debt Tracker'!$T$5:$AE$29,8,AC547-1)&gt;0.01))*('Recurring Items'!$H$15&lt;&gt;"Skip")*(DAY(AB547)='Recurring Items'!$F$15)*IFERROR(N('Recurring Items'!$D$15),0)+(IF(AC547=1,'Debt Tracker'!$P$13&gt;0.01,INDEX('Debt Tracker'!$T$5:$AE$29,9,AC547-1)&gt;0.01))*('Recurring Items'!$H$16&lt;&gt;"Skip")*(DAY(AB547)='Recurring Items'!$F$16)*IFERROR(N('Recurring Items'!$D$16),0)+(IF(AC547=1,'Debt Tracker'!$P$14&gt;0.01,INDEX('Debt Tracker'!$T$5:$AE$29,10,AC547-1)&gt;0.01))*('Recurring Items'!$H$17&lt;&gt;"Skip")*(DAY(AB547)='Recurring Items'!$F$17)*IFERROR(N('Recurring Items'!$D$17),0)+(IF(AC547=1,'Debt Tracker'!$P$15&gt;0.01,INDEX('Debt Tracker'!$T$5:$AE$29,11,AC547-1)&gt;0.01))*('Recurring Items'!$H$18&lt;&gt;"Skip")*(DAY(AB547)='Recurring Items'!$F$18)*IFERROR(N('Recurring Items'!$D$18),0)+(IF(AC547=1,'Debt Tracker'!$P$16&gt;0.01,INDEX('Debt Tracker'!$T$5:$AE$29,12,AC547-1)&gt;0.01))*('Recurring Items'!$H$19&lt;&gt;"Skip")*(DAY(AB547)='Recurring Items'!$F$19)*IFERROR(N('Recurring Items'!$D$19),0)+(IF(AC547=1,'Debt Tracker'!$P$17&gt;0.01,INDEX('Debt Tracker'!$T$5:$AE$29,13,AC547-1)&gt;0.01))*('Recurring Items'!$H$20&lt;&gt;"Skip")*(DAY(AB547)='Recurring Items'!$F$20)*IFERROR(N('Recurring Items'!$D$20),0)+(IF(AC547=1,'Debt Tracker'!$P$18&gt;0.01,INDEX('Debt Tracker'!$T$5:$AE$29,14,AC547-1)&gt;0.01))*('Recurring Items'!$H$21&lt;&gt;"Skip")*(DAY(AB547)='Recurring Items'!$F$21)*IFERROR(N('Recurring Items'!$D$21),0)+(IF(AC547=1,'Debt Tracker'!$P$19&gt;0.01,INDEX('Debt Tracker'!$T$5:$AE$29,15,AC547-1)&gt;0.01))*('Recurring Items'!$H$22&lt;&gt;"Skip")*(DAY(AB547)='Recurring Items'!$F$22)*IFERROR(N('Recurring Items'!$D$22),0)+(IF(AC547=1,'Debt Tracker'!$P$20&gt;0.01,INDEX('Debt Tracker'!$T$5:$AE$29,16,AC547-1)&gt;0.01))*('Recurring Items'!$H$23&lt;&gt;"Skip")*(DAY(AB547)='Recurring Items'!$F$23)*IFERROR(N('Recurring Items'!$D$23),0)+(IF(AC547=1,'Debt Tracker'!$P$21&gt;0.01,INDEX('Debt Tracker'!$T$5:$AE$29,17,AC547-1)&gt;0.01))*('Recurring Items'!$H$24&lt;&gt;"Skip")*(DAY(AB547)='Recurring Items'!$F$24)*IFERROR(N('Recurring Items'!$D$24),0)+(IF(AC547=1,'Debt Tracker'!$P$22&gt;0.01,INDEX('Debt Tracker'!$T$5:$AE$29,18,AC547-1)&gt;0.01))*('Recurring Items'!$H$25&lt;&gt;"Skip")*(DAY(AB547)='Recurring Items'!$F$25)*IFERROR(N('Recurring Items'!$D$25),0)+(IF(AC547=1,'Debt Tracker'!$P$23&gt;0.01,INDEX('Debt Tracker'!$T$5:$AE$29,19,AC547-1)&gt;0.01))*('Recurring Items'!$H$26&lt;&gt;"Skip")*(DAY(AB547)='Recurring Items'!$F$26)*IFERROR(N('Recurring Items'!$D$26),0)+(IF(AC547=1,'Debt Tracker'!$P$24&gt;0.01,INDEX('Debt Tracker'!$T$5:$AE$29,20,AC547-1)&gt;0.01))*('Recurring Items'!$H$27&lt;&gt;"Skip")*(DAY(AB547)='Recurring Items'!$F$27)*IFERROR(N('Recurring Items'!$D$27),0)+(IF(AC547=1,'Debt Tracker'!$P$25&gt;0.01,INDEX('Debt Tracker'!$T$5:$AE$29,21,AC547-1)&gt;0.01))*('Recurring Items'!$H$28&lt;&gt;"Skip")*(DAY(AB547)='Recurring Items'!$F$28)*IFERROR(N('Recurring Items'!$D$28),0)+(IF(AC547=1,'Debt Tracker'!$P$26&gt;0.01,INDEX('Debt Tracker'!$T$5:$AE$29,22,AC547-1)&gt;0.01))*('Recurring Items'!$H$29&lt;&gt;"Skip")*(DAY(AB547)='Recurring Items'!$F$29)*IFERROR(N('Recurring Items'!$D$29),0)+(IF(AC547=1,'Debt Tracker'!$P$27&gt;0.01,INDEX('Debt Tracker'!$T$5:$AE$29,23,AC547-1)&gt;0.01))*('Recurring Items'!$H$30&lt;&gt;"Skip")*(DAY(AB547)='Recurring Items'!$F$30)*IFERROR(N('Recurring Items'!$D$30),0)+(IF(AC547=1,'Debt Tracker'!$P$28&gt;0.01,INDEX('Debt Tracker'!$T$5:$AE$29,24,AC547-1)&gt;0.01))*('Recurring Items'!$H$31&lt;&gt;"Skip")*(DAY(AB547)='Recurring Items'!$F$31)*IFERROR(N('Recurring Items'!$D$31),0)+(IF(AC547=1,'Debt Tracker'!$P$29&gt;0.01,INDEX('Debt Tracker'!$T$5:$AE$29,25,AC547-1)&gt;0.01))*('Recurring Items'!$H$32&lt;&gt;"Skip")*(DAY(AB547)='Recurring Items'!$F$32)*IFERROR(N('Recurring Items'!$D$32),0)</f>
        <v>0</v>
      </c>
      <c r="AG547" s="1" t="n">
        <f aca="false">AD547-AE547-AF547</f>
        <v>0</v>
      </c>
      <c r="AH547" s="1" t="n">
        <f aca="false">AH546+AG547</f>
        <v>25355.51</v>
      </c>
    </row>
    <row r="548" customFormat="false" ht="15" hidden="false" customHeight="true" outlineLevel="0" collapsed="false">
      <c r="AA548" s="1" t="n">
        <v>348</v>
      </c>
      <c r="AB548" s="145" t="n">
        <f aca="false">$D$3+348</f>
        <v>46491</v>
      </c>
      <c r="AC548" s="1" t="n">
        <f aca="false">MIN(12,1+DATEDIF($D$3,AB548,"M"))</f>
        <v>12</v>
      </c>
      <c r="AD548" s="1" t="n">
        <f aca="false">SUMPRODUCT(('Recurring Items'!$C$6:$C$56="Income")*('Recurring Items'!$H$6:$H$56&lt;&gt;"Skip")*IFERROR(N('Recurring Items'!$D$6:$D$56),0)*(('Recurring Items'!$E$6:$E$56="Monthly")*(DAY(AB548)='Recurring Items'!$F$6:$F$56)+('Recurring Items'!$E$6:$E$56="Bi-weekly")*(WEEKDAY(AB548)=IFERROR(WEEKDAY('Recurring Items'!$G$6:$G$56),0))*(MOD(AB548-IFERROR('Recurring Items'!$G$6:$G$56,0),14)=0)*(AB548&gt;=IFERROR('Recurring Items'!$G$6:$G$56,9000000000))+('Recurring Items'!$E$6:$E$56="Weekly")*(WEEKDAY(AB548)=IFERROR(WEEKDAY('Recurring Items'!$G$6:$G$56),0))*(AB548&gt;=IFERROR('Recurring Items'!$G$6:$G$56,9000000000))+('Recurring Items'!$E$6:$E$56="One-time")*(AB548='Recurring Items'!$G$6:$G$56)))</f>
        <v>0</v>
      </c>
      <c r="AE548" s="1" t="n">
        <f aca="false">SUMPRODUCT(('Recurring Items'!$C$6:$C$56="Expense")*('Recurring Items'!$H$6:$H$56&lt;&gt;"Skip")*IFERROR(N('Recurring Items'!$D$6:$D$56),0)*(('Recurring Items'!$E$6:$E$56="Monthly")*(DAY(AB548)='Recurring Items'!$F$6:$F$56)+('Recurring Items'!$E$6:$E$56="Bi-weekly")*(WEEKDAY(AB548)=IFERROR(WEEKDAY('Recurring Items'!$G$6:$G$56),0))*(MOD(AB548-IFERROR('Recurring Items'!$G$6:$G$56,0),14)=0)*(AB548&gt;=IFERROR('Recurring Items'!$G$6:$G$56,9000000000))+('Recurring Items'!$E$6:$E$56="Weekly")*(WEEKDAY(AB548)=IFERROR(WEEKDAY('Recurring Items'!$G$6:$G$56),0))*(AB548&gt;=IFERROR('Recurring Items'!$G$6:$G$56,9000000000))+('Recurring Items'!$E$6:$E$56="One-time")*(AB548='Recurring Items'!$G$6:$G$56)))</f>
        <v>0</v>
      </c>
      <c r="AF548" s="1" t="n">
        <f aca="false">(IF(AC548=1,'Debt Tracker'!$P$5&gt;0.01,INDEX('Debt Tracker'!$T$5:$AE$29,1,AC548-1)&gt;0.01))*('Recurring Items'!$H$8&lt;&gt;"Skip")*(DAY(AB548)='Recurring Items'!$F$8)*IFERROR(N('Recurring Items'!$D$8),0)+(IF(AC548=1,'Debt Tracker'!$P$6&gt;0.01,INDEX('Debt Tracker'!$T$5:$AE$29,2,AC548-1)&gt;0.01))*('Recurring Items'!$H$9&lt;&gt;"Skip")*(DAY(AB548)='Recurring Items'!$F$9)*IFERROR(N('Recurring Items'!$D$9),0)+(IF(AC548=1,'Debt Tracker'!$P$7&gt;0.01,INDEX('Debt Tracker'!$T$5:$AE$29,3,AC548-1)&gt;0.01))*('Recurring Items'!$H$10&lt;&gt;"Skip")*(DAY(AB548)='Recurring Items'!$F$10)*IFERROR(N('Recurring Items'!$D$10),0)+(IF(AC548=1,'Debt Tracker'!$P$8&gt;0.01,INDEX('Debt Tracker'!$T$5:$AE$29,4,AC548-1)&gt;0.01))*('Recurring Items'!$H$11&lt;&gt;"Skip")*(DAY(AB548)='Recurring Items'!$F$11)*IFERROR(N('Recurring Items'!$D$11),0)+(IF(AC548=1,'Debt Tracker'!$P$9&gt;0.01,INDEX('Debt Tracker'!$T$5:$AE$29,5,AC548-1)&gt;0.01))*('Recurring Items'!$H$12&lt;&gt;"Skip")*(DAY(AB548)='Recurring Items'!$F$12)*IFERROR(N('Recurring Items'!$D$12),0)+(IF(AC548=1,'Debt Tracker'!$P$10&gt;0.01,INDEX('Debt Tracker'!$T$5:$AE$29,6,AC548-1)&gt;0.01))*('Recurring Items'!$H$13&lt;&gt;"Skip")*(DAY(AB548)='Recurring Items'!$F$13)*IFERROR(N('Recurring Items'!$D$13),0)+(IF(AC548=1,'Debt Tracker'!$P$11&gt;0.01,INDEX('Debt Tracker'!$T$5:$AE$29,7,AC548-1)&gt;0.01))*('Recurring Items'!$H$14&lt;&gt;"Skip")*(DAY(AB548)='Recurring Items'!$F$14)*IFERROR(N('Recurring Items'!$D$14),0)+(IF(AC548=1,'Debt Tracker'!$P$12&gt;0.01,INDEX('Debt Tracker'!$T$5:$AE$29,8,AC548-1)&gt;0.01))*('Recurring Items'!$H$15&lt;&gt;"Skip")*(DAY(AB548)='Recurring Items'!$F$15)*IFERROR(N('Recurring Items'!$D$15),0)+(IF(AC548=1,'Debt Tracker'!$P$13&gt;0.01,INDEX('Debt Tracker'!$T$5:$AE$29,9,AC548-1)&gt;0.01))*('Recurring Items'!$H$16&lt;&gt;"Skip")*(DAY(AB548)='Recurring Items'!$F$16)*IFERROR(N('Recurring Items'!$D$16),0)+(IF(AC548=1,'Debt Tracker'!$P$14&gt;0.01,INDEX('Debt Tracker'!$T$5:$AE$29,10,AC548-1)&gt;0.01))*('Recurring Items'!$H$17&lt;&gt;"Skip")*(DAY(AB548)='Recurring Items'!$F$17)*IFERROR(N('Recurring Items'!$D$17),0)+(IF(AC548=1,'Debt Tracker'!$P$15&gt;0.01,INDEX('Debt Tracker'!$T$5:$AE$29,11,AC548-1)&gt;0.01))*('Recurring Items'!$H$18&lt;&gt;"Skip")*(DAY(AB548)='Recurring Items'!$F$18)*IFERROR(N('Recurring Items'!$D$18),0)+(IF(AC548=1,'Debt Tracker'!$P$16&gt;0.01,INDEX('Debt Tracker'!$T$5:$AE$29,12,AC548-1)&gt;0.01))*('Recurring Items'!$H$19&lt;&gt;"Skip")*(DAY(AB548)='Recurring Items'!$F$19)*IFERROR(N('Recurring Items'!$D$19),0)+(IF(AC548=1,'Debt Tracker'!$P$17&gt;0.01,INDEX('Debt Tracker'!$T$5:$AE$29,13,AC548-1)&gt;0.01))*('Recurring Items'!$H$20&lt;&gt;"Skip")*(DAY(AB548)='Recurring Items'!$F$20)*IFERROR(N('Recurring Items'!$D$20),0)+(IF(AC548=1,'Debt Tracker'!$P$18&gt;0.01,INDEX('Debt Tracker'!$T$5:$AE$29,14,AC548-1)&gt;0.01))*('Recurring Items'!$H$21&lt;&gt;"Skip")*(DAY(AB548)='Recurring Items'!$F$21)*IFERROR(N('Recurring Items'!$D$21),0)+(IF(AC548=1,'Debt Tracker'!$P$19&gt;0.01,INDEX('Debt Tracker'!$T$5:$AE$29,15,AC548-1)&gt;0.01))*('Recurring Items'!$H$22&lt;&gt;"Skip")*(DAY(AB548)='Recurring Items'!$F$22)*IFERROR(N('Recurring Items'!$D$22),0)+(IF(AC548=1,'Debt Tracker'!$P$20&gt;0.01,INDEX('Debt Tracker'!$T$5:$AE$29,16,AC548-1)&gt;0.01))*('Recurring Items'!$H$23&lt;&gt;"Skip")*(DAY(AB548)='Recurring Items'!$F$23)*IFERROR(N('Recurring Items'!$D$23),0)+(IF(AC548=1,'Debt Tracker'!$P$21&gt;0.01,INDEX('Debt Tracker'!$T$5:$AE$29,17,AC548-1)&gt;0.01))*('Recurring Items'!$H$24&lt;&gt;"Skip")*(DAY(AB548)='Recurring Items'!$F$24)*IFERROR(N('Recurring Items'!$D$24),0)+(IF(AC548=1,'Debt Tracker'!$P$22&gt;0.01,INDEX('Debt Tracker'!$T$5:$AE$29,18,AC548-1)&gt;0.01))*('Recurring Items'!$H$25&lt;&gt;"Skip")*(DAY(AB548)='Recurring Items'!$F$25)*IFERROR(N('Recurring Items'!$D$25),0)+(IF(AC548=1,'Debt Tracker'!$P$23&gt;0.01,INDEX('Debt Tracker'!$T$5:$AE$29,19,AC548-1)&gt;0.01))*('Recurring Items'!$H$26&lt;&gt;"Skip")*(DAY(AB548)='Recurring Items'!$F$26)*IFERROR(N('Recurring Items'!$D$26),0)+(IF(AC548=1,'Debt Tracker'!$P$24&gt;0.01,INDEX('Debt Tracker'!$T$5:$AE$29,20,AC548-1)&gt;0.01))*('Recurring Items'!$H$27&lt;&gt;"Skip")*(DAY(AB548)='Recurring Items'!$F$27)*IFERROR(N('Recurring Items'!$D$27),0)+(IF(AC548=1,'Debt Tracker'!$P$25&gt;0.01,INDEX('Debt Tracker'!$T$5:$AE$29,21,AC548-1)&gt;0.01))*('Recurring Items'!$H$28&lt;&gt;"Skip")*(DAY(AB548)='Recurring Items'!$F$28)*IFERROR(N('Recurring Items'!$D$28),0)+(IF(AC548=1,'Debt Tracker'!$P$26&gt;0.01,INDEX('Debt Tracker'!$T$5:$AE$29,22,AC548-1)&gt;0.01))*('Recurring Items'!$H$29&lt;&gt;"Skip")*(DAY(AB548)='Recurring Items'!$F$29)*IFERROR(N('Recurring Items'!$D$29),0)+(IF(AC548=1,'Debt Tracker'!$P$27&gt;0.01,INDEX('Debt Tracker'!$T$5:$AE$29,23,AC548-1)&gt;0.01))*('Recurring Items'!$H$30&lt;&gt;"Skip")*(DAY(AB548)='Recurring Items'!$F$30)*IFERROR(N('Recurring Items'!$D$30),0)+(IF(AC548=1,'Debt Tracker'!$P$28&gt;0.01,INDEX('Debt Tracker'!$T$5:$AE$29,24,AC548-1)&gt;0.01))*('Recurring Items'!$H$31&lt;&gt;"Skip")*(DAY(AB548)='Recurring Items'!$F$31)*IFERROR(N('Recurring Items'!$D$31),0)+(IF(AC548=1,'Debt Tracker'!$P$29&gt;0.01,INDEX('Debt Tracker'!$T$5:$AE$29,25,AC548-1)&gt;0.01))*('Recurring Items'!$H$32&lt;&gt;"Skip")*(DAY(AB548)='Recurring Items'!$F$32)*IFERROR(N('Recurring Items'!$D$32),0)</f>
        <v>0</v>
      </c>
      <c r="AG548" s="1" t="n">
        <f aca="false">AD548-AE548-AF548</f>
        <v>0</v>
      </c>
      <c r="AH548" s="1" t="n">
        <f aca="false">AH547+AG548</f>
        <v>25355.51</v>
      </c>
    </row>
    <row r="549" customFormat="false" ht="15" hidden="false" customHeight="true" outlineLevel="0" collapsed="false">
      <c r="AA549" s="1" t="n">
        <v>349</v>
      </c>
      <c r="AB549" s="145" t="n">
        <f aca="false">$D$3+349</f>
        <v>46492</v>
      </c>
      <c r="AC549" s="1" t="n">
        <f aca="false">MIN(12,1+DATEDIF($D$3,AB549,"M"))</f>
        <v>12</v>
      </c>
      <c r="AD549" s="1" t="n">
        <f aca="false">SUMPRODUCT(('Recurring Items'!$C$6:$C$56="Income")*('Recurring Items'!$H$6:$H$56&lt;&gt;"Skip")*IFERROR(N('Recurring Items'!$D$6:$D$56),0)*(('Recurring Items'!$E$6:$E$56="Monthly")*(DAY(AB549)='Recurring Items'!$F$6:$F$56)+('Recurring Items'!$E$6:$E$56="Bi-weekly")*(WEEKDAY(AB549)=IFERROR(WEEKDAY('Recurring Items'!$G$6:$G$56),0))*(MOD(AB549-IFERROR('Recurring Items'!$G$6:$G$56,0),14)=0)*(AB549&gt;=IFERROR('Recurring Items'!$G$6:$G$56,9000000000))+('Recurring Items'!$E$6:$E$56="Weekly")*(WEEKDAY(AB549)=IFERROR(WEEKDAY('Recurring Items'!$G$6:$G$56),0))*(AB549&gt;=IFERROR('Recurring Items'!$G$6:$G$56,9000000000))+('Recurring Items'!$E$6:$E$56="One-time")*(AB549='Recurring Items'!$G$6:$G$56)))</f>
        <v>0</v>
      </c>
      <c r="AE549" s="1" t="n">
        <f aca="false">SUMPRODUCT(('Recurring Items'!$C$6:$C$56="Expense")*('Recurring Items'!$H$6:$H$56&lt;&gt;"Skip")*IFERROR(N('Recurring Items'!$D$6:$D$56),0)*(('Recurring Items'!$E$6:$E$56="Monthly")*(DAY(AB549)='Recurring Items'!$F$6:$F$56)+('Recurring Items'!$E$6:$E$56="Bi-weekly")*(WEEKDAY(AB549)=IFERROR(WEEKDAY('Recurring Items'!$G$6:$G$56),0))*(MOD(AB549-IFERROR('Recurring Items'!$G$6:$G$56,0),14)=0)*(AB549&gt;=IFERROR('Recurring Items'!$G$6:$G$56,9000000000))+('Recurring Items'!$E$6:$E$56="Weekly")*(WEEKDAY(AB549)=IFERROR(WEEKDAY('Recurring Items'!$G$6:$G$56),0))*(AB549&gt;=IFERROR('Recurring Items'!$G$6:$G$56,9000000000))+('Recurring Items'!$E$6:$E$56="One-time")*(AB549='Recurring Items'!$G$6:$G$56)))</f>
        <v>2990.57</v>
      </c>
      <c r="AF549" s="1" t="n">
        <f aca="false">(IF(AC549=1,'Debt Tracker'!$P$5&gt;0.01,INDEX('Debt Tracker'!$T$5:$AE$29,1,AC549-1)&gt;0.01))*('Recurring Items'!$H$8&lt;&gt;"Skip")*(DAY(AB549)='Recurring Items'!$F$8)*IFERROR(N('Recurring Items'!$D$8),0)+(IF(AC549=1,'Debt Tracker'!$P$6&gt;0.01,INDEX('Debt Tracker'!$T$5:$AE$29,2,AC549-1)&gt;0.01))*('Recurring Items'!$H$9&lt;&gt;"Skip")*(DAY(AB549)='Recurring Items'!$F$9)*IFERROR(N('Recurring Items'!$D$9),0)+(IF(AC549=1,'Debt Tracker'!$P$7&gt;0.01,INDEX('Debt Tracker'!$T$5:$AE$29,3,AC549-1)&gt;0.01))*('Recurring Items'!$H$10&lt;&gt;"Skip")*(DAY(AB549)='Recurring Items'!$F$10)*IFERROR(N('Recurring Items'!$D$10),0)+(IF(AC549=1,'Debt Tracker'!$P$8&gt;0.01,INDEX('Debt Tracker'!$T$5:$AE$29,4,AC549-1)&gt;0.01))*('Recurring Items'!$H$11&lt;&gt;"Skip")*(DAY(AB549)='Recurring Items'!$F$11)*IFERROR(N('Recurring Items'!$D$11),0)+(IF(AC549=1,'Debt Tracker'!$P$9&gt;0.01,INDEX('Debt Tracker'!$T$5:$AE$29,5,AC549-1)&gt;0.01))*('Recurring Items'!$H$12&lt;&gt;"Skip")*(DAY(AB549)='Recurring Items'!$F$12)*IFERROR(N('Recurring Items'!$D$12),0)+(IF(AC549=1,'Debt Tracker'!$P$10&gt;0.01,INDEX('Debt Tracker'!$T$5:$AE$29,6,AC549-1)&gt;0.01))*('Recurring Items'!$H$13&lt;&gt;"Skip")*(DAY(AB549)='Recurring Items'!$F$13)*IFERROR(N('Recurring Items'!$D$13),0)+(IF(AC549=1,'Debt Tracker'!$P$11&gt;0.01,INDEX('Debt Tracker'!$T$5:$AE$29,7,AC549-1)&gt;0.01))*('Recurring Items'!$H$14&lt;&gt;"Skip")*(DAY(AB549)='Recurring Items'!$F$14)*IFERROR(N('Recurring Items'!$D$14),0)+(IF(AC549=1,'Debt Tracker'!$P$12&gt;0.01,INDEX('Debt Tracker'!$T$5:$AE$29,8,AC549-1)&gt;0.01))*('Recurring Items'!$H$15&lt;&gt;"Skip")*(DAY(AB549)='Recurring Items'!$F$15)*IFERROR(N('Recurring Items'!$D$15),0)+(IF(AC549=1,'Debt Tracker'!$P$13&gt;0.01,INDEX('Debt Tracker'!$T$5:$AE$29,9,AC549-1)&gt;0.01))*('Recurring Items'!$H$16&lt;&gt;"Skip")*(DAY(AB549)='Recurring Items'!$F$16)*IFERROR(N('Recurring Items'!$D$16),0)+(IF(AC549=1,'Debt Tracker'!$P$14&gt;0.01,INDEX('Debt Tracker'!$T$5:$AE$29,10,AC549-1)&gt;0.01))*('Recurring Items'!$H$17&lt;&gt;"Skip")*(DAY(AB549)='Recurring Items'!$F$17)*IFERROR(N('Recurring Items'!$D$17),0)+(IF(AC549=1,'Debt Tracker'!$P$15&gt;0.01,INDEX('Debt Tracker'!$T$5:$AE$29,11,AC549-1)&gt;0.01))*('Recurring Items'!$H$18&lt;&gt;"Skip")*(DAY(AB549)='Recurring Items'!$F$18)*IFERROR(N('Recurring Items'!$D$18),0)+(IF(AC549=1,'Debt Tracker'!$P$16&gt;0.01,INDEX('Debt Tracker'!$T$5:$AE$29,12,AC549-1)&gt;0.01))*('Recurring Items'!$H$19&lt;&gt;"Skip")*(DAY(AB549)='Recurring Items'!$F$19)*IFERROR(N('Recurring Items'!$D$19),0)+(IF(AC549=1,'Debt Tracker'!$P$17&gt;0.01,INDEX('Debt Tracker'!$T$5:$AE$29,13,AC549-1)&gt;0.01))*('Recurring Items'!$H$20&lt;&gt;"Skip")*(DAY(AB549)='Recurring Items'!$F$20)*IFERROR(N('Recurring Items'!$D$20),0)+(IF(AC549=1,'Debt Tracker'!$P$18&gt;0.01,INDEX('Debt Tracker'!$T$5:$AE$29,14,AC549-1)&gt;0.01))*('Recurring Items'!$H$21&lt;&gt;"Skip")*(DAY(AB549)='Recurring Items'!$F$21)*IFERROR(N('Recurring Items'!$D$21),0)+(IF(AC549=1,'Debt Tracker'!$P$19&gt;0.01,INDEX('Debt Tracker'!$T$5:$AE$29,15,AC549-1)&gt;0.01))*('Recurring Items'!$H$22&lt;&gt;"Skip")*(DAY(AB549)='Recurring Items'!$F$22)*IFERROR(N('Recurring Items'!$D$22),0)+(IF(AC549=1,'Debt Tracker'!$P$20&gt;0.01,INDEX('Debt Tracker'!$T$5:$AE$29,16,AC549-1)&gt;0.01))*('Recurring Items'!$H$23&lt;&gt;"Skip")*(DAY(AB549)='Recurring Items'!$F$23)*IFERROR(N('Recurring Items'!$D$23),0)+(IF(AC549=1,'Debt Tracker'!$P$21&gt;0.01,INDEX('Debt Tracker'!$T$5:$AE$29,17,AC549-1)&gt;0.01))*('Recurring Items'!$H$24&lt;&gt;"Skip")*(DAY(AB549)='Recurring Items'!$F$24)*IFERROR(N('Recurring Items'!$D$24),0)+(IF(AC549=1,'Debt Tracker'!$P$22&gt;0.01,INDEX('Debt Tracker'!$T$5:$AE$29,18,AC549-1)&gt;0.01))*('Recurring Items'!$H$25&lt;&gt;"Skip")*(DAY(AB549)='Recurring Items'!$F$25)*IFERROR(N('Recurring Items'!$D$25),0)+(IF(AC549=1,'Debt Tracker'!$P$23&gt;0.01,INDEX('Debt Tracker'!$T$5:$AE$29,19,AC549-1)&gt;0.01))*('Recurring Items'!$H$26&lt;&gt;"Skip")*(DAY(AB549)='Recurring Items'!$F$26)*IFERROR(N('Recurring Items'!$D$26),0)+(IF(AC549=1,'Debt Tracker'!$P$24&gt;0.01,INDEX('Debt Tracker'!$T$5:$AE$29,20,AC549-1)&gt;0.01))*('Recurring Items'!$H$27&lt;&gt;"Skip")*(DAY(AB549)='Recurring Items'!$F$27)*IFERROR(N('Recurring Items'!$D$27),0)+(IF(AC549=1,'Debt Tracker'!$P$25&gt;0.01,INDEX('Debt Tracker'!$T$5:$AE$29,21,AC549-1)&gt;0.01))*('Recurring Items'!$H$28&lt;&gt;"Skip")*(DAY(AB549)='Recurring Items'!$F$28)*IFERROR(N('Recurring Items'!$D$28),0)+(IF(AC549=1,'Debt Tracker'!$P$26&gt;0.01,INDEX('Debt Tracker'!$T$5:$AE$29,22,AC549-1)&gt;0.01))*('Recurring Items'!$H$29&lt;&gt;"Skip")*(DAY(AB549)='Recurring Items'!$F$29)*IFERROR(N('Recurring Items'!$D$29),0)+(IF(AC549=1,'Debt Tracker'!$P$27&gt;0.01,INDEX('Debt Tracker'!$T$5:$AE$29,23,AC549-1)&gt;0.01))*('Recurring Items'!$H$30&lt;&gt;"Skip")*(DAY(AB549)='Recurring Items'!$F$30)*IFERROR(N('Recurring Items'!$D$30),0)+(IF(AC549=1,'Debt Tracker'!$P$28&gt;0.01,INDEX('Debt Tracker'!$T$5:$AE$29,24,AC549-1)&gt;0.01))*('Recurring Items'!$H$31&lt;&gt;"Skip")*(DAY(AB549)='Recurring Items'!$F$31)*IFERROR(N('Recurring Items'!$D$31),0)+(IF(AC549=1,'Debt Tracker'!$P$29&gt;0.01,INDEX('Debt Tracker'!$T$5:$AE$29,25,AC549-1)&gt;0.01))*('Recurring Items'!$H$32&lt;&gt;"Skip")*(DAY(AB549)='Recurring Items'!$F$32)*IFERROR(N('Recurring Items'!$D$32),0)</f>
        <v>107.75</v>
      </c>
      <c r="AG549" s="1" t="n">
        <f aca="false">AD549-AE549-AF549</f>
        <v>-3098.32</v>
      </c>
      <c r="AH549" s="1" t="n">
        <f aca="false">AH548+AG549</f>
        <v>22257.19</v>
      </c>
    </row>
    <row r="550" customFormat="false" ht="15" hidden="false" customHeight="true" outlineLevel="0" collapsed="false">
      <c r="AA550" s="1" t="n">
        <v>350</v>
      </c>
      <c r="AB550" s="145" t="n">
        <f aca="false">$D$3+350</f>
        <v>46493</v>
      </c>
      <c r="AC550" s="1" t="n">
        <f aca="false">MIN(12,1+DATEDIF($D$3,AB550,"M"))</f>
        <v>12</v>
      </c>
      <c r="AD550" s="1" t="n">
        <f aca="false">SUMPRODUCT(('Recurring Items'!$C$6:$C$56="Income")*('Recurring Items'!$H$6:$H$56&lt;&gt;"Skip")*IFERROR(N('Recurring Items'!$D$6:$D$56),0)*(('Recurring Items'!$E$6:$E$56="Monthly")*(DAY(AB550)='Recurring Items'!$F$6:$F$56)+('Recurring Items'!$E$6:$E$56="Bi-weekly")*(WEEKDAY(AB550)=IFERROR(WEEKDAY('Recurring Items'!$G$6:$G$56),0))*(MOD(AB550-IFERROR('Recurring Items'!$G$6:$G$56,0),14)=0)*(AB550&gt;=IFERROR('Recurring Items'!$G$6:$G$56,9000000000))+('Recurring Items'!$E$6:$E$56="Weekly")*(WEEKDAY(AB550)=IFERROR(WEEKDAY('Recurring Items'!$G$6:$G$56),0))*(AB550&gt;=IFERROR('Recurring Items'!$G$6:$G$56,9000000000))+('Recurring Items'!$E$6:$E$56="One-time")*(AB550='Recurring Items'!$G$6:$G$56)))</f>
        <v>3819.79</v>
      </c>
      <c r="AE550" s="1" t="n">
        <f aca="false">SUMPRODUCT(('Recurring Items'!$C$6:$C$56="Expense")*('Recurring Items'!$H$6:$H$56&lt;&gt;"Skip")*IFERROR(N('Recurring Items'!$D$6:$D$56),0)*(('Recurring Items'!$E$6:$E$56="Monthly")*(DAY(AB550)='Recurring Items'!$F$6:$F$56)+('Recurring Items'!$E$6:$E$56="Bi-weekly")*(WEEKDAY(AB550)=IFERROR(WEEKDAY('Recurring Items'!$G$6:$G$56),0))*(MOD(AB550-IFERROR('Recurring Items'!$G$6:$G$56,0),14)=0)*(AB550&gt;=IFERROR('Recurring Items'!$G$6:$G$56,9000000000))+('Recurring Items'!$E$6:$E$56="Weekly")*(WEEKDAY(AB550)=IFERROR(WEEKDAY('Recurring Items'!$G$6:$G$56),0))*(AB550&gt;=IFERROR('Recurring Items'!$G$6:$G$56,9000000000))+('Recurring Items'!$E$6:$E$56="One-time")*(AB550='Recurring Items'!$G$6:$G$56)))</f>
        <v>802</v>
      </c>
      <c r="AF550" s="1" t="n">
        <f aca="false">(IF(AC550=1,'Debt Tracker'!$P$5&gt;0.01,INDEX('Debt Tracker'!$T$5:$AE$29,1,AC550-1)&gt;0.01))*('Recurring Items'!$H$8&lt;&gt;"Skip")*(DAY(AB550)='Recurring Items'!$F$8)*IFERROR(N('Recurring Items'!$D$8),0)+(IF(AC550=1,'Debt Tracker'!$P$6&gt;0.01,INDEX('Debt Tracker'!$T$5:$AE$29,2,AC550-1)&gt;0.01))*('Recurring Items'!$H$9&lt;&gt;"Skip")*(DAY(AB550)='Recurring Items'!$F$9)*IFERROR(N('Recurring Items'!$D$9),0)+(IF(AC550=1,'Debt Tracker'!$P$7&gt;0.01,INDEX('Debt Tracker'!$T$5:$AE$29,3,AC550-1)&gt;0.01))*('Recurring Items'!$H$10&lt;&gt;"Skip")*(DAY(AB550)='Recurring Items'!$F$10)*IFERROR(N('Recurring Items'!$D$10),0)+(IF(AC550=1,'Debt Tracker'!$P$8&gt;0.01,INDEX('Debt Tracker'!$T$5:$AE$29,4,AC550-1)&gt;0.01))*('Recurring Items'!$H$11&lt;&gt;"Skip")*(DAY(AB550)='Recurring Items'!$F$11)*IFERROR(N('Recurring Items'!$D$11),0)+(IF(AC550=1,'Debt Tracker'!$P$9&gt;0.01,INDEX('Debt Tracker'!$T$5:$AE$29,5,AC550-1)&gt;0.01))*('Recurring Items'!$H$12&lt;&gt;"Skip")*(DAY(AB550)='Recurring Items'!$F$12)*IFERROR(N('Recurring Items'!$D$12),0)+(IF(AC550=1,'Debt Tracker'!$P$10&gt;0.01,INDEX('Debt Tracker'!$T$5:$AE$29,6,AC550-1)&gt;0.01))*('Recurring Items'!$H$13&lt;&gt;"Skip")*(DAY(AB550)='Recurring Items'!$F$13)*IFERROR(N('Recurring Items'!$D$13),0)+(IF(AC550=1,'Debt Tracker'!$P$11&gt;0.01,INDEX('Debt Tracker'!$T$5:$AE$29,7,AC550-1)&gt;0.01))*('Recurring Items'!$H$14&lt;&gt;"Skip")*(DAY(AB550)='Recurring Items'!$F$14)*IFERROR(N('Recurring Items'!$D$14),0)+(IF(AC550=1,'Debt Tracker'!$P$12&gt;0.01,INDEX('Debt Tracker'!$T$5:$AE$29,8,AC550-1)&gt;0.01))*('Recurring Items'!$H$15&lt;&gt;"Skip")*(DAY(AB550)='Recurring Items'!$F$15)*IFERROR(N('Recurring Items'!$D$15),0)+(IF(AC550=1,'Debt Tracker'!$P$13&gt;0.01,INDEX('Debt Tracker'!$T$5:$AE$29,9,AC550-1)&gt;0.01))*('Recurring Items'!$H$16&lt;&gt;"Skip")*(DAY(AB550)='Recurring Items'!$F$16)*IFERROR(N('Recurring Items'!$D$16),0)+(IF(AC550=1,'Debt Tracker'!$P$14&gt;0.01,INDEX('Debt Tracker'!$T$5:$AE$29,10,AC550-1)&gt;0.01))*('Recurring Items'!$H$17&lt;&gt;"Skip")*(DAY(AB550)='Recurring Items'!$F$17)*IFERROR(N('Recurring Items'!$D$17),0)+(IF(AC550=1,'Debt Tracker'!$P$15&gt;0.01,INDEX('Debt Tracker'!$T$5:$AE$29,11,AC550-1)&gt;0.01))*('Recurring Items'!$H$18&lt;&gt;"Skip")*(DAY(AB550)='Recurring Items'!$F$18)*IFERROR(N('Recurring Items'!$D$18),0)+(IF(AC550=1,'Debt Tracker'!$P$16&gt;0.01,INDEX('Debt Tracker'!$T$5:$AE$29,12,AC550-1)&gt;0.01))*('Recurring Items'!$H$19&lt;&gt;"Skip")*(DAY(AB550)='Recurring Items'!$F$19)*IFERROR(N('Recurring Items'!$D$19),0)+(IF(AC550=1,'Debt Tracker'!$P$17&gt;0.01,INDEX('Debt Tracker'!$T$5:$AE$29,13,AC550-1)&gt;0.01))*('Recurring Items'!$H$20&lt;&gt;"Skip")*(DAY(AB550)='Recurring Items'!$F$20)*IFERROR(N('Recurring Items'!$D$20),0)+(IF(AC550=1,'Debt Tracker'!$P$18&gt;0.01,INDEX('Debt Tracker'!$T$5:$AE$29,14,AC550-1)&gt;0.01))*('Recurring Items'!$H$21&lt;&gt;"Skip")*(DAY(AB550)='Recurring Items'!$F$21)*IFERROR(N('Recurring Items'!$D$21),0)+(IF(AC550=1,'Debt Tracker'!$P$19&gt;0.01,INDEX('Debt Tracker'!$T$5:$AE$29,15,AC550-1)&gt;0.01))*('Recurring Items'!$H$22&lt;&gt;"Skip")*(DAY(AB550)='Recurring Items'!$F$22)*IFERROR(N('Recurring Items'!$D$22),0)+(IF(AC550=1,'Debt Tracker'!$P$20&gt;0.01,INDEX('Debt Tracker'!$T$5:$AE$29,16,AC550-1)&gt;0.01))*('Recurring Items'!$H$23&lt;&gt;"Skip")*(DAY(AB550)='Recurring Items'!$F$23)*IFERROR(N('Recurring Items'!$D$23),0)+(IF(AC550=1,'Debt Tracker'!$P$21&gt;0.01,INDEX('Debt Tracker'!$T$5:$AE$29,17,AC550-1)&gt;0.01))*('Recurring Items'!$H$24&lt;&gt;"Skip")*(DAY(AB550)='Recurring Items'!$F$24)*IFERROR(N('Recurring Items'!$D$24),0)+(IF(AC550=1,'Debt Tracker'!$P$22&gt;0.01,INDEX('Debt Tracker'!$T$5:$AE$29,18,AC550-1)&gt;0.01))*('Recurring Items'!$H$25&lt;&gt;"Skip")*(DAY(AB550)='Recurring Items'!$F$25)*IFERROR(N('Recurring Items'!$D$25),0)+(IF(AC550=1,'Debt Tracker'!$P$23&gt;0.01,INDEX('Debt Tracker'!$T$5:$AE$29,19,AC550-1)&gt;0.01))*('Recurring Items'!$H$26&lt;&gt;"Skip")*(DAY(AB550)='Recurring Items'!$F$26)*IFERROR(N('Recurring Items'!$D$26),0)+(IF(AC550=1,'Debt Tracker'!$P$24&gt;0.01,INDEX('Debt Tracker'!$T$5:$AE$29,20,AC550-1)&gt;0.01))*('Recurring Items'!$H$27&lt;&gt;"Skip")*(DAY(AB550)='Recurring Items'!$F$27)*IFERROR(N('Recurring Items'!$D$27),0)+(IF(AC550=1,'Debt Tracker'!$P$25&gt;0.01,INDEX('Debt Tracker'!$T$5:$AE$29,21,AC550-1)&gt;0.01))*('Recurring Items'!$H$28&lt;&gt;"Skip")*(DAY(AB550)='Recurring Items'!$F$28)*IFERROR(N('Recurring Items'!$D$28),0)+(IF(AC550=1,'Debt Tracker'!$P$26&gt;0.01,INDEX('Debt Tracker'!$T$5:$AE$29,22,AC550-1)&gt;0.01))*('Recurring Items'!$H$29&lt;&gt;"Skip")*(DAY(AB550)='Recurring Items'!$F$29)*IFERROR(N('Recurring Items'!$D$29),0)+(IF(AC550=1,'Debt Tracker'!$P$27&gt;0.01,INDEX('Debt Tracker'!$T$5:$AE$29,23,AC550-1)&gt;0.01))*('Recurring Items'!$H$30&lt;&gt;"Skip")*(DAY(AB550)='Recurring Items'!$F$30)*IFERROR(N('Recurring Items'!$D$30),0)+(IF(AC550=1,'Debt Tracker'!$P$28&gt;0.01,INDEX('Debt Tracker'!$T$5:$AE$29,24,AC550-1)&gt;0.01))*('Recurring Items'!$H$31&lt;&gt;"Skip")*(DAY(AB550)='Recurring Items'!$F$31)*IFERROR(N('Recurring Items'!$D$31),0)+(IF(AC550=1,'Debt Tracker'!$P$29&gt;0.01,INDEX('Debt Tracker'!$T$5:$AE$29,25,AC550-1)&gt;0.01))*('Recurring Items'!$H$32&lt;&gt;"Skip")*(DAY(AB550)='Recurring Items'!$F$32)*IFERROR(N('Recurring Items'!$D$32),0)</f>
        <v>0</v>
      </c>
      <c r="AG550" s="1" t="n">
        <f aca="false">AD550-AE550-AF550</f>
        <v>3017.79</v>
      </c>
      <c r="AH550" s="1" t="n">
        <f aca="false">AH549+AG550</f>
        <v>25274.98</v>
      </c>
    </row>
    <row r="551" customFormat="false" ht="15" hidden="false" customHeight="true" outlineLevel="0" collapsed="false">
      <c r="AA551" s="1" t="n">
        <v>351</v>
      </c>
      <c r="AB551" s="145" t="n">
        <f aca="false">$D$3+351</f>
        <v>46494</v>
      </c>
      <c r="AC551" s="1" t="n">
        <f aca="false">MIN(12,1+DATEDIF($D$3,AB551,"M"))</f>
        <v>12</v>
      </c>
      <c r="AD551" s="1" t="n">
        <f aca="false">SUMPRODUCT(('Recurring Items'!$C$6:$C$56="Income")*('Recurring Items'!$H$6:$H$56&lt;&gt;"Skip")*IFERROR(N('Recurring Items'!$D$6:$D$56),0)*(('Recurring Items'!$E$6:$E$56="Monthly")*(DAY(AB551)='Recurring Items'!$F$6:$F$56)+('Recurring Items'!$E$6:$E$56="Bi-weekly")*(WEEKDAY(AB551)=IFERROR(WEEKDAY('Recurring Items'!$G$6:$G$56),0))*(MOD(AB551-IFERROR('Recurring Items'!$G$6:$G$56,0),14)=0)*(AB551&gt;=IFERROR('Recurring Items'!$G$6:$G$56,9000000000))+('Recurring Items'!$E$6:$E$56="Weekly")*(WEEKDAY(AB551)=IFERROR(WEEKDAY('Recurring Items'!$G$6:$G$56),0))*(AB551&gt;=IFERROR('Recurring Items'!$G$6:$G$56,9000000000))+('Recurring Items'!$E$6:$E$56="One-time")*(AB551='Recurring Items'!$G$6:$G$56)))</f>
        <v>0</v>
      </c>
      <c r="AE551" s="1" t="n">
        <f aca="false">SUMPRODUCT(('Recurring Items'!$C$6:$C$56="Expense")*('Recurring Items'!$H$6:$H$56&lt;&gt;"Skip")*IFERROR(N('Recurring Items'!$D$6:$D$56),0)*(('Recurring Items'!$E$6:$E$56="Monthly")*(DAY(AB551)='Recurring Items'!$F$6:$F$56)+('Recurring Items'!$E$6:$E$56="Bi-weekly")*(WEEKDAY(AB551)=IFERROR(WEEKDAY('Recurring Items'!$G$6:$G$56),0))*(MOD(AB551-IFERROR('Recurring Items'!$G$6:$G$56,0),14)=0)*(AB551&gt;=IFERROR('Recurring Items'!$G$6:$G$56,9000000000))+('Recurring Items'!$E$6:$E$56="Weekly")*(WEEKDAY(AB551)=IFERROR(WEEKDAY('Recurring Items'!$G$6:$G$56),0))*(AB551&gt;=IFERROR('Recurring Items'!$G$6:$G$56,9000000000))+('Recurring Items'!$E$6:$E$56="One-time")*(AB551='Recurring Items'!$G$6:$G$56)))</f>
        <v>0</v>
      </c>
      <c r="AF551" s="1" t="n">
        <f aca="false">(IF(AC551=1,'Debt Tracker'!$P$5&gt;0.01,INDEX('Debt Tracker'!$T$5:$AE$29,1,AC551-1)&gt;0.01))*('Recurring Items'!$H$8&lt;&gt;"Skip")*(DAY(AB551)='Recurring Items'!$F$8)*IFERROR(N('Recurring Items'!$D$8),0)+(IF(AC551=1,'Debt Tracker'!$P$6&gt;0.01,INDEX('Debt Tracker'!$T$5:$AE$29,2,AC551-1)&gt;0.01))*('Recurring Items'!$H$9&lt;&gt;"Skip")*(DAY(AB551)='Recurring Items'!$F$9)*IFERROR(N('Recurring Items'!$D$9),0)+(IF(AC551=1,'Debt Tracker'!$P$7&gt;0.01,INDEX('Debt Tracker'!$T$5:$AE$29,3,AC551-1)&gt;0.01))*('Recurring Items'!$H$10&lt;&gt;"Skip")*(DAY(AB551)='Recurring Items'!$F$10)*IFERROR(N('Recurring Items'!$D$10),0)+(IF(AC551=1,'Debt Tracker'!$P$8&gt;0.01,INDEX('Debt Tracker'!$T$5:$AE$29,4,AC551-1)&gt;0.01))*('Recurring Items'!$H$11&lt;&gt;"Skip")*(DAY(AB551)='Recurring Items'!$F$11)*IFERROR(N('Recurring Items'!$D$11),0)+(IF(AC551=1,'Debt Tracker'!$P$9&gt;0.01,INDEX('Debt Tracker'!$T$5:$AE$29,5,AC551-1)&gt;0.01))*('Recurring Items'!$H$12&lt;&gt;"Skip")*(DAY(AB551)='Recurring Items'!$F$12)*IFERROR(N('Recurring Items'!$D$12),0)+(IF(AC551=1,'Debt Tracker'!$P$10&gt;0.01,INDEX('Debt Tracker'!$T$5:$AE$29,6,AC551-1)&gt;0.01))*('Recurring Items'!$H$13&lt;&gt;"Skip")*(DAY(AB551)='Recurring Items'!$F$13)*IFERROR(N('Recurring Items'!$D$13),0)+(IF(AC551=1,'Debt Tracker'!$P$11&gt;0.01,INDEX('Debt Tracker'!$T$5:$AE$29,7,AC551-1)&gt;0.01))*('Recurring Items'!$H$14&lt;&gt;"Skip")*(DAY(AB551)='Recurring Items'!$F$14)*IFERROR(N('Recurring Items'!$D$14),0)+(IF(AC551=1,'Debt Tracker'!$P$12&gt;0.01,INDEX('Debt Tracker'!$T$5:$AE$29,8,AC551-1)&gt;0.01))*('Recurring Items'!$H$15&lt;&gt;"Skip")*(DAY(AB551)='Recurring Items'!$F$15)*IFERROR(N('Recurring Items'!$D$15),0)+(IF(AC551=1,'Debt Tracker'!$P$13&gt;0.01,INDEX('Debt Tracker'!$T$5:$AE$29,9,AC551-1)&gt;0.01))*('Recurring Items'!$H$16&lt;&gt;"Skip")*(DAY(AB551)='Recurring Items'!$F$16)*IFERROR(N('Recurring Items'!$D$16),0)+(IF(AC551=1,'Debt Tracker'!$P$14&gt;0.01,INDEX('Debt Tracker'!$T$5:$AE$29,10,AC551-1)&gt;0.01))*('Recurring Items'!$H$17&lt;&gt;"Skip")*(DAY(AB551)='Recurring Items'!$F$17)*IFERROR(N('Recurring Items'!$D$17),0)+(IF(AC551=1,'Debt Tracker'!$P$15&gt;0.01,INDEX('Debt Tracker'!$T$5:$AE$29,11,AC551-1)&gt;0.01))*('Recurring Items'!$H$18&lt;&gt;"Skip")*(DAY(AB551)='Recurring Items'!$F$18)*IFERROR(N('Recurring Items'!$D$18),0)+(IF(AC551=1,'Debt Tracker'!$P$16&gt;0.01,INDEX('Debt Tracker'!$T$5:$AE$29,12,AC551-1)&gt;0.01))*('Recurring Items'!$H$19&lt;&gt;"Skip")*(DAY(AB551)='Recurring Items'!$F$19)*IFERROR(N('Recurring Items'!$D$19),0)+(IF(AC551=1,'Debt Tracker'!$P$17&gt;0.01,INDEX('Debt Tracker'!$T$5:$AE$29,13,AC551-1)&gt;0.01))*('Recurring Items'!$H$20&lt;&gt;"Skip")*(DAY(AB551)='Recurring Items'!$F$20)*IFERROR(N('Recurring Items'!$D$20),0)+(IF(AC551=1,'Debt Tracker'!$P$18&gt;0.01,INDEX('Debt Tracker'!$T$5:$AE$29,14,AC551-1)&gt;0.01))*('Recurring Items'!$H$21&lt;&gt;"Skip")*(DAY(AB551)='Recurring Items'!$F$21)*IFERROR(N('Recurring Items'!$D$21),0)+(IF(AC551=1,'Debt Tracker'!$P$19&gt;0.01,INDEX('Debt Tracker'!$T$5:$AE$29,15,AC551-1)&gt;0.01))*('Recurring Items'!$H$22&lt;&gt;"Skip")*(DAY(AB551)='Recurring Items'!$F$22)*IFERROR(N('Recurring Items'!$D$22),0)+(IF(AC551=1,'Debt Tracker'!$P$20&gt;0.01,INDEX('Debt Tracker'!$T$5:$AE$29,16,AC551-1)&gt;0.01))*('Recurring Items'!$H$23&lt;&gt;"Skip")*(DAY(AB551)='Recurring Items'!$F$23)*IFERROR(N('Recurring Items'!$D$23),0)+(IF(AC551=1,'Debt Tracker'!$P$21&gt;0.01,INDEX('Debt Tracker'!$T$5:$AE$29,17,AC551-1)&gt;0.01))*('Recurring Items'!$H$24&lt;&gt;"Skip")*(DAY(AB551)='Recurring Items'!$F$24)*IFERROR(N('Recurring Items'!$D$24),0)+(IF(AC551=1,'Debt Tracker'!$P$22&gt;0.01,INDEX('Debt Tracker'!$T$5:$AE$29,18,AC551-1)&gt;0.01))*('Recurring Items'!$H$25&lt;&gt;"Skip")*(DAY(AB551)='Recurring Items'!$F$25)*IFERROR(N('Recurring Items'!$D$25),0)+(IF(AC551=1,'Debt Tracker'!$P$23&gt;0.01,INDEX('Debt Tracker'!$T$5:$AE$29,19,AC551-1)&gt;0.01))*('Recurring Items'!$H$26&lt;&gt;"Skip")*(DAY(AB551)='Recurring Items'!$F$26)*IFERROR(N('Recurring Items'!$D$26),0)+(IF(AC551=1,'Debt Tracker'!$P$24&gt;0.01,INDEX('Debt Tracker'!$T$5:$AE$29,20,AC551-1)&gt;0.01))*('Recurring Items'!$H$27&lt;&gt;"Skip")*(DAY(AB551)='Recurring Items'!$F$27)*IFERROR(N('Recurring Items'!$D$27),0)+(IF(AC551=1,'Debt Tracker'!$P$25&gt;0.01,INDEX('Debt Tracker'!$T$5:$AE$29,21,AC551-1)&gt;0.01))*('Recurring Items'!$H$28&lt;&gt;"Skip")*(DAY(AB551)='Recurring Items'!$F$28)*IFERROR(N('Recurring Items'!$D$28),0)+(IF(AC551=1,'Debt Tracker'!$P$26&gt;0.01,INDEX('Debt Tracker'!$T$5:$AE$29,22,AC551-1)&gt;0.01))*('Recurring Items'!$H$29&lt;&gt;"Skip")*(DAY(AB551)='Recurring Items'!$F$29)*IFERROR(N('Recurring Items'!$D$29),0)+(IF(AC551=1,'Debt Tracker'!$P$27&gt;0.01,INDEX('Debt Tracker'!$T$5:$AE$29,23,AC551-1)&gt;0.01))*('Recurring Items'!$H$30&lt;&gt;"Skip")*(DAY(AB551)='Recurring Items'!$F$30)*IFERROR(N('Recurring Items'!$D$30),0)+(IF(AC551=1,'Debt Tracker'!$P$28&gt;0.01,INDEX('Debt Tracker'!$T$5:$AE$29,24,AC551-1)&gt;0.01))*('Recurring Items'!$H$31&lt;&gt;"Skip")*(DAY(AB551)='Recurring Items'!$F$31)*IFERROR(N('Recurring Items'!$D$31),0)+(IF(AC551=1,'Debt Tracker'!$P$29&gt;0.01,INDEX('Debt Tracker'!$T$5:$AE$29,25,AC551-1)&gt;0.01))*('Recurring Items'!$H$32&lt;&gt;"Skip")*(DAY(AB551)='Recurring Items'!$F$32)*IFERROR(N('Recurring Items'!$D$32),0)</f>
        <v>0</v>
      </c>
      <c r="AG551" s="1" t="n">
        <f aca="false">AD551-AE551-AF551</f>
        <v>0</v>
      </c>
      <c r="AH551" s="1" t="n">
        <f aca="false">AH550+AG551</f>
        <v>25274.98</v>
      </c>
    </row>
    <row r="552" customFormat="false" ht="15" hidden="false" customHeight="true" outlineLevel="0" collapsed="false">
      <c r="AA552" s="1" t="n">
        <v>352</v>
      </c>
      <c r="AB552" s="145" t="n">
        <f aca="false">$D$3+352</f>
        <v>46495</v>
      </c>
      <c r="AC552" s="1" t="n">
        <f aca="false">MIN(12,1+DATEDIF($D$3,AB552,"M"))</f>
        <v>12</v>
      </c>
      <c r="AD552" s="1" t="n">
        <f aca="false">SUMPRODUCT(('Recurring Items'!$C$6:$C$56="Income")*('Recurring Items'!$H$6:$H$56&lt;&gt;"Skip")*IFERROR(N('Recurring Items'!$D$6:$D$56),0)*(('Recurring Items'!$E$6:$E$56="Monthly")*(DAY(AB552)='Recurring Items'!$F$6:$F$56)+('Recurring Items'!$E$6:$E$56="Bi-weekly")*(WEEKDAY(AB552)=IFERROR(WEEKDAY('Recurring Items'!$G$6:$G$56),0))*(MOD(AB552-IFERROR('Recurring Items'!$G$6:$G$56,0),14)=0)*(AB552&gt;=IFERROR('Recurring Items'!$G$6:$G$56,9000000000))+('Recurring Items'!$E$6:$E$56="Weekly")*(WEEKDAY(AB552)=IFERROR(WEEKDAY('Recurring Items'!$G$6:$G$56),0))*(AB552&gt;=IFERROR('Recurring Items'!$G$6:$G$56,9000000000))+('Recurring Items'!$E$6:$E$56="One-time")*(AB552='Recurring Items'!$G$6:$G$56)))</f>
        <v>0</v>
      </c>
      <c r="AE552" s="1" t="n">
        <f aca="false">SUMPRODUCT(('Recurring Items'!$C$6:$C$56="Expense")*('Recurring Items'!$H$6:$H$56&lt;&gt;"Skip")*IFERROR(N('Recurring Items'!$D$6:$D$56),0)*(('Recurring Items'!$E$6:$E$56="Monthly")*(DAY(AB552)='Recurring Items'!$F$6:$F$56)+('Recurring Items'!$E$6:$E$56="Bi-weekly")*(WEEKDAY(AB552)=IFERROR(WEEKDAY('Recurring Items'!$G$6:$G$56),0))*(MOD(AB552-IFERROR('Recurring Items'!$G$6:$G$56,0),14)=0)*(AB552&gt;=IFERROR('Recurring Items'!$G$6:$G$56,9000000000))+('Recurring Items'!$E$6:$E$56="Weekly")*(WEEKDAY(AB552)=IFERROR(WEEKDAY('Recurring Items'!$G$6:$G$56),0))*(AB552&gt;=IFERROR('Recurring Items'!$G$6:$G$56,9000000000))+('Recurring Items'!$E$6:$E$56="One-time")*(AB552='Recurring Items'!$G$6:$G$56)))</f>
        <v>0</v>
      </c>
      <c r="AF552" s="1" t="n">
        <f aca="false">(IF(AC552=1,'Debt Tracker'!$P$5&gt;0.01,INDEX('Debt Tracker'!$T$5:$AE$29,1,AC552-1)&gt;0.01))*('Recurring Items'!$H$8&lt;&gt;"Skip")*(DAY(AB552)='Recurring Items'!$F$8)*IFERROR(N('Recurring Items'!$D$8),0)+(IF(AC552=1,'Debt Tracker'!$P$6&gt;0.01,INDEX('Debt Tracker'!$T$5:$AE$29,2,AC552-1)&gt;0.01))*('Recurring Items'!$H$9&lt;&gt;"Skip")*(DAY(AB552)='Recurring Items'!$F$9)*IFERROR(N('Recurring Items'!$D$9),0)+(IF(AC552=1,'Debt Tracker'!$P$7&gt;0.01,INDEX('Debt Tracker'!$T$5:$AE$29,3,AC552-1)&gt;0.01))*('Recurring Items'!$H$10&lt;&gt;"Skip")*(DAY(AB552)='Recurring Items'!$F$10)*IFERROR(N('Recurring Items'!$D$10),0)+(IF(AC552=1,'Debt Tracker'!$P$8&gt;0.01,INDEX('Debt Tracker'!$T$5:$AE$29,4,AC552-1)&gt;0.01))*('Recurring Items'!$H$11&lt;&gt;"Skip")*(DAY(AB552)='Recurring Items'!$F$11)*IFERROR(N('Recurring Items'!$D$11),0)+(IF(AC552=1,'Debt Tracker'!$P$9&gt;0.01,INDEX('Debt Tracker'!$T$5:$AE$29,5,AC552-1)&gt;0.01))*('Recurring Items'!$H$12&lt;&gt;"Skip")*(DAY(AB552)='Recurring Items'!$F$12)*IFERROR(N('Recurring Items'!$D$12),0)+(IF(AC552=1,'Debt Tracker'!$P$10&gt;0.01,INDEX('Debt Tracker'!$T$5:$AE$29,6,AC552-1)&gt;0.01))*('Recurring Items'!$H$13&lt;&gt;"Skip")*(DAY(AB552)='Recurring Items'!$F$13)*IFERROR(N('Recurring Items'!$D$13),0)+(IF(AC552=1,'Debt Tracker'!$P$11&gt;0.01,INDEX('Debt Tracker'!$T$5:$AE$29,7,AC552-1)&gt;0.01))*('Recurring Items'!$H$14&lt;&gt;"Skip")*(DAY(AB552)='Recurring Items'!$F$14)*IFERROR(N('Recurring Items'!$D$14),0)+(IF(AC552=1,'Debt Tracker'!$P$12&gt;0.01,INDEX('Debt Tracker'!$T$5:$AE$29,8,AC552-1)&gt;0.01))*('Recurring Items'!$H$15&lt;&gt;"Skip")*(DAY(AB552)='Recurring Items'!$F$15)*IFERROR(N('Recurring Items'!$D$15),0)+(IF(AC552=1,'Debt Tracker'!$P$13&gt;0.01,INDEX('Debt Tracker'!$T$5:$AE$29,9,AC552-1)&gt;0.01))*('Recurring Items'!$H$16&lt;&gt;"Skip")*(DAY(AB552)='Recurring Items'!$F$16)*IFERROR(N('Recurring Items'!$D$16),0)+(IF(AC552=1,'Debt Tracker'!$P$14&gt;0.01,INDEX('Debt Tracker'!$T$5:$AE$29,10,AC552-1)&gt;0.01))*('Recurring Items'!$H$17&lt;&gt;"Skip")*(DAY(AB552)='Recurring Items'!$F$17)*IFERROR(N('Recurring Items'!$D$17),0)+(IF(AC552=1,'Debt Tracker'!$P$15&gt;0.01,INDEX('Debt Tracker'!$T$5:$AE$29,11,AC552-1)&gt;0.01))*('Recurring Items'!$H$18&lt;&gt;"Skip")*(DAY(AB552)='Recurring Items'!$F$18)*IFERROR(N('Recurring Items'!$D$18),0)+(IF(AC552=1,'Debt Tracker'!$P$16&gt;0.01,INDEX('Debt Tracker'!$T$5:$AE$29,12,AC552-1)&gt;0.01))*('Recurring Items'!$H$19&lt;&gt;"Skip")*(DAY(AB552)='Recurring Items'!$F$19)*IFERROR(N('Recurring Items'!$D$19),0)+(IF(AC552=1,'Debt Tracker'!$P$17&gt;0.01,INDEX('Debt Tracker'!$T$5:$AE$29,13,AC552-1)&gt;0.01))*('Recurring Items'!$H$20&lt;&gt;"Skip")*(DAY(AB552)='Recurring Items'!$F$20)*IFERROR(N('Recurring Items'!$D$20),0)+(IF(AC552=1,'Debt Tracker'!$P$18&gt;0.01,INDEX('Debt Tracker'!$T$5:$AE$29,14,AC552-1)&gt;0.01))*('Recurring Items'!$H$21&lt;&gt;"Skip")*(DAY(AB552)='Recurring Items'!$F$21)*IFERROR(N('Recurring Items'!$D$21),0)+(IF(AC552=1,'Debt Tracker'!$P$19&gt;0.01,INDEX('Debt Tracker'!$T$5:$AE$29,15,AC552-1)&gt;0.01))*('Recurring Items'!$H$22&lt;&gt;"Skip")*(DAY(AB552)='Recurring Items'!$F$22)*IFERROR(N('Recurring Items'!$D$22),0)+(IF(AC552=1,'Debt Tracker'!$P$20&gt;0.01,INDEX('Debt Tracker'!$T$5:$AE$29,16,AC552-1)&gt;0.01))*('Recurring Items'!$H$23&lt;&gt;"Skip")*(DAY(AB552)='Recurring Items'!$F$23)*IFERROR(N('Recurring Items'!$D$23),0)+(IF(AC552=1,'Debt Tracker'!$P$21&gt;0.01,INDEX('Debt Tracker'!$T$5:$AE$29,17,AC552-1)&gt;0.01))*('Recurring Items'!$H$24&lt;&gt;"Skip")*(DAY(AB552)='Recurring Items'!$F$24)*IFERROR(N('Recurring Items'!$D$24),0)+(IF(AC552=1,'Debt Tracker'!$P$22&gt;0.01,INDEX('Debt Tracker'!$T$5:$AE$29,18,AC552-1)&gt;0.01))*('Recurring Items'!$H$25&lt;&gt;"Skip")*(DAY(AB552)='Recurring Items'!$F$25)*IFERROR(N('Recurring Items'!$D$25),0)+(IF(AC552=1,'Debt Tracker'!$P$23&gt;0.01,INDEX('Debt Tracker'!$T$5:$AE$29,19,AC552-1)&gt;0.01))*('Recurring Items'!$H$26&lt;&gt;"Skip")*(DAY(AB552)='Recurring Items'!$F$26)*IFERROR(N('Recurring Items'!$D$26),0)+(IF(AC552=1,'Debt Tracker'!$P$24&gt;0.01,INDEX('Debt Tracker'!$T$5:$AE$29,20,AC552-1)&gt;0.01))*('Recurring Items'!$H$27&lt;&gt;"Skip")*(DAY(AB552)='Recurring Items'!$F$27)*IFERROR(N('Recurring Items'!$D$27),0)+(IF(AC552=1,'Debt Tracker'!$P$25&gt;0.01,INDEX('Debt Tracker'!$T$5:$AE$29,21,AC552-1)&gt;0.01))*('Recurring Items'!$H$28&lt;&gt;"Skip")*(DAY(AB552)='Recurring Items'!$F$28)*IFERROR(N('Recurring Items'!$D$28),0)+(IF(AC552=1,'Debt Tracker'!$P$26&gt;0.01,INDEX('Debt Tracker'!$T$5:$AE$29,22,AC552-1)&gt;0.01))*('Recurring Items'!$H$29&lt;&gt;"Skip")*(DAY(AB552)='Recurring Items'!$F$29)*IFERROR(N('Recurring Items'!$D$29),0)+(IF(AC552=1,'Debt Tracker'!$P$27&gt;0.01,INDEX('Debt Tracker'!$T$5:$AE$29,23,AC552-1)&gt;0.01))*('Recurring Items'!$H$30&lt;&gt;"Skip")*(DAY(AB552)='Recurring Items'!$F$30)*IFERROR(N('Recurring Items'!$D$30),0)+(IF(AC552=1,'Debt Tracker'!$P$28&gt;0.01,INDEX('Debt Tracker'!$T$5:$AE$29,24,AC552-1)&gt;0.01))*('Recurring Items'!$H$31&lt;&gt;"Skip")*(DAY(AB552)='Recurring Items'!$F$31)*IFERROR(N('Recurring Items'!$D$31),0)+(IF(AC552=1,'Debt Tracker'!$P$29&gt;0.01,INDEX('Debt Tracker'!$T$5:$AE$29,25,AC552-1)&gt;0.01))*('Recurring Items'!$H$32&lt;&gt;"Skip")*(DAY(AB552)='Recurring Items'!$F$32)*IFERROR(N('Recurring Items'!$D$32),0)</f>
        <v>0</v>
      </c>
      <c r="AG552" s="1" t="n">
        <f aca="false">AD552-AE552-AF552</f>
        <v>0</v>
      </c>
      <c r="AH552" s="1" t="n">
        <f aca="false">AH551+AG552</f>
        <v>25274.98</v>
      </c>
    </row>
    <row r="553" customFormat="false" ht="15" hidden="false" customHeight="true" outlineLevel="0" collapsed="false">
      <c r="AA553" s="1" t="n">
        <v>353</v>
      </c>
      <c r="AB553" s="145" t="n">
        <f aca="false">$D$3+353</f>
        <v>46496</v>
      </c>
      <c r="AC553" s="1" t="n">
        <f aca="false">MIN(12,1+DATEDIF($D$3,AB553,"M"))</f>
        <v>12</v>
      </c>
      <c r="AD553" s="1" t="n">
        <f aca="false">SUMPRODUCT(('Recurring Items'!$C$6:$C$56="Income")*('Recurring Items'!$H$6:$H$56&lt;&gt;"Skip")*IFERROR(N('Recurring Items'!$D$6:$D$56),0)*(('Recurring Items'!$E$6:$E$56="Monthly")*(DAY(AB553)='Recurring Items'!$F$6:$F$56)+('Recurring Items'!$E$6:$E$56="Bi-weekly")*(WEEKDAY(AB553)=IFERROR(WEEKDAY('Recurring Items'!$G$6:$G$56),0))*(MOD(AB553-IFERROR('Recurring Items'!$G$6:$G$56,0),14)=0)*(AB553&gt;=IFERROR('Recurring Items'!$G$6:$G$56,9000000000))+('Recurring Items'!$E$6:$E$56="Weekly")*(WEEKDAY(AB553)=IFERROR(WEEKDAY('Recurring Items'!$G$6:$G$56),0))*(AB553&gt;=IFERROR('Recurring Items'!$G$6:$G$56,9000000000))+('Recurring Items'!$E$6:$E$56="One-time")*(AB553='Recurring Items'!$G$6:$G$56)))</f>
        <v>0</v>
      </c>
      <c r="AE553" s="1" t="n">
        <f aca="false">SUMPRODUCT(('Recurring Items'!$C$6:$C$56="Expense")*('Recurring Items'!$H$6:$H$56&lt;&gt;"Skip")*IFERROR(N('Recurring Items'!$D$6:$D$56),0)*(('Recurring Items'!$E$6:$E$56="Monthly")*(DAY(AB553)='Recurring Items'!$F$6:$F$56)+('Recurring Items'!$E$6:$E$56="Bi-weekly")*(WEEKDAY(AB553)=IFERROR(WEEKDAY('Recurring Items'!$G$6:$G$56),0))*(MOD(AB553-IFERROR('Recurring Items'!$G$6:$G$56,0),14)=0)*(AB553&gt;=IFERROR('Recurring Items'!$G$6:$G$56,9000000000))+('Recurring Items'!$E$6:$E$56="Weekly")*(WEEKDAY(AB553)=IFERROR(WEEKDAY('Recurring Items'!$G$6:$G$56),0))*(AB553&gt;=IFERROR('Recurring Items'!$G$6:$G$56,9000000000))+('Recurring Items'!$E$6:$E$56="One-time")*(AB553='Recurring Items'!$G$6:$G$56)))</f>
        <v>0</v>
      </c>
      <c r="AF553" s="1" t="n">
        <f aca="false">(IF(AC553=1,'Debt Tracker'!$P$5&gt;0.01,INDEX('Debt Tracker'!$T$5:$AE$29,1,AC553-1)&gt;0.01))*('Recurring Items'!$H$8&lt;&gt;"Skip")*(DAY(AB553)='Recurring Items'!$F$8)*IFERROR(N('Recurring Items'!$D$8),0)+(IF(AC553=1,'Debt Tracker'!$P$6&gt;0.01,INDEX('Debt Tracker'!$T$5:$AE$29,2,AC553-1)&gt;0.01))*('Recurring Items'!$H$9&lt;&gt;"Skip")*(DAY(AB553)='Recurring Items'!$F$9)*IFERROR(N('Recurring Items'!$D$9),0)+(IF(AC553=1,'Debt Tracker'!$P$7&gt;0.01,INDEX('Debt Tracker'!$T$5:$AE$29,3,AC553-1)&gt;0.01))*('Recurring Items'!$H$10&lt;&gt;"Skip")*(DAY(AB553)='Recurring Items'!$F$10)*IFERROR(N('Recurring Items'!$D$10),0)+(IF(AC553=1,'Debt Tracker'!$P$8&gt;0.01,INDEX('Debt Tracker'!$T$5:$AE$29,4,AC553-1)&gt;0.01))*('Recurring Items'!$H$11&lt;&gt;"Skip")*(DAY(AB553)='Recurring Items'!$F$11)*IFERROR(N('Recurring Items'!$D$11),0)+(IF(AC553=1,'Debt Tracker'!$P$9&gt;0.01,INDEX('Debt Tracker'!$T$5:$AE$29,5,AC553-1)&gt;0.01))*('Recurring Items'!$H$12&lt;&gt;"Skip")*(DAY(AB553)='Recurring Items'!$F$12)*IFERROR(N('Recurring Items'!$D$12),0)+(IF(AC553=1,'Debt Tracker'!$P$10&gt;0.01,INDEX('Debt Tracker'!$T$5:$AE$29,6,AC553-1)&gt;0.01))*('Recurring Items'!$H$13&lt;&gt;"Skip")*(DAY(AB553)='Recurring Items'!$F$13)*IFERROR(N('Recurring Items'!$D$13),0)+(IF(AC553=1,'Debt Tracker'!$P$11&gt;0.01,INDEX('Debt Tracker'!$T$5:$AE$29,7,AC553-1)&gt;0.01))*('Recurring Items'!$H$14&lt;&gt;"Skip")*(DAY(AB553)='Recurring Items'!$F$14)*IFERROR(N('Recurring Items'!$D$14),0)+(IF(AC553=1,'Debt Tracker'!$P$12&gt;0.01,INDEX('Debt Tracker'!$T$5:$AE$29,8,AC553-1)&gt;0.01))*('Recurring Items'!$H$15&lt;&gt;"Skip")*(DAY(AB553)='Recurring Items'!$F$15)*IFERROR(N('Recurring Items'!$D$15),0)+(IF(AC553=1,'Debt Tracker'!$P$13&gt;0.01,INDEX('Debt Tracker'!$T$5:$AE$29,9,AC553-1)&gt;0.01))*('Recurring Items'!$H$16&lt;&gt;"Skip")*(DAY(AB553)='Recurring Items'!$F$16)*IFERROR(N('Recurring Items'!$D$16),0)+(IF(AC553=1,'Debt Tracker'!$P$14&gt;0.01,INDEX('Debt Tracker'!$T$5:$AE$29,10,AC553-1)&gt;0.01))*('Recurring Items'!$H$17&lt;&gt;"Skip")*(DAY(AB553)='Recurring Items'!$F$17)*IFERROR(N('Recurring Items'!$D$17),0)+(IF(AC553=1,'Debt Tracker'!$P$15&gt;0.01,INDEX('Debt Tracker'!$T$5:$AE$29,11,AC553-1)&gt;0.01))*('Recurring Items'!$H$18&lt;&gt;"Skip")*(DAY(AB553)='Recurring Items'!$F$18)*IFERROR(N('Recurring Items'!$D$18),0)+(IF(AC553=1,'Debt Tracker'!$P$16&gt;0.01,INDEX('Debt Tracker'!$T$5:$AE$29,12,AC553-1)&gt;0.01))*('Recurring Items'!$H$19&lt;&gt;"Skip")*(DAY(AB553)='Recurring Items'!$F$19)*IFERROR(N('Recurring Items'!$D$19),0)+(IF(AC553=1,'Debt Tracker'!$P$17&gt;0.01,INDEX('Debt Tracker'!$T$5:$AE$29,13,AC553-1)&gt;0.01))*('Recurring Items'!$H$20&lt;&gt;"Skip")*(DAY(AB553)='Recurring Items'!$F$20)*IFERROR(N('Recurring Items'!$D$20),0)+(IF(AC553=1,'Debt Tracker'!$P$18&gt;0.01,INDEX('Debt Tracker'!$T$5:$AE$29,14,AC553-1)&gt;0.01))*('Recurring Items'!$H$21&lt;&gt;"Skip")*(DAY(AB553)='Recurring Items'!$F$21)*IFERROR(N('Recurring Items'!$D$21),0)+(IF(AC553=1,'Debt Tracker'!$P$19&gt;0.01,INDEX('Debt Tracker'!$T$5:$AE$29,15,AC553-1)&gt;0.01))*('Recurring Items'!$H$22&lt;&gt;"Skip")*(DAY(AB553)='Recurring Items'!$F$22)*IFERROR(N('Recurring Items'!$D$22),0)+(IF(AC553=1,'Debt Tracker'!$P$20&gt;0.01,INDEX('Debt Tracker'!$T$5:$AE$29,16,AC553-1)&gt;0.01))*('Recurring Items'!$H$23&lt;&gt;"Skip")*(DAY(AB553)='Recurring Items'!$F$23)*IFERROR(N('Recurring Items'!$D$23),0)+(IF(AC553=1,'Debt Tracker'!$P$21&gt;0.01,INDEX('Debt Tracker'!$T$5:$AE$29,17,AC553-1)&gt;0.01))*('Recurring Items'!$H$24&lt;&gt;"Skip")*(DAY(AB553)='Recurring Items'!$F$24)*IFERROR(N('Recurring Items'!$D$24),0)+(IF(AC553=1,'Debt Tracker'!$P$22&gt;0.01,INDEX('Debt Tracker'!$T$5:$AE$29,18,AC553-1)&gt;0.01))*('Recurring Items'!$H$25&lt;&gt;"Skip")*(DAY(AB553)='Recurring Items'!$F$25)*IFERROR(N('Recurring Items'!$D$25),0)+(IF(AC553=1,'Debt Tracker'!$P$23&gt;0.01,INDEX('Debt Tracker'!$T$5:$AE$29,19,AC553-1)&gt;0.01))*('Recurring Items'!$H$26&lt;&gt;"Skip")*(DAY(AB553)='Recurring Items'!$F$26)*IFERROR(N('Recurring Items'!$D$26),0)+(IF(AC553=1,'Debt Tracker'!$P$24&gt;0.01,INDEX('Debt Tracker'!$T$5:$AE$29,20,AC553-1)&gt;0.01))*('Recurring Items'!$H$27&lt;&gt;"Skip")*(DAY(AB553)='Recurring Items'!$F$27)*IFERROR(N('Recurring Items'!$D$27),0)+(IF(AC553=1,'Debt Tracker'!$P$25&gt;0.01,INDEX('Debt Tracker'!$T$5:$AE$29,21,AC553-1)&gt;0.01))*('Recurring Items'!$H$28&lt;&gt;"Skip")*(DAY(AB553)='Recurring Items'!$F$28)*IFERROR(N('Recurring Items'!$D$28),0)+(IF(AC553=1,'Debt Tracker'!$P$26&gt;0.01,INDEX('Debt Tracker'!$T$5:$AE$29,22,AC553-1)&gt;0.01))*('Recurring Items'!$H$29&lt;&gt;"Skip")*(DAY(AB553)='Recurring Items'!$F$29)*IFERROR(N('Recurring Items'!$D$29),0)+(IF(AC553=1,'Debt Tracker'!$P$27&gt;0.01,INDEX('Debt Tracker'!$T$5:$AE$29,23,AC553-1)&gt;0.01))*('Recurring Items'!$H$30&lt;&gt;"Skip")*(DAY(AB553)='Recurring Items'!$F$30)*IFERROR(N('Recurring Items'!$D$30),0)+(IF(AC553=1,'Debt Tracker'!$P$28&gt;0.01,INDEX('Debt Tracker'!$T$5:$AE$29,24,AC553-1)&gt;0.01))*('Recurring Items'!$H$31&lt;&gt;"Skip")*(DAY(AB553)='Recurring Items'!$F$31)*IFERROR(N('Recurring Items'!$D$31),0)+(IF(AC553=1,'Debt Tracker'!$P$29&gt;0.01,INDEX('Debt Tracker'!$T$5:$AE$29,25,AC553-1)&gt;0.01))*('Recurring Items'!$H$32&lt;&gt;"Skip")*(DAY(AB553)='Recurring Items'!$F$32)*IFERROR(N('Recurring Items'!$D$32),0)</f>
        <v>0</v>
      </c>
      <c r="AG553" s="1" t="n">
        <f aca="false">AD553-AE553-AF553</f>
        <v>0</v>
      </c>
      <c r="AH553" s="1" t="n">
        <f aca="false">AH552+AG553</f>
        <v>25274.98</v>
      </c>
    </row>
    <row r="554" customFormat="false" ht="15" hidden="false" customHeight="true" outlineLevel="0" collapsed="false">
      <c r="AA554" s="1" t="n">
        <v>354</v>
      </c>
      <c r="AB554" s="145" t="n">
        <f aca="false">$D$3+354</f>
        <v>46497</v>
      </c>
      <c r="AC554" s="1" t="n">
        <f aca="false">MIN(12,1+DATEDIF($D$3,AB554,"M"))</f>
        <v>12</v>
      </c>
      <c r="AD554" s="1" t="n">
        <f aca="false">SUMPRODUCT(('Recurring Items'!$C$6:$C$56="Income")*('Recurring Items'!$H$6:$H$56&lt;&gt;"Skip")*IFERROR(N('Recurring Items'!$D$6:$D$56),0)*(('Recurring Items'!$E$6:$E$56="Monthly")*(DAY(AB554)='Recurring Items'!$F$6:$F$56)+('Recurring Items'!$E$6:$E$56="Bi-weekly")*(WEEKDAY(AB554)=IFERROR(WEEKDAY('Recurring Items'!$G$6:$G$56),0))*(MOD(AB554-IFERROR('Recurring Items'!$G$6:$G$56,0),14)=0)*(AB554&gt;=IFERROR('Recurring Items'!$G$6:$G$56,9000000000))+('Recurring Items'!$E$6:$E$56="Weekly")*(WEEKDAY(AB554)=IFERROR(WEEKDAY('Recurring Items'!$G$6:$G$56),0))*(AB554&gt;=IFERROR('Recurring Items'!$G$6:$G$56,9000000000))+('Recurring Items'!$E$6:$E$56="One-time")*(AB554='Recurring Items'!$G$6:$G$56)))</f>
        <v>0</v>
      </c>
      <c r="AE554" s="1" t="n">
        <f aca="false">SUMPRODUCT(('Recurring Items'!$C$6:$C$56="Expense")*('Recurring Items'!$H$6:$H$56&lt;&gt;"Skip")*IFERROR(N('Recurring Items'!$D$6:$D$56),0)*(('Recurring Items'!$E$6:$E$56="Monthly")*(DAY(AB554)='Recurring Items'!$F$6:$F$56)+('Recurring Items'!$E$6:$E$56="Bi-weekly")*(WEEKDAY(AB554)=IFERROR(WEEKDAY('Recurring Items'!$G$6:$G$56),0))*(MOD(AB554-IFERROR('Recurring Items'!$G$6:$G$56,0),14)=0)*(AB554&gt;=IFERROR('Recurring Items'!$G$6:$G$56,9000000000))+('Recurring Items'!$E$6:$E$56="Weekly")*(WEEKDAY(AB554)=IFERROR(WEEKDAY('Recurring Items'!$G$6:$G$56),0))*(AB554&gt;=IFERROR('Recurring Items'!$G$6:$G$56,9000000000))+('Recurring Items'!$E$6:$E$56="One-time")*(AB554='Recurring Items'!$G$6:$G$56)))</f>
        <v>0</v>
      </c>
      <c r="AF554" s="1" t="n">
        <f aca="false">(IF(AC554=1,'Debt Tracker'!$P$5&gt;0.01,INDEX('Debt Tracker'!$T$5:$AE$29,1,AC554-1)&gt;0.01))*('Recurring Items'!$H$8&lt;&gt;"Skip")*(DAY(AB554)='Recurring Items'!$F$8)*IFERROR(N('Recurring Items'!$D$8),0)+(IF(AC554=1,'Debt Tracker'!$P$6&gt;0.01,INDEX('Debt Tracker'!$T$5:$AE$29,2,AC554-1)&gt;0.01))*('Recurring Items'!$H$9&lt;&gt;"Skip")*(DAY(AB554)='Recurring Items'!$F$9)*IFERROR(N('Recurring Items'!$D$9),0)+(IF(AC554=1,'Debt Tracker'!$P$7&gt;0.01,INDEX('Debt Tracker'!$T$5:$AE$29,3,AC554-1)&gt;0.01))*('Recurring Items'!$H$10&lt;&gt;"Skip")*(DAY(AB554)='Recurring Items'!$F$10)*IFERROR(N('Recurring Items'!$D$10),0)+(IF(AC554=1,'Debt Tracker'!$P$8&gt;0.01,INDEX('Debt Tracker'!$T$5:$AE$29,4,AC554-1)&gt;0.01))*('Recurring Items'!$H$11&lt;&gt;"Skip")*(DAY(AB554)='Recurring Items'!$F$11)*IFERROR(N('Recurring Items'!$D$11),0)+(IF(AC554=1,'Debt Tracker'!$P$9&gt;0.01,INDEX('Debt Tracker'!$T$5:$AE$29,5,AC554-1)&gt;0.01))*('Recurring Items'!$H$12&lt;&gt;"Skip")*(DAY(AB554)='Recurring Items'!$F$12)*IFERROR(N('Recurring Items'!$D$12),0)+(IF(AC554=1,'Debt Tracker'!$P$10&gt;0.01,INDEX('Debt Tracker'!$T$5:$AE$29,6,AC554-1)&gt;0.01))*('Recurring Items'!$H$13&lt;&gt;"Skip")*(DAY(AB554)='Recurring Items'!$F$13)*IFERROR(N('Recurring Items'!$D$13),0)+(IF(AC554=1,'Debt Tracker'!$P$11&gt;0.01,INDEX('Debt Tracker'!$T$5:$AE$29,7,AC554-1)&gt;0.01))*('Recurring Items'!$H$14&lt;&gt;"Skip")*(DAY(AB554)='Recurring Items'!$F$14)*IFERROR(N('Recurring Items'!$D$14),0)+(IF(AC554=1,'Debt Tracker'!$P$12&gt;0.01,INDEX('Debt Tracker'!$T$5:$AE$29,8,AC554-1)&gt;0.01))*('Recurring Items'!$H$15&lt;&gt;"Skip")*(DAY(AB554)='Recurring Items'!$F$15)*IFERROR(N('Recurring Items'!$D$15),0)+(IF(AC554=1,'Debt Tracker'!$P$13&gt;0.01,INDEX('Debt Tracker'!$T$5:$AE$29,9,AC554-1)&gt;0.01))*('Recurring Items'!$H$16&lt;&gt;"Skip")*(DAY(AB554)='Recurring Items'!$F$16)*IFERROR(N('Recurring Items'!$D$16),0)+(IF(AC554=1,'Debt Tracker'!$P$14&gt;0.01,INDEX('Debt Tracker'!$T$5:$AE$29,10,AC554-1)&gt;0.01))*('Recurring Items'!$H$17&lt;&gt;"Skip")*(DAY(AB554)='Recurring Items'!$F$17)*IFERROR(N('Recurring Items'!$D$17),0)+(IF(AC554=1,'Debt Tracker'!$P$15&gt;0.01,INDEX('Debt Tracker'!$T$5:$AE$29,11,AC554-1)&gt;0.01))*('Recurring Items'!$H$18&lt;&gt;"Skip")*(DAY(AB554)='Recurring Items'!$F$18)*IFERROR(N('Recurring Items'!$D$18),0)+(IF(AC554=1,'Debt Tracker'!$P$16&gt;0.01,INDEX('Debt Tracker'!$T$5:$AE$29,12,AC554-1)&gt;0.01))*('Recurring Items'!$H$19&lt;&gt;"Skip")*(DAY(AB554)='Recurring Items'!$F$19)*IFERROR(N('Recurring Items'!$D$19),0)+(IF(AC554=1,'Debt Tracker'!$P$17&gt;0.01,INDEX('Debt Tracker'!$T$5:$AE$29,13,AC554-1)&gt;0.01))*('Recurring Items'!$H$20&lt;&gt;"Skip")*(DAY(AB554)='Recurring Items'!$F$20)*IFERROR(N('Recurring Items'!$D$20),0)+(IF(AC554=1,'Debt Tracker'!$P$18&gt;0.01,INDEX('Debt Tracker'!$T$5:$AE$29,14,AC554-1)&gt;0.01))*('Recurring Items'!$H$21&lt;&gt;"Skip")*(DAY(AB554)='Recurring Items'!$F$21)*IFERROR(N('Recurring Items'!$D$21),0)+(IF(AC554=1,'Debt Tracker'!$P$19&gt;0.01,INDEX('Debt Tracker'!$T$5:$AE$29,15,AC554-1)&gt;0.01))*('Recurring Items'!$H$22&lt;&gt;"Skip")*(DAY(AB554)='Recurring Items'!$F$22)*IFERROR(N('Recurring Items'!$D$22),0)+(IF(AC554=1,'Debt Tracker'!$P$20&gt;0.01,INDEX('Debt Tracker'!$T$5:$AE$29,16,AC554-1)&gt;0.01))*('Recurring Items'!$H$23&lt;&gt;"Skip")*(DAY(AB554)='Recurring Items'!$F$23)*IFERROR(N('Recurring Items'!$D$23),0)+(IF(AC554=1,'Debt Tracker'!$P$21&gt;0.01,INDEX('Debt Tracker'!$T$5:$AE$29,17,AC554-1)&gt;0.01))*('Recurring Items'!$H$24&lt;&gt;"Skip")*(DAY(AB554)='Recurring Items'!$F$24)*IFERROR(N('Recurring Items'!$D$24),0)+(IF(AC554=1,'Debt Tracker'!$P$22&gt;0.01,INDEX('Debt Tracker'!$T$5:$AE$29,18,AC554-1)&gt;0.01))*('Recurring Items'!$H$25&lt;&gt;"Skip")*(DAY(AB554)='Recurring Items'!$F$25)*IFERROR(N('Recurring Items'!$D$25),0)+(IF(AC554=1,'Debt Tracker'!$P$23&gt;0.01,INDEX('Debt Tracker'!$T$5:$AE$29,19,AC554-1)&gt;0.01))*('Recurring Items'!$H$26&lt;&gt;"Skip")*(DAY(AB554)='Recurring Items'!$F$26)*IFERROR(N('Recurring Items'!$D$26),0)+(IF(AC554=1,'Debt Tracker'!$P$24&gt;0.01,INDEX('Debt Tracker'!$T$5:$AE$29,20,AC554-1)&gt;0.01))*('Recurring Items'!$H$27&lt;&gt;"Skip")*(DAY(AB554)='Recurring Items'!$F$27)*IFERROR(N('Recurring Items'!$D$27),0)+(IF(AC554=1,'Debt Tracker'!$P$25&gt;0.01,INDEX('Debt Tracker'!$T$5:$AE$29,21,AC554-1)&gt;0.01))*('Recurring Items'!$H$28&lt;&gt;"Skip")*(DAY(AB554)='Recurring Items'!$F$28)*IFERROR(N('Recurring Items'!$D$28),0)+(IF(AC554=1,'Debt Tracker'!$P$26&gt;0.01,INDEX('Debt Tracker'!$T$5:$AE$29,22,AC554-1)&gt;0.01))*('Recurring Items'!$H$29&lt;&gt;"Skip")*(DAY(AB554)='Recurring Items'!$F$29)*IFERROR(N('Recurring Items'!$D$29),0)+(IF(AC554=1,'Debt Tracker'!$P$27&gt;0.01,INDEX('Debt Tracker'!$T$5:$AE$29,23,AC554-1)&gt;0.01))*('Recurring Items'!$H$30&lt;&gt;"Skip")*(DAY(AB554)='Recurring Items'!$F$30)*IFERROR(N('Recurring Items'!$D$30),0)+(IF(AC554=1,'Debt Tracker'!$P$28&gt;0.01,INDEX('Debt Tracker'!$T$5:$AE$29,24,AC554-1)&gt;0.01))*('Recurring Items'!$H$31&lt;&gt;"Skip")*(DAY(AB554)='Recurring Items'!$F$31)*IFERROR(N('Recurring Items'!$D$31),0)+(IF(AC554=1,'Debt Tracker'!$P$29&gt;0.01,INDEX('Debt Tracker'!$T$5:$AE$29,25,AC554-1)&gt;0.01))*('Recurring Items'!$H$32&lt;&gt;"Skip")*(DAY(AB554)='Recurring Items'!$F$32)*IFERROR(N('Recurring Items'!$D$32),0)</f>
        <v>0</v>
      </c>
      <c r="AG554" s="1" t="n">
        <f aca="false">AD554-AE554-AF554</f>
        <v>0</v>
      </c>
      <c r="AH554" s="1" t="n">
        <f aca="false">AH553+AG554</f>
        <v>25274.98</v>
      </c>
    </row>
    <row r="555" customFormat="false" ht="15" hidden="false" customHeight="true" outlineLevel="0" collapsed="false">
      <c r="AA555" s="1" t="n">
        <v>355</v>
      </c>
      <c r="AB555" s="145" t="n">
        <f aca="false">$D$3+355</f>
        <v>46498</v>
      </c>
      <c r="AC555" s="1" t="n">
        <f aca="false">MIN(12,1+DATEDIF($D$3,AB555,"M"))</f>
        <v>12</v>
      </c>
      <c r="AD555" s="1" t="n">
        <f aca="false">SUMPRODUCT(('Recurring Items'!$C$6:$C$56="Income")*('Recurring Items'!$H$6:$H$56&lt;&gt;"Skip")*IFERROR(N('Recurring Items'!$D$6:$D$56),0)*(('Recurring Items'!$E$6:$E$56="Monthly")*(DAY(AB555)='Recurring Items'!$F$6:$F$56)+('Recurring Items'!$E$6:$E$56="Bi-weekly")*(WEEKDAY(AB555)=IFERROR(WEEKDAY('Recurring Items'!$G$6:$G$56),0))*(MOD(AB555-IFERROR('Recurring Items'!$G$6:$G$56,0),14)=0)*(AB555&gt;=IFERROR('Recurring Items'!$G$6:$G$56,9000000000))+('Recurring Items'!$E$6:$E$56="Weekly")*(WEEKDAY(AB555)=IFERROR(WEEKDAY('Recurring Items'!$G$6:$G$56),0))*(AB555&gt;=IFERROR('Recurring Items'!$G$6:$G$56,9000000000))+('Recurring Items'!$E$6:$E$56="One-time")*(AB555='Recurring Items'!$G$6:$G$56)))</f>
        <v>0</v>
      </c>
      <c r="AE555" s="1" t="n">
        <f aca="false">SUMPRODUCT(('Recurring Items'!$C$6:$C$56="Expense")*('Recurring Items'!$H$6:$H$56&lt;&gt;"Skip")*IFERROR(N('Recurring Items'!$D$6:$D$56),0)*(('Recurring Items'!$E$6:$E$56="Monthly")*(DAY(AB555)='Recurring Items'!$F$6:$F$56)+('Recurring Items'!$E$6:$E$56="Bi-weekly")*(WEEKDAY(AB555)=IFERROR(WEEKDAY('Recurring Items'!$G$6:$G$56),0))*(MOD(AB555-IFERROR('Recurring Items'!$G$6:$G$56,0),14)=0)*(AB555&gt;=IFERROR('Recurring Items'!$G$6:$G$56,9000000000))+('Recurring Items'!$E$6:$E$56="Weekly")*(WEEKDAY(AB555)=IFERROR(WEEKDAY('Recurring Items'!$G$6:$G$56),0))*(AB555&gt;=IFERROR('Recurring Items'!$G$6:$G$56,9000000000))+('Recurring Items'!$E$6:$E$56="One-time")*(AB555='Recurring Items'!$G$6:$G$56)))</f>
        <v>241</v>
      </c>
      <c r="AF555" s="1" t="n">
        <f aca="false">(IF(AC555=1,'Debt Tracker'!$P$5&gt;0.01,INDEX('Debt Tracker'!$T$5:$AE$29,1,AC555-1)&gt;0.01))*('Recurring Items'!$H$8&lt;&gt;"Skip")*(DAY(AB555)='Recurring Items'!$F$8)*IFERROR(N('Recurring Items'!$D$8),0)+(IF(AC555=1,'Debt Tracker'!$P$6&gt;0.01,INDEX('Debt Tracker'!$T$5:$AE$29,2,AC555-1)&gt;0.01))*('Recurring Items'!$H$9&lt;&gt;"Skip")*(DAY(AB555)='Recurring Items'!$F$9)*IFERROR(N('Recurring Items'!$D$9),0)+(IF(AC555=1,'Debt Tracker'!$P$7&gt;0.01,INDEX('Debt Tracker'!$T$5:$AE$29,3,AC555-1)&gt;0.01))*('Recurring Items'!$H$10&lt;&gt;"Skip")*(DAY(AB555)='Recurring Items'!$F$10)*IFERROR(N('Recurring Items'!$D$10),0)+(IF(AC555=1,'Debt Tracker'!$P$8&gt;0.01,INDEX('Debt Tracker'!$T$5:$AE$29,4,AC555-1)&gt;0.01))*('Recurring Items'!$H$11&lt;&gt;"Skip")*(DAY(AB555)='Recurring Items'!$F$11)*IFERROR(N('Recurring Items'!$D$11),0)+(IF(AC555=1,'Debt Tracker'!$P$9&gt;0.01,INDEX('Debt Tracker'!$T$5:$AE$29,5,AC555-1)&gt;0.01))*('Recurring Items'!$H$12&lt;&gt;"Skip")*(DAY(AB555)='Recurring Items'!$F$12)*IFERROR(N('Recurring Items'!$D$12),0)+(IF(AC555=1,'Debt Tracker'!$P$10&gt;0.01,INDEX('Debt Tracker'!$T$5:$AE$29,6,AC555-1)&gt;0.01))*('Recurring Items'!$H$13&lt;&gt;"Skip")*(DAY(AB555)='Recurring Items'!$F$13)*IFERROR(N('Recurring Items'!$D$13),0)+(IF(AC555=1,'Debt Tracker'!$P$11&gt;0.01,INDEX('Debt Tracker'!$T$5:$AE$29,7,AC555-1)&gt;0.01))*('Recurring Items'!$H$14&lt;&gt;"Skip")*(DAY(AB555)='Recurring Items'!$F$14)*IFERROR(N('Recurring Items'!$D$14),0)+(IF(AC555=1,'Debt Tracker'!$P$12&gt;0.01,INDEX('Debt Tracker'!$T$5:$AE$29,8,AC555-1)&gt;0.01))*('Recurring Items'!$H$15&lt;&gt;"Skip")*(DAY(AB555)='Recurring Items'!$F$15)*IFERROR(N('Recurring Items'!$D$15),0)+(IF(AC555=1,'Debt Tracker'!$P$13&gt;0.01,INDEX('Debt Tracker'!$T$5:$AE$29,9,AC555-1)&gt;0.01))*('Recurring Items'!$H$16&lt;&gt;"Skip")*(DAY(AB555)='Recurring Items'!$F$16)*IFERROR(N('Recurring Items'!$D$16),0)+(IF(AC555=1,'Debt Tracker'!$P$14&gt;0.01,INDEX('Debt Tracker'!$T$5:$AE$29,10,AC555-1)&gt;0.01))*('Recurring Items'!$H$17&lt;&gt;"Skip")*(DAY(AB555)='Recurring Items'!$F$17)*IFERROR(N('Recurring Items'!$D$17),0)+(IF(AC555=1,'Debt Tracker'!$P$15&gt;0.01,INDEX('Debt Tracker'!$T$5:$AE$29,11,AC555-1)&gt;0.01))*('Recurring Items'!$H$18&lt;&gt;"Skip")*(DAY(AB555)='Recurring Items'!$F$18)*IFERROR(N('Recurring Items'!$D$18),0)+(IF(AC555=1,'Debt Tracker'!$P$16&gt;0.01,INDEX('Debt Tracker'!$T$5:$AE$29,12,AC555-1)&gt;0.01))*('Recurring Items'!$H$19&lt;&gt;"Skip")*(DAY(AB555)='Recurring Items'!$F$19)*IFERROR(N('Recurring Items'!$D$19),0)+(IF(AC555=1,'Debt Tracker'!$P$17&gt;0.01,INDEX('Debt Tracker'!$T$5:$AE$29,13,AC555-1)&gt;0.01))*('Recurring Items'!$H$20&lt;&gt;"Skip")*(DAY(AB555)='Recurring Items'!$F$20)*IFERROR(N('Recurring Items'!$D$20),0)+(IF(AC555=1,'Debt Tracker'!$P$18&gt;0.01,INDEX('Debt Tracker'!$T$5:$AE$29,14,AC555-1)&gt;0.01))*('Recurring Items'!$H$21&lt;&gt;"Skip")*(DAY(AB555)='Recurring Items'!$F$21)*IFERROR(N('Recurring Items'!$D$21),0)+(IF(AC555=1,'Debt Tracker'!$P$19&gt;0.01,INDEX('Debt Tracker'!$T$5:$AE$29,15,AC555-1)&gt;0.01))*('Recurring Items'!$H$22&lt;&gt;"Skip")*(DAY(AB555)='Recurring Items'!$F$22)*IFERROR(N('Recurring Items'!$D$22),0)+(IF(AC555=1,'Debt Tracker'!$P$20&gt;0.01,INDEX('Debt Tracker'!$T$5:$AE$29,16,AC555-1)&gt;0.01))*('Recurring Items'!$H$23&lt;&gt;"Skip")*(DAY(AB555)='Recurring Items'!$F$23)*IFERROR(N('Recurring Items'!$D$23),0)+(IF(AC555=1,'Debt Tracker'!$P$21&gt;0.01,INDEX('Debt Tracker'!$T$5:$AE$29,17,AC555-1)&gt;0.01))*('Recurring Items'!$H$24&lt;&gt;"Skip")*(DAY(AB555)='Recurring Items'!$F$24)*IFERROR(N('Recurring Items'!$D$24),0)+(IF(AC555=1,'Debt Tracker'!$P$22&gt;0.01,INDEX('Debt Tracker'!$T$5:$AE$29,18,AC555-1)&gt;0.01))*('Recurring Items'!$H$25&lt;&gt;"Skip")*(DAY(AB555)='Recurring Items'!$F$25)*IFERROR(N('Recurring Items'!$D$25),0)+(IF(AC555=1,'Debt Tracker'!$P$23&gt;0.01,INDEX('Debt Tracker'!$T$5:$AE$29,19,AC555-1)&gt;0.01))*('Recurring Items'!$H$26&lt;&gt;"Skip")*(DAY(AB555)='Recurring Items'!$F$26)*IFERROR(N('Recurring Items'!$D$26),0)+(IF(AC555=1,'Debt Tracker'!$P$24&gt;0.01,INDEX('Debt Tracker'!$T$5:$AE$29,20,AC555-1)&gt;0.01))*('Recurring Items'!$H$27&lt;&gt;"Skip")*(DAY(AB555)='Recurring Items'!$F$27)*IFERROR(N('Recurring Items'!$D$27),0)+(IF(AC555=1,'Debt Tracker'!$P$25&gt;0.01,INDEX('Debt Tracker'!$T$5:$AE$29,21,AC555-1)&gt;0.01))*('Recurring Items'!$H$28&lt;&gt;"Skip")*(DAY(AB555)='Recurring Items'!$F$28)*IFERROR(N('Recurring Items'!$D$28),0)+(IF(AC555=1,'Debt Tracker'!$P$26&gt;0.01,INDEX('Debt Tracker'!$T$5:$AE$29,22,AC555-1)&gt;0.01))*('Recurring Items'!$H$29&lt;&gt;"Skip")*(DAY(AB555)='Recurring Items'!$F$29)*IFERROR(N('Recurring Items'!$D$29),0)+(IF(AC555=1,'Debt Tracker'!$P$27&gt;0.01,INDEX('Debt Tracker'!$T$5:$AE$29,23,AC555-1)&gt;0.01))*('Recurring Items'!$H$30&lt;&gt;"Skip")*(DAY(AB555)='Recurring Items'!$F$30)*IFERROR(N('Recurring Items'!$D$30),0)+(IF(AC555=1,'Debt Tracker'!$P$28&gt;0.01,INDEX('Debt Tracker'!$T$5:$AE$29,24,AC555-1)&gt;0.01))*('Recurring Items'!$H$31&lt;&gt;"Skip")*(DAY(AB555)='Recurring Items'!$F$31)*IFERROR(N('Recurring Items'!$D$31),0)+(IF(AC555=1,'Debt Tracker'!$P$29&gt;0.01,INDEX('Debt Tracker'!$T$5:$AE$29,25,AC555-1)&gt;0.01))*('Recurring Items'!$H$32&lt;&gt;"Skip")*(DAY(AB555)='Recurring Items'!$F$32)*IFERROR(N('Recurring Items'!$D$32),0)</f>
        <v>0</v>
      </c>
      <c r="AG555" s="1" t="n">
        <f aca="false">AD555-AE555-AF555</f>
        <v>-241</v>
      </c>
      <c r="AH555" s="1" t="n">
        <f aca="false">AH554+AG555</f>
        <v>25033.98</v>
      </c>
    </row>
    <row r="556" customFormat="false" ht="15" hidden="false" customHeight="true" outlineLevel="0" collapsed="false">
      <c r="AA556" s="1" t="n">
        <v>356</v>
      </c>
      <c r="AB556" s="145" t="n">
        <f aca="false">$D$3+356</f>
        <v>46499</v>
      </c>
      <c r="AC556" s="1" t="n">
        <f aca="false">MIN(12,1+DATEDIF($D$3,AB556,"M"))</f>
        <v>12</v>
      </c>
      <c r="AD556" s="1" t="n">
        <f aca="false">SUMPRODUCT(('Recurring Items'!$C$6:$C$56="Income")*('Recurring Items'!$H$6:$H$56&lt;&gt;"Skip")*IFERROR(N('Recurring Items'!$D$6:$D$56),0)*(('Recurring Items'!$E$6:$E$56="Monthly")*(DAY(AB556)='Recurring Items'!$F$6:$F$56)+('Recurring Items'!$E$6:$E$56="Bi-weekly")*(WEEKDAY(AB556)=IFERROR(WEEKDAY('Recurring Items'!$G$6:$G$56),0))*(MOD(AB556-IFERROR('Recurring Items'!$G$6:$G$56,0),14)=0)*(AB556&gt;=IFERROR('Recurring Items'!$G$6:$G$56,9000000000))+('Recurring Items'!$E$6:$E$56="Weekly")*(WEEKDAY(AB556)=IFERROR(WEEKDAY('Recurring Items'!$G$6:$G$56),0))*(AB556&gt;=IFERROR('Recurring Items'!$G$6:$G$56,9000000000))+('Recurring Items'!$E$6:$E$56="One-time")*(AB556='Recurring Items'!$G$6:$G$56)))</f>
        <v>2274.42</v>
      </c>
      <c r="AE556" s="1" t="n">
        <f aca="false">SUMPRODUCT(('Recurring Items'!$C$6:$C$56="Expense")*('Recurring Items'!$H$6:$H$56&lt;&gt;"Skip")*IFERROR(N('Recurring Items'!$D$6:$D$56),0)*(('Recurring Items'!$E$6:$E$56="Monthly")*(DAY(AB556)='Recurring Items'!$F$6:$F$56)+('Recurring Items'!$E$6:$E$56="Bi-weekly")*(WEEKDAY(AB556)=IFERROR(WEEKDAY('Recurring Items'!$G$6:$G$56),0))*(MOD(AB556-IFERROR('Recurring Items'!$G$6:$G$56,0),14)=0)*(AB556&gt;=IFERROR('Recurring Items'!$G$6:$G$56,9000000000))+('Recurring Items'!$E$6:$E$56="Weekly")*(WEEKDAY(AB556)=IFERROR(WEEKDAY('Recurring Items'!$G$6:$G$56),0))*(AB556&gt;=IFERROR('Recurring Items'!$G$6:$G$56,9000000000))+('Recurring Items'!$E$6:$E$56="One-time")*(AB556='Recurring Items'!$G$6:$G$56)))</f>
        <v>0</v>
      </c>
      <c r="AF556" s="1" t="n">
        <f aca="false">(IF(AC556=1,'Debt Tracker'!$P$5&gt;0.01,INDEX('Debt Tracker'!$T$5:$AE$29,1,AC556-1)&gt;0.01))*('Recurring Items'!$H$8&lt;&gt;"Skip")*(DAY(AB556)='Recurring Items'!$F$8)*IFERROR(N('Recurring Items'!$D$8),0)+(IF(AC556=1,'Debt Tracker'!$P$6&gt;0.01,INDEX('Debt Tracker'!$T$5:$AE$29,2,AC556-1)&gt;0.01))*('Recurring Items'!$H$9&lt;&gt;"Skip")*(DAY(AB556)='Recurring Items'!$F$9)*IFERROR(N('Recurring Items'!$D$9),0)+(IF(AC556=1,'Debt Tracker'!$P$7&gt;0.01,INDEX('Debt Tracker'!$T$5:$AE$29,3,AC556-1)&gt;0.01))*('Recurring Items'!$H$10&lt;&gt;"Skip")*(DAY(AB556)='Recurring Items'!$F$10)*IFERROR(N('Recurring Items'!$D$10),0)+(IF(AC556=1,'Debt Tracker'!$P$8&gt;0.01,INDEX('Debt Tracker'!$T$5:$AE$29,4,AC556-1)&gt;0.01))*('Recurring Items'!$H$11&lt;&gt;"Skip")*(DAY(AB556)='Recurring Items'!$F$11)*IFERROR(N('Recurring Items'!$D$11),0)+(IF(AC556=1,'Debt Tracker'!$P$9&gt;0.01,INDEX('Debt Tracker'!$T$5:$AE$29,5,AC556-1)&gt;0.01))*('Recurring Items'!$H$12&lt;&gt;"Skip")*(DAY(AB556)='Recurring Items'!$F$12)*IFERROR(N('Recurring Items'!$D$12),0)+(IF(AC556=1,'Debt Tracker'!$P$10&gt;0.01,INDEX('Debt Tracker'!$T$5:$AE$29,6,AC556-1)&gt;0.01))*('Recurring Items'!$H$13&lt;&gt;"Skip")*(DAY(AB556)='Recurring Items'!$F$13)*IFERROR(N('Recurring Items'!$D$13),0)+(IF(AC556=1,'Debt Tracker'!$P$11&gt;0.01,INDEX('Debt Tracker'!$T$5:$AE$29,7,AC556-1)&gt;0.01))*('Recurring Items'!$H$14&lt;&gt;"Skip")*(DAY(AB556)='Recurring Items'!$F$14)*IFERROR(N('Recurring Items'!$D$14),0)+(IF(AC556=1,'Debt Tracker'!$P$12&gt;0.01,INDEX('Debt Tracker'!$T$5:$AE$29,8,AC556-1)&gt;0.01))*('Recurring Items'!$H$15&lt;&gt;"Skip")*(DAY(AB556)='Recurring Items'!$F$15)*IFERROR(N('Recurring Items'!$D$15),0)+(IF(AC556=1,'Debt Tracker'!$P$13&gt;0.01,INDEX('Debt Tracker'!$T$5:$AE$29,9,AC556-1)&gt;0.01))*('Recurring Items'!$H$16&lt;&gt;"Skip")*(DAY(AB556)='Recurring Items'!$F$16)*IFERROR(N('Recurring Items'!$D$16),0)+(IF(AC556=1,'Debt Tracker'!$P$14&gt;0.01,INDEX('Debt Tracker'!$T$5:$AE$29,10,AC556-1)&gt;0.01))*('Recurring Items'!$H$17&lt;&gt;"Skip")*(DAY(AB556)='Recurring Items'!$F$17)*IFERROR(N('Recurring Items'!$D$17),0)+(IF(AC556=1,'Debt Tracker'!$P$15&gt;0.01,INDEX('Debt Tracker'!$T$5:$AE$29,11,AC556-1)&gt;0.01))*('Recurring Items'!$H$18&lt;&gt;"Skip")*(DAY(AB556)='Recurring Items'!$F$18)*IFERROR(N('Recurring Items'!$D$18),0)+(IF(AC556=1,'Debt Tracker'!$P$16&gt;0.01,INDEX('Debt Tracker'!$T$5:$AE$29,12,AC556-1)&gt;0.01))*('Recurring Items'!$H$19&lt;&gt;"Skip")*(DAY(AB556)='Recurring Items'!$F$19)*IFERROR(N('Recurring Items'!$D$19),0)+(IF(AC556=1,'Debt Tracker'!$P$17&gt;0.01,INDEX('Debt Tracker'!$T$5:$AE$29,13,AC556-1)&gt;0.01))*('Recurring Items'!$H$20&lt;&gt;"Skip")*(DAY(AB556)='Recurring Items'!$F$20)*IFERROR(N('Recurring Items'!$D$20),0)+(IF(AC556=1,'Debt Tracker'!$P$18&gt;0.01,INDEX('Debt Tracker'!$T$5:$AE$29,14,AC556-1)&gt;0.01))*('Recurring Items'!$H$21&lt;&gt;"Skip")*(DAY(AB556)='Recurring Items'!$F$21)*IFERROR(N('Recurring Items'!$D$21),0)+(IF(AC556=1,'Debt Tracker'!$P$19&gt;0.01,INDEX('Debt Tracker'!$T$5:$AE$29,15,AC556-1)&gt;0.01))*('Recurring Items'!$H$22&lt;&gt;"Skip")*(DAY(AB556)='Recurring Items'!$F$22)*IFERROR(N('Recurring Items'!$D$22),0)+(IF(AC556=1,'Debt Tracker'!$P$20&gt;0.01,INDEX('Debt Tracker'!$T$5:$AE$29,16,AC556-1)&gt;0.01))*('Recurring Items'!$H$23&lt;&gt;"Skip")*(DAY(AB556)='Recurring Items'!$F$23)*IFERROR(N('Recurring Items'!$D$23),0)+(IF(AC556=1,'Debt Tracker'!$P$21&gt;0.01,INDEX('Debt Tracker'!$T$5:$AE$29,17,AC556-1)&gt;0.01))*('Recurring Items'!$H$24&lt;&gt;"Skip")*(DAY(AB556)='Recurring Items'!$F$24)*IFERROR(N('Recurring Items'!$D$24),0)+(IF(AC556=1,'Debt Tracker'!$P$22&gt;0.01,INDEX('Debt Tracker'!$T$5:$AE$29,18,AC556-1)&gt;0.01))*('Recurring Items'!$H$25&lt;&gt;"Skip")*(DAY(AB556)='Recurring Items'!$F$25)*IFERROR(N('Recurring Items'!$D$25),0)+(IF(AC556=1,'Debt Tracker'!$P$23&gt;0.01,INDEX('Debt Tracker'!$T$5:$AE$29,19,AC556-1)&gt;0.01))*('Recurring Items'!$H$26&lt;&gt;"Skip")*(DAY(AB556)='Recurring Items'!$F$26)*IFERROR(N('Recurring Items'!$D$26),0)+(IF(AC556=1,'Debt Tracker'!$P$24&gt;0.01,INDEX('Debt Tracker'!$T$5:$AE$29,20,AC556-1)&gt;0.01))*('Recurring Items'!$H$27&lt;&gt;"Skip")*(DAY(AB556)='Recurring Items'!$F$27)*IFERROR(N('Recurring Items'!$D$27),0)+(IF(AC556=1,'Debt Tracker'!$P$25&gt;0.01,INDEX('Debt Tracker'!$T$5:$AE$29,21,AC556-1)&gt;0.01))*('Recurring Items'!$H$28&lt;&gt;"Skip")*(DAY(AB556)='Recurring Items'!$F$28)*IFERROR(N('Recurring Items'!$D$28),0)+(IF(AC556=1,'Debt Tracker'!$P$26&gt;0.01,INDEX('Debt Tracker'!$T$5:$AE$29,22,AC556-1)&gt;0.01))*('Recurring Items'!$H$29&lt;&gt;"Skip")*(DAY(AB556)='Recurring Items'!$F$29)*IFERROR(N('Recurring Items'!$D$29),0)+(IF(AC556=1,'Debt Tracker'!$P$27&gt;0.01,INDEX('Debt Tracker'!$T$5:$AE$29,23,AC556-1)&gt;0.01))*('Recurring Items'!$H$30&lt;&gt;"Skip")*(DAY(AB556)='Recurring Items'!$F$30)*IFERROR(N('Recurring Items'!$D$30),0)+(IF(AC556=1,'Debt Tracker'!$P$28&gt;0.01,INDEX('Debt Tracker'!$T$5:$AE$29,24,AC556-1)&gt;0.01))*('Recurring Items'!$H$31&lt;&gt;"Skip")*(DAY(AB556)='Recurring Items'!$F$31)*IFERROR(N('Recurring Items'!$D$31),0)+(IF(AC556=1,'Debt Tracker'!$P$29&gt;0.01,INDEX('Debt Tracker'!$T$5:$AE$29,25,AC556-1)&gt;0.01))*('Recurring Items'!$H$32&lt;&gt;"Skip")*(DAY(AB556)='Recurring Items'!$F$32)*IFERROR(N('Recurring Items'!$D$32),0)</f>
        <v>0</v>
      </c>
      <c r="AG556" s="1" t="n">
        <f aca="false">AD556-AE556-AF556</f>
        <v>2274.42</v>
      </c>
      <c r="AH556" s="1" t="n">
        <f aca="false">AH555+AG556</f>
        <v>27308.4</v>
      </c>
    </row>
    <row r="557" customFormat="false" ht="15" hidden="false" customHeight="true" outlineLevel="0" collapsed="false">
      <c r="AA557" s="1" t="n">
        <v>357</v>
      </c>
      <c r="AB557" s="145" t="n">
        <f aca="false">$D$3+357</f>
        <v>46500</v>
      </c>
      <c r="AC557" s="1" t="n">
        <f aca="false">MIN(12,1+DATEDIF($D$3,AB557,"M"))</f>
        <v>12</v>
      </c>
      <c r="AD557" s="1" t="n">
        <f aca="false">SUMPRODUCT(('Recurring Items'!$C$6:$C$56="Income")*('Recurring Items'!$H$6:$H$56&lt;&gt;"Skip")*IFERROR(N('Recurring Items'!$D$6:$D$56),0)*(('Recurring Items'!$E$6:$E$56="Monthly")*(DAY(AB557)='Recurring Items'!$F$6:$F$56)+('Recurring Items'!$E$6:$E$56="Bi-weekly")*(WEEKDAY(AB557)=IFERROR(WEEKDAY('Recurring Items'!$G$6:$G$56),0))*(MOD(AB557-IFERROR('Recurring Items'!$G$6:$G$56,0),14)=0)*(AB557&gt;=IFERROR('Recurring Items'!$G$6:$G$56,9000000000))+('Recurring Items'!$E$6:$E$56="Weekly")*(WEEKDAY(AB557)=IFERROR(WEEKDAY('Recurring Items'!$G$6:$G$56),0))*(AB557&gt;=IFERROR('Recurring Items'!$G$6:$G$56,9000000000))+('Recurring Items'!$E$6:$E$56="One-time")*(AB557='Recurring Items'!$G$6:$G$56)))</f>
        <v>0</v>
      </c>
      <c r="AE557" s="1" t="n">
        <f aca="false">SUMPRODUCT(('Recurring Items'!$C$6:$C$56="Expense")*('Recurring Items'!$H$6:$H$56&lt;&gt;"Skip")*IFERROR(N('Recurring Items'!$D$6:$D$56),0)*(('Recurring Items'!$E$6:$E$56="Monthly")*(DAY(AB557)='Recurring Items'!$F$6:$F$56)+('Recurring Items'!$E$6:$E$56="Bi-weekly")*(WEEKDAY(AB557)=IFERROR(WEEKDAY('Recurring Items'!$G$6:$G$56),0))*(MOD(AB557-IFERROR('Recurring Items'!$G$6:$G$56,0),14)=0)*(AB557&gt;=IFERROR('Recurring Items'!$G$6:$G$56,9000000000))+('Recurring Items'!$E$6:$E$56="Weekly")*(WEEKDAY(AB557)=IFERROR(WEEKDAY('Recurring Items'!$G$6:$G$56),0))*(AB557&gt;=IFERROR('Recurring Items'!$G$6:$G$56,9000000000))+('Recurring Items'!$E$6:$E$56="One-time")*(AB557='Recurring Items'!$G$6:$G$56)))</f>
        <v>460</v>
      </c>
      <c r="AF557" s="1" t="n">
        <f aca="false">(IF(AC557=1,'Debt Tracker'!$P$5&gt;0.01,INDEX('Debt Tracker'!$T$5:$AE$29,1,AC557-1)&gt;0.01))*('Recurring Items'!$H$8&lt;&gt;"Skip")*(DAY(AB557)='Recurring Items'!$F$8)*IFERROR(N('Recurring Items'!$D$8),0)+(IF(AC557=1,'Debt Tracker'!$P$6&gt;0.01,INDEX('Debt Tracker'!$T$5:$AE$29,2,AC557-1)&gt;0.01))*('Recurring Items'!$H$9&lt;&gt;"Skip")*(DAY(AB557)='Recurring Items'!$F$9)*IFERROR(N('Recurring Items'!$D$9),0)+(IF(AC557=1,'Debt Tracker'!$P$7&gt;0.01,INDEX('Debt Tracker'!$T$5:$AE$29,3,AC557-1)&gt;0.01))*('Recurring Items'!$H$10&lt;&gt;"Skip")*(DAY(AB557)='Recurring Items'!$F$10)*IFERROR(N('Recurring Items'!$D$10),0)+(IF(AC557=1,'Debt Tracker'!$P$8&gt;0.01,INDEX('Debt Tracker'!$T$5:$AE$29,4,AC557-1)&gt;0.01))*('Recurring Items'!$H$11&lt;&gt;"Skip")*(DAY(AB557)='Recurring Items'!$F$11)*IFERROR(N('Recurring Items'!$D$11),0)+(IF(AC557=1,'Debt Tracker'!$P$9&gt;0.01,INDEX('Debt Tracker'!$T$5:$AE$29,5,AC557-1)&gt;0.01))*('Recurring Items'!$H$12&lt;&gt;"Skip")*(DAY(AB557)='Recurring Items'!$F$12)*IFERROR(N('Recurring Items'!$D$12),0)+(IF(AC557=1,'Debt Tracker'!$P$10&gt;0.01,INDEX('Debt Tracker'!$T$5:$AE$29,6,AC557-1)&gt;0.01))*('Recurring Items'!$H$13&lt;&gt;"Skip")*(DAY(AB557)='Recurring Items'!$F$13)*IFERROR(N('Recurring Items'!$D$13),0)+(IF(AC557=1,'Debt Tracker'!$P$11&gt;0.01,INDEX('Debt Tracker'!$T$5:$AE$29,7,AC557-1)&gt;0.01))*('Recurring Items'!$H$14&lt;&gt;"Skip")*(DAY(AB557)='Recurring Items'!$F$14)*IFERROR(N('Recurring Items'!$D$14),0)+(IF(AC557=1,'Debt Tracker'!$P$12&gt;0.01,INDEX('Debt Tracker'!$T$5:$AE$29,8,AC557-1)&gt;0.01))*('Recurring Items'!$H$15&lt;&gt;"Skip")*(DAY(AB557)='Recurring Items'!$F$15)*IFERROR(N('Recurring Items'!$D$15),0)+(IF(AC557=1,'Debt Tracker'!$P$13&gt;0.01,INDEX('Debt Tracker'!$T$5:$AE$29,9,AC557-1)&gt;0.01))*('Recurring Items'!$H$16&lt;&gt;"Skip")*(DAY(AB557)='Recurring Items'!$F$16)*IFERROR(N('Recurring Items'!$D$16),0)+(IF(AC557=1,'Debt Tracker'!$P$14&gt;0.01,INDEX('Debt Tracker'!$T$5:$AE$29,10,AC557-1)&gt;0.01))*('Recurring Items'!$H$17&lt;&gt;"Skip")*(DAY(AB557)='Recurring Items'!$F$17)*IFERROR(N('Recurring Items'!$D$17),0)+(IF(AC557=1,'Debt Tracker'!$P$15&gt;0.01,INDEX('Debt Tracker'!$T$5:$AE$29,11,AC557-1)&gt;0.01))*('Recurring Items'!$H$18&lt;&gt;"Skip")*(DAY(AB557)='Recurring Items'!$F$18)*IFERROR(N('Recurring Items'!$D$18),0)+(IF(AC557=1,'Debt Tracker'!$P$16&gt;0.01,INDEX('Debt Tracker'!$T$5:$AE$29,12,AC557-1)&gt;0.01))*('Recurring Items'!$H$19&lt;&gt;"Skip")*(DAY(AB557)='Recurring Items'!$F$19)*IFERROR(N('Recurring Items'!$D$19),0)+(IF(AC557=1,'Debt Tracker'!$P$17&gt;0.01,INDEX('Debt Tracker'!$T$5:$AE$29,13,AC557-1)&gt;0.01))*('Recurring Items'!$H$20&lt;&gt;"Skip")*(DAY(AB557)='Recurring Items'!$F$20)*IFERROR(N('Recurring Items'!$D$20),0)+(IF(AC557=1,'Debt Tracker'!$P$18&gt;0.01,INDEX('Debt Tracker'!$T$5:$AE$29,14,AC557-1)&gt;0.01))*('Recurring Items'!$H$21&lt;&gt;"Skip")*(DAY(AB557)='Recurring Items'!$F$21)*IFERROR(N('Recurring Items'!$D$21),0)+(IF(AC557=1,'Debt Tracker'!$P$19&gt;0.01,INDEX('Debt Tracker'!$T$5:$AE$29,15,AC557-1)&gt;0.01))*('Recurring Items'!$H$22&lt;&gt;"Skip")*(DAY(AB557)='Recurring Items'!$F$22)*IFERROR(N('Recurring Items'!$D$22),0)+(IF(AC557=1,'Debt Tracker'!$P$20&gt;0.01,INDEX('Debt Tracker'!$T$5:$AE$29,16,AC557-1)&gt;0.01))*('Recurring Items'!$H$23&lt;&gt;"Skip")*(DAY(AB557)='Recurring Items'!$F$23)*IFERROR(N('Recurring Items'!$D$23),0)+(IF(AC557=1,'Debt Tracker'!$P$21&gt;0.01,INDEX('Debt Tracker'!$T$5:$AE$29,17,AC557-1)&gt;0.01))*('Recurring Items'!$H$24&lt;&gt;"Skip")*(DAY(AB557)='Recurring Items'!$F$24)*IFERROR(N('Recurring Items'!$D$24),0)+(IF(AC557=1,'Debt Tracker'!$P$22&gt;0.01,INDEX('Debt Tracker'!$T$5:$AE$29,18,AC557-1)&gt;0.01))*('Recurring Items'!$H$25&lt;&gt;"Skip")*(DAY(AB557)='Recurring Items'!$F$25)*IFERROR(N('Recurring Items'!$D$25),0)+(IF(AC557=1,'Debt Tracker'!$P$23&gt;0.01,INDEX('Debt Tracker'!$T$5:$AE$29,19,AC557-1)&gt;0.01))*('Recurring Items'!$H$26&lt;&gt;"Skip")*(DAY(AB557)='Recurring Items'!$F$26)*IFERROR(N('Recurring Items'!$D$26),0)+(IF(AC557=1,'Debt Tracker'!$P$24&gt;0.01,INDEX('Debt Tracker'!$T$5:$AE$29,20,AC557-1)&gt;0.01))*('Recurring Items'!$H$27&lt;&gt;"Skip")*(DAY(AB557)='Recurring Items'!$F$27)*IFERROR(N('Recurring Items'!$D$27),0)+(IF(AC557=1,'Debt Tracker'!$P$25&gt;0.01,INDEX('Debt Tracker'!$T$5:$AE$29,21,AC557-1)&gt;0.01))*('Recurring Items'!$H$28&lt;&gt;"Skip")*(DAY(AB557)='Recurring Items'!$F$28)*IFERROR(N('Recurring Items'!$D$28),0)+(IF(AC557=1,'Debt Tracker'!$P$26&gt;0.01,INDEX('Debt Tracker'!$T$5:$AE$29,22,AC557-1)&gt;0.01))*('Recurring Items'!$H$29&lt;&gt;"Skip")*(DAY(AB557)='Recurring Items'!$F$29)*IFERROR(N('Recurring Items'!$D$29),0)+(IF(AC557=1,'Debt Tracker'!$P$27&gt;0.01,INDEX('Debt Tracker'!$T$5:$AE$29,23,AC557-1)&gt;0.01))*('Recurring Items'!$H$30&lt;&gt;"Skip")*(DAY(AB557)='Recurring Items'!$F$30)*IFERROR(N('Recurring Items'!$D$30),0)+(IF(AC557=1,'Debt Tracker'!$P$28&gt;0.01,INDEX('Debt Tracker'!$T$5:$AE$29,24,AC557-1)&gt;0.01))*('Recurring Items'!$H$31&lt;&gt;"Skip")*(DAY(AB557)='Recurring Items'!$F$31)*IFERROR(N('Recurring Items'!$D$31),0)+(IF(AC557=1,'Debt Tracker'!$P$29&gt;0.01,INDEX('Debt Tracker'!$T$5:$AE$29,25,AC557-1)&gt;0.01))*('Recurring Items'!$H$32&lt;&gt;"Skip")*(DAY(AB557)='Recurring Items'!$F$32)*IFERROR(N('Recurring Items'!$D$32),0)</f>
        <v>0</v>
      </c>
      <c r="AG557" s="1" t="n">
        <f aca="false">AD557-AE557-AF557</f>
        <v>-460</v>
      </c>
      <c r="AH557" s="1" t="n">
        <f aca="false">AH556+AG557</f>
        <v>26848.4</v>
      </c>
    </row>
    <row r="558" customFormat="false" ht="15" hidden="false" customHeight="true" outlineLevel="0" collapsed="false">
      <c r="AA558" s="1" t="n">
        <v>358</v>
      </c>
      <c r="AB558" s="145" t="n">
        <f aca="false">$D$3+358</f>
        <v>46501</v>
      </c>
      <c r="AC558" s="1" t="n">
        <f aca="false">MIN(12,1+DATEDIF($D$3,AB558,"M"))</f>
        <v>12</v>
      </c>
      <c r="AD558" s="1" t="n">
        <f aca="false">SUMPRODUCT(('Recurring Items'!$C$6:$C$56="Income")*('Recurring Items'!$H$6:$H$56&lt;&gt;"Skip")*IFERROR(N('Recurring Items'!$D$6:$D$56),0)*(('Recurring Items'!$E$6:$E$56="Monthly")*(DAY(AB558)='Recurring Items'!$F$6:$F$56)+('Recurring Items'!$E$6:$E$56="Bi-weekly")*(WEEKDAY(AB558)=IFERROR(WEEKDAY('Recurring Items'!$G$6:$G$56),0))*(MOD(AB558-IFERROR('Recurring Items'!$G$6:$G$56,0),14)=0)*(AB558&gt;=IFERROR('Recurring Items'!$G$6:$G$56,9000000000))+('Recurring Items'!$E$6:$E$56="Weekly")*(WEEKDAY(AB558)=IFERROR(WEEKDAY('Recurring Items'!$G$6:$G$56),0))*(AB558&gt;=IFERROR('Recurring Items'!$G$6:$G$56,9000000000))+('Recurring Items'!$E$6:$E$56="One-time")*(AB558='Recurring Items'!$G$6:$G$56)))</f>
        <v>0</v>
      </c>
      <c r="AE558" s="1" t="n">
        <f aca="false">SUMPRODUCT(('Recurring Items'!$C$6:$C$56="Expense")*('Recurring Items'!$H$6:$H$56&lt;&gt;"Skip")*IFERROR(N('Recurring Items'!$D$6:$D$56),0)*(('Recurring Items'!$E$6:$E$56="Monthly")*(DAY(AB558)='Recurring Items'!$F$6:$F$56)+('Recurring Items'!$E$6:$E$56="Bi-weekly")*(WEEKDAY(AB558)=IFERROR(WEEKDAY('Recurring Items'!$G$6:$G$56),0))*(MOD(AB558-IFERROR('Recurring Items'!$G$6:$G$56,0),14)=0)*(AB558&gt;=IFERROR('Recurring Items'!$G$6:$G$56,9000000000))+('Recurring Items'!$E$6:$E$56="Weekly")*(WEEKDAY(AB558)=IFERROR(WEEKDAY('Recurring Items'!$G$6:$G$56),0))*(AB558&gt;=IFERROR('Recurring Items'!$G$6:$G$56,9000000000))+('Recurring Items'!$E$6:$E$56="One-time")*(AB558='Recurring Items'!$G$6:$G$56)))</f>
        <v>101.02</v>
      </c>
      <c r="AF558" s="1" t="n">
        <f aca="false">(IF(AC558=1,'Debt Tracker'!$P$5&gt;0.01,INDEX('Debt Tracker'!$T$5:$AE$29,1,AC558-1)&gt;0.01))*('Recurring Items'!$H$8&lt;&gt;"Skip")*(DAY(AB558)='Recurring Items'!$F$8)*IFERROR(N('Recurring Items'!$D$8),0)+(IF(AC558=1,'Debt Tracker'!$P$6&gt;0.01,INDEX('Debt Tracker'!$T$5:$AE$29,2,AC558-1)&gt;0.01))*('Recurring Items'!$H$9&lt;&gt;"Skip")*(DAY(AB558)='Recurring Items'!$F$9)*IFERROR(N('Recurring Items'!$D$9),0)+(IF(AC558=1,'Debt Tracker'!$P$7&gt;0.01,INDEX('Debt Tracker'!$T$5:$AE$29,3,AC558-1)&gt;0.01))*('Recurring Items'!$H$10&lt;&gt;"Skip")*(DAY(AB558)='Recurring Items'!$F$10)*IFERROR(N('Recurring Items'!$D$10),0)+(IF(AC558=1,'Debt Tracker'!$P$8&gt;0.01,INDEX('Debt Tracker'!$T$5:$AE$29,4,AC558-1)&gt;0.01))*('Recurring Items'!$H$11&lt;&gt;"Skip")*(DAY(AB558)='Recurring Items'!$F$11)*IFERROR(N('Recurring Items'!$D$11),0)+(IF(AC558=1,'Debt Tracker'!$P$9&gt;0.01,INDEX('Debt Tracker'!$T$5:$AE$29,5,AC558-1)&gt;0.01))*('Recurring Items'!$H$12&lt;&gt;"Skip")*(DAY(AB558)='Recurring Items'!$F$12)*IFERROR(N('Recurring Items'!$D$12),0)+(IF(AC558=1,'Debt Tracker'!$P$10&gt;0.01,INDEX('Debt Tracker'!$T$5:$AE$29,6,AC558-1)&gt;0.01))*('Recurring Items'!$H$13&lt;&gt;"Skip")*(DAY(AB558)='Recurring Items'!$F$13)*IFERROR(N('Recurring Items'!$D$13),0)+(IF(AC558=1,'Debt Tracker'!$P$11&gt;0.01,INDEX('Debt Tracker'!$T$5:$AE$29,7,AC558-1)&gt;0.01))*('Recurring Items'!$H$14&lt;&gt;"Skip")*(DAY(AB558)='Recurring Items'!$F$14)*IFERROR(N('Recurring Items'!$D$14),0)+(IF(AC558=1,'Debt Tracker'!$P$12&gt;0.01,INDEX('Debt Tracker'!$T$5:$AE$29,8,AC558-1)&gt;0.01))*('Recurring Items'!$H$15&lt;&gt;"Skip")*(DAY(AB558)='Recurring Items'!$F$15)*IFERROR(N('Recurring Items'!$D$15),0)+(IF(AC558=1,'Debt Tracker'!$P$13&gt;0.01,INDEX('Debt Tracker'!$T$5:$AE$29,9,AC558-1)&gt;0.01))*('Recurring Items'!$H$16&lt;&gt;"Skip")*(DAY(AB558)='Recurring Items'!$F$16)*IFERROR(N('Recurring Items'!$D$16),0)+(IF(AC558=1,'Debt Tracker'!$P$14&gt;0.01,INDEX('Debt Tracker'!$T$5:$AE$29,10,AC558-1)&gt;0.01))*('Recurring Items'!$H$17&lt;&gt;"Skip")*(DAY(AB558)='Recurring Items'!$F$17)*IFERROR(N('Recurring Items'!$D$17),0)+(IF(AC558=1,'Debt Tracker'!$P$15&gt;0.01,INDEX('Debt Tracker'!$T$5:$AE$29,11,AC558-1)&gt;0.01))*('Recurring Items'!$H$18&lt;&gt;"Skip")*(DAY(AB558)='Recurring Items'!$F$18)*IFERROR(N('Recurring Items'!$D$18),0)+(IF(AC558=1,'Debt Tracker'!$P$16&gt;0.01,INDEX('Debt Tracker'!$T$5:$AE$29,12,AC558-1)&gt;0.01))*('Recurring Items'!$H$19&lt;&gt;"Skip")*(DAY(AB558)='Recurring Items'!$F$19)*IFERROR(N('Recurring Items'!$D$19),0)+(IF(AC558=1,'Debt Tracker'!$P$17&gt;0.01,INDEX('Debt Tracker'!$T$5:$AE$29,13,AC558-1)&gt;0.01))*('Recurring Items'!$H$20&lt;&gt;"Skip")*(DAY(AB558)='Recurring Items'!$F$20)*IFERROR(N('Recurring Items'!$D$20),0)+(IF(AC558=1,'Debt Tracker'!$P$18&gt;0.01,INDEX('Debt Tracker'!$T$5:$AE$29,14,AC558-1)&gt;0.01))*('Recurring Items'!$H$21&lt;&gt;"Skip")*(DAY(AB558)='Recurring Items'!$F$21)*IFERROR(N('Recurring Items'!$D$21),0)+(IF(AC558=1,'Debt Tracker'!$P$19&gt;0.01,INDEX('Debt Tracker'!$T$5:$AE$29,15,AC558-1)&gt;0.01))*('Recurring Items'!$H$22&lt;&gt;"Skip")*(DAY(AB558)='Recurring Items'!$F$22)*IFERROR(N('Recurring Items'!$D$22),0)+(IF(AC558=1,'Debt Tracker'!$P$20&gt;0.01,INDEX('Debt Tracker'!$T$5:$AE$29,16,AC558-1)&gt;0.01))*('Recurring Items'!$H$23&lt;&gt;"Skip")*(DAY(AB558)='Recurring Items'!$F$23)*IFERROR(N('Recurring Items'!$D$23),0)+(IF(AC558=1,'Debt Tracker'!$P$21&gt;0.01,INDEX('Debt Tracker'!$T$5:$AE$29,17,AC558-1)&gt;0.01))*('Recurring Items'!$H$24&lt;&gt;"Skip")*(DAY(AB558)='Recurring Items'!$F$24)*IFERROR(N('Recurring Items'!$D$24),0)+(IF(AC558=1,'Debt Tracker'!$P$22&gt;0.01,INDEX('Debt Tracker'!$T$5:$AE$29,18,AC558-1)&gt;0.01))*('Recurring Items'!$H$25&lt;&gt;"Skip")*(DAY(AB558)='Recurring Items'!$F$25)*IFERROR(N('Recurring Items'!$D$25),0)+(IF(AC558=1,'Debt Tracker'!$P$23&gt;0.01,INDEX('Debt Tracker'!$T$5:$AE$29,19,AC558-1)&gt;0.01))*('Recurring Items'!$H$26&lt;&gt;"Skip")*(DAY(AB558)='Recurring Items'!$F$26)*IFERROR(N('Recurring Items'!$D$26),0)+(IF(AC558=1,'Debt Tracker'!$P$24&gt;0.01,INDEX('Debt Tracker'!$T$5:$AE$29,20,AC558-1)&gt;0.01))*('Recurring Items'!$H$27&lt;&gt;"Skip")*(DAY(AB558)='Recurring Items'!$F$27)*IFERROR(N('Recurring Items'!$D$27),0)+(IF(AC558=1,'Debt Tracker'!$P$25&gt;0.01,INDEX('Debt Tracker'!$T$5:$AE$29,21,AC558-1)&gt;0.01))*('Recurring Items'!$H$28&lt;&gt;"Skip")*(DAY(AB558)='Recurring Items'!$F$28)*IFERROR(N('Recurring Items'!$D$28),0)+(IF(AC558=1,'Debt Tracker'!$P$26&gt;0.01,INDEX('Debt Tracker'!$T$5:$AE$29,22,AC558-1)&gt;0.01))*('Recurring Items'!$H$29&lt;&gt;"Skip")*(DAY(AB558)='Recurring Items'!$F$29)*IFERROR(N('Recurring Items'!$D$29),0)+(IF(AC558=1,'Debt Tracker'!$P$27&gt;0.01,INDEX('Debt Tracker'!$T$5:$AE$29,23,AC558-1)&gt;0.01))*('Recurring Items'!$H$30&lt;&gt;"Skip")*(DAY(AB558)='Recurring Items'!$F$30)*IFERROR(N('Recurring Items'!$D$30),0)+(IF(AC558=1,'Debt Tracker'!$P$28&gt;0.01,INDEX('Debt Tracker'!$T$5:$AE$29,24,AC558-1)&gt;0.01))*('Recurring Items'!$H$31&lt;&gt;"Skip")*(DAY(AB558)='Recurring Items'!$F$31)*IFERROR(N('Recurring Items'!$D$31),0)+(IF(AC558=1,'Debt Tracker'!$P$29&gt;0.01,INDEX('Debt Tracker'!$T$5:$AE$29,25,AC558-1)&gt;0.01))*('Recurring Items'!$H$32&lt;&gt;"Skip")*(DAY(AB558)='Recurring Items'!$F$32)*IFERROR(N('Recurring Items'!$D$32),0)</f>
        <v>0</v>
      </c>
      <c r="AG558" s="1" t="n">
        <f aca="false">AD558-AE558-AF558</f>
        <v>-101.02</v>
      </c>
      <c r="AH558" s="1" t="n">
        <f aca="false">AH557+AG558</f>
        <v>26747.38</v>
      </c>
    </row>
    <row r="559" customFormat="false" ht="15" hidden="false" customHeight="true" outlineLevel="0" collapsed="false">
      <c r="AA559" s="1" t="n">
        <v>359</v>
      </c>
      <c r="AB559" s="145" t="n">
        <f aca="false">$D$3+359</f>
        <v>46502</v>
      </c>
      <c r="AC559" s="1" t="n">
        <f aca="false">MIN(12,1+DATEDIF($D$3,AB559,"M"))</f>
        <v>12</v>
      </c>
      <c r="AD559" s="1" t="n">
        <f aca="false">SUMPRODUCT(('Recurring Items'!$C$6:$C$56="Income")*('Recurring Items'!$H$6:$H$56&lt;&gt;"Skip")*IFERROR(N('Recurring Items'!$D$6:$D$56),0)*(('Recurring Items'!$E$6:$E$56="Monthly")*(DAY(AB559)='Recurring Items'!$F$6:$F$56)+('Recurring Items'!$E$6:$E$56="Bi-weekly")*(WEEKDAY(AB559)=IFERROR(WEEKDAY('Recurring Items'!$G$6:$G$56),0))*(MOD(AB559-IFERROR('Recurring Items'!$G$6:$G$56,0),14)=0)*(AB559&gt;=IFERROR('Recurring Items'!$G$6:$G$56,9000000000))+('Recurring Items'!$E$6:$E$56="Weekly")*(WEEKDAY(AB559)=IFERROR(WEEKDAY('Recurring Items'!$G$6:$G$56),0))*(AB559&gt;=IFERROR('Recurring Items'!$G$6:$G$56,9000000000))+('Recurring Items'!$E$6:$E$56="One-time")*(AB559='Recurring Items'!$G$6:$G$56)))</f>
        <v>0</v>
      </c>
      <c r="AE559" s="1" t="n">
        <f aca="false">SUMPRODUCT(('Recurring Items'!$C$6:$C$56="Expense")*('Recurring Items'!$H$6:$H$56&lt;&gt;"Skip")*IFERROR(N('Recurring Items'!$D$6:$D$56),0)*(('Recurring Items'!$E$6:$E$56="Monthly")*(DAY(AB559)='Recurring Items'!$F$6:$F$56)+('Recurring Items'!$E$6:$E$56="Bi-weekly")*(WEEKDAY(AB559)=IFERROR(WEEKDAY('Recurring Items'!$G$6:$G$56),0))*(MOD(AB559-IFERROR('Recurring Items'!$G$6:$G$56,0),14)=0)*(AB559&gt;=IFERROR('Recurring Items'!$G$6:$G$56,9000000000))+('Recurring Items'!$E$6:$E$56="Weekly")*(WEEKDAY(AB559)=IFERROR(WEEKDAY('Recurring Items'!$G$6:$G$56),0))*(AB559&gt;=IFERROR('Recurring Items'!$G$6:$G$56,9000000000))+('Recurring Items'!$E$6:$E$56="One-time")*(AB559='Recurring Items'!$G$6:$G$56)))</f>
        <v>0</v>
      </c>
      <c r="AF559" s="1" t="n">
        <f aca="false">(IF(AC559=1,'Debt Tracker'!$P$5&gt;0.01,INDEX('Debt Tracker'!$T$5:$AE$29,1,AC559-1)&gt;0.01))*('Recurring Items'!$H$8&lt;&gt;"Skip")*(DAY(AB559)='Recurring Items'!$F$8)*IFERROR(N('Recurring Items'!$D$8),0)+(IF(AC559=1,'Debt Tracker'!$P$6&gt;0.01,INDEX('Debt Tracker'!$T$5:$AE$29,2,AC559-1)&gt;0.01))*('Recurring Items'!$H$9&lt;&gt;"Skip")*(DAY(AB559)='Recurring Items'!$F$9)*IFERROR(N('Recurring Items'!$D$9),0)+(IF(AC559=1,'Debt Tracker'!$P$7&gt;0.01,INDEX('Debt Tracker'!$T$5:$AE$29,3,AC559-1)&gt;0.01))*('Recurring Items'!$H$10&lt;&gt;"Skip")*(DAY(AB559)='Recurring Items'!$F$10)*IFERROR(N('Recurring Items'!$D$10),0)+(IF(AC559=1,'Debt Tracker'!$P$8&gt;0.01,INDEX('Debt Tracker'!$T$5:$AE$29,4,AC559-1)&gt;0.01))*('Recurring Items'!$H$11&lt;&gt;"Skip")*(DAY(AB559)='Recurring Items'!$F$11)*IFERROR(N('Recurring Items'!$D$11),0)+(IF(AC559=1,'Debt Tracker'!$P$9&gt;0.01,INDEX('Debt Tracker'!$T$5:$AE$29,5,AC559-1)&gt;0.01))*('Recurring Items'!$H$12&lt;&gt;"Skip")*(DAY(AB559)='Recurring Items'!$F$12)*IFERROR(N('Recurring Items'!$D$12),0)+(IF(AC559=1,'Debt Tracker'!$P$10&gt;0.01,INDEX('Debt Tracker'!$T$5:$AE$29,6,AC559-1)&gt;0.01))*('Recurring Items'!$H$13&lt;&gt;"Skip")*(DAY(AB559)='Recurring Items'!$F$13)*IFERROR(N('Recurring Items'!$D$13),0)+(IF(AC559=1,'Debt Tracker'!$P$11&gt;0.01,INDEX('Debt Tracker'!$T$5:$AE$29,7,AC559-1)&gt;0.01))*('Recurring Items'!$H$14&lt;&gt;"Skip")*(DAY(AB559)='Recurring Items'!$F$14)*IFERROR(N('Recurring Items'!$D$14),0)+(IF(AC559=1,'Debt Tracker'!$P$12&gt;0.01,INDEX('Debt Tracker'!$T$5:$AE$29,8,AC559-1)&gt;0.01))*('Recurring Items'!$H$15&lt;&gt;"Skip")*(DAY(AB559)='Recurring Items'!$F$15)*IFERROR(N('Recurring Items'!$D$15),0)+(IF(AC559=1,'Debt Tracker'!$P$13&gt;0.01,INDEX('Debt Tracker'!$T$5:$AE$29,9,AC559-1)&gt;0.01))*('Recurring Items'!$H$16&lt;&gt;"Skip")*(DAY(AB559)='Recurring Items'!$F$16)*IFERROR(N('Recurring Items'!$D$16),0)+(IF(AC559=1,'Debt Tracker'!$P$14&gt;0.01,INDEX('Debt Tracker'!$T$5:$AE$29,10,AC559-1)&gt;0.01))*('Recurring Items'!$H$17&lt;&gt;"Skip")*(DAY(AB559)='Recurring Items'!$F$17)*IFERROR(N('Recurring Items'!$D$17),0)+(IF(AC559=1,'Debt Tracker'!$P$15&gt;0.01,INDEX('Debt Tracker'!$T$5:$AE$29,11,AC559-1)&gt;0.01))*('Recurring Items'!$H$18&lt;&gt;"Skip")*(DAY(AB559)='Recurring Items'!$F$18)*IFERROR(N('Recurring Items'!$D$18),0)+(IF(AC559=1,'Debt Tracker'!$P$16&gt;0.01,INDEX('Debt Tracker'!$T$5:$AE$29,12,AC559-1)&gt;0.01))*('Recurring Items'!$H$19&lt;&gt;"Skip")*(DAY(AB559)='Recurring Items'!$F$19)*IFERROR(N('Recurring Items'!$D$19),0)+(IF(AC559=1,'Debt Tracker'!$P$17&gt;0.01,INDEX('Debt Tracker'!$T$5:$AE$29,13,AC559-1)&gt;0.01))*('Recurring Items'!$H$20&lt;&gt;"Skip")*(DAY(AB559)='Recurring Items'!$F$20)*IFERROR(N('Recurring Items'!$D$20),0)+(IF(AC559=1,'Debt Tracker'!$P$18&gt;0.01,INDEX('Debt Tracker'!$T$5:$AE$29,14,AC559-1)&gt;0.01))*('Recurring Items'!$H$21&lt;&gt;"Skip")*(DAY(AB559)='Recurring Items'!$F$21)*IFERROR(N('Recurring Items'!$D$21),0)+(IF(AC559=1,'Debt Tracker'!$P$19&gt;0.01,INDEX('Debt Tracker'!$T$5:$AE$29,15,AC559-1)&gt;0.01))*('Recurring Items'!$H$22&lt;&gt;"Skip")*(DAY(AB559)='Recurring Items'!$F$22)*IFERROR(N('Recurring Items'!$D$22),0)+(IF(AC559=1,'Debt Tracker'!$P$20&gt;0.01,INDEX('Debt Tracker'!$T$5:$AE$29,16,AC559-1)&gt;0.01))*('Recurring Items'!$H$23&lt;&gt;"Skip")*(DAY(AB559)='Recurring Items'!$F$23)*IFERROR(N('Recurring Items'!$D$23),0)+(IF(AC559=1,'Debt Tracker'!$P$21&gt;0.01,INDEX('Debt Tracker'!$T$5:$AE$29,17,AC559-1)&gt;0.01))*('Recurring Items'!$H$24&lt;&gt;"Skip")*(DAY(AB559)='Recurring Items'!$F$24)*IFERROR(N('Recurring Items'!$D$24),0)+(IF(AC559=1,'Debt Tracker'!$P$22&gt;0.01,INDEX('Debt Tracker'!$T$5:$AE$29,18,AC559-1)&gt;0.01))*('Recurring Items'!$H$25&lt;&gt;"Skip")*(DAY(AB559)='Recurring Items'!$F$25)*IFERROR(N('Recurring Items'!$D$25),0)+(IF(AC559=1,'Debt Tracker'!$P$23&gt;0.01,INDEX('Debt Tracker'!$T$5:$AE$29,19,AC559-1)&gt;0.01))*('Recurring Items'!$H$26&lt;&gt;"Skip")*(DAY(AB559)='Recurring Items'!$F$26)*IFERROR(N('Recurring Items'!$D$26),0)+(IF(AC559=1,'Debt Tracker'!$P$24&gt;0.01,INDEX('Debt Tracker'!$T$5:$AE$29,20,AC559-1)&gt;0.01))*('Recurring Items'!$H$27&lt;&gt;"Skip")*(DAY(AB559)='Recurring Items'!$F$27)*IFERROR(N('Recurring Items'!$D$27),0)+(IF(AC559=1,'Debt Tracker'!$P$25&gt;0.01,INDEX('Debt Tracker'!$T$5:$AE$29,21,AC559-1)&gt;0.01))*('Recurring Items'!$H$28&lt;&gt;"Skip")*(DAY(AB559)='Recurring Items'!$F$28)*IFERROR(N('Recurring Items'!$D$28),0)+(IF(AC559=1,'Debt Tracker'!$P$26&gt;0.01,INDEX('Debt Tracker'!$T$5:$AE$29,22,AC559-1)&gt;0.01))*('Recurring Items'!$H$29&lt;&gt;"Skip")*(DAY(AB559)='Recurring Items'!$F$29)*IFERROR(N('Recurring Items'!$D$29),0)+(IF(AC559=1,'Debt Tracker'!$P$27&gt;0.01,INDEX('Debt Tracker'!$T$5:$AE$29,23,AC559-1)&gt;0.01))*('Recurring Items'!$H$30&lt;&gt;"Skip")*(DAY(AB559)='Recurring Items'!$F$30)*IFERROR(N('Recurring Items'!$D$30),0)+(IF(AC559=1,'Debt Tracker'!$P$28&gt;0.01,INDEX('Debt Tracker'!$T$5:$AE$29,24,AC559-1)&gt;0.01))*('Recurring Items'!$H$31&lt;&gt;"Skip")*(DAY(AB559)='Recurring Items'!$F$31)*IFERROR(N('Recurring Items'!$D$31),0)+(IF(AC559=1,'Debt Tracker'!$P$29&gt;0.01,INDEX('Debt Tracker'!$T$5:$AE$29,25,AC559-1)&gt;0.01))*('Recurring Items'!$H$32&lt;&gt;"Skip")*(DAY(AB559)='Recurring Items'!$F$32)*IFERROR(N('Recurring Items'!$D$32),0)</f>
        <v>0</v>
      </c>
      <c r="AG559" s="1" t="n">
        <f aca="false">AD559-AE559-AF559</f>
        <v>0</v>
      </c>
      <c r="AH559" s="1" t="n">
        <f aca="false">AH558+AG559</f>
        <v>26747.38</v>
      </c>
    </row>
    <row r="560" customFormat="false" ht="15" hidden="false" customHeight="true" outlineLevel="0" collapsed="false">
      <c r="AA560" s="1" t="n">
        <v>360</v>
      </c>
      <c r="AB560" s="145" t="n">
        <f aca="false">$D$3+360</f>
        <v>46503</v>
      </c>
      <c r="AC560" s="1" t="n">
        <f aca="false">MIN(12,1+DATEDIF($D$3,AB560,"M"))</f>
        <v>12</v>
      </c>
      <c r="AD560" s="1" t="n">
        <f aca="false">SUMPRODUCT(('Recurring Items'!$C$6:$C$56="Income")*('Recurring Items'!$H$6:$H$56&lt;&gt;"Skip")*IFERROR(N('Recurring Items'!$D$6:$D$56),0)*(('Recurring Items'!$E$6:$E$56="Monthly")*(DAY(AB560)='Recurring Items'!$F$6:$F$56)+('Recurring Items'!$E$6:$E$56="Bi-weekly")*(WEEKDAY(AB560)=IFERROR(WEEKDAY('Recurring Items'!$G$6:$G$56),0))*(MOD(AB560-IFERROR('Recurring Items'!$G$6:$G$56,0),14)=0)*(AB560&gt;=IFERROR('Recurring Items'!$G$6:$G$56,9000000000))+('Recurring Items'!$E$6:$E$56="Weekly")*(WEEKDAY(AB560)=IFERROR(WEEKDAY('Recurring Items'!$G$6:$G$56),0))*(AB560&gt;=IFERROR('Recurring Items'!$G$6:$G$56,9000000000))+('Recurring Items'!$E$6:$E$56="One-time")*(AB560='Recurring Items'!$G$6:$G$56)))</f>
        <v>0</v>
      </c>
      <c r="AE560" s="1" t="n">
        <f aca="false">SUMPRODUCT(('Recurring Items'!$C$6:$C$56="Expense")*('Recurring Items'!$H$6:$H$56&lt;&gt;"Skip")*IFERROR(N('Recurring Items'!$D$6:$D$56),0)*(('Recurring Items'!$E$6:$E$56="Monthly")*(DAY(AB560)='Recurring Items'!$F$6:$F$56)+('Recurring Items'!$E$6:$E$56="Bi-weekly")*(WEEKDAY(AB560)=IFERROR(WEEKDAY('Recurring Items'!$G$6:$G$56),0))*(MOD(AB560-IFERROR('Recurring Items'!$G$6:$G$56,0),14)=0)*(AB560&gt;=IFERROR('Recurring Items'!$G$6:$G$56,9000000000))+('Recurring Items'!$E$6:$E$56="Weekly")*(WEEKDAY(AB560)=IFERROR(WEEKDAY('Recurring Items'!$G$6:$G$56),0))*(AB560&gt;=IFERROR('Recurring Items'!$G$6:$G$56,9000000000))+('Recurring Items'!$E$6:$E$56="One-time")*(AB560='Recurring Items'!$G$6:$G$56)))</f>
        <v>0</v>
      </c>
      <c r="AF560" s="1" t="n">
        <f aca="false">(IF(AC560=1,'Debt Tracker'!$P$5&gt;0.01,INDEX('Debt Tracker'!$T$5:$AE$29,1,AC560-1)&gt;0.01))*('Recurring Items'!$H$8&lt;&gt;"Skip")*(DAY(AB560)='Recurring Items'!$F$8)*IFERROR(N('Recurring Items'!$D$8),0)+(IF(AC560=1,'Debt Tracker'!$P$6&gt;0.01,INDEX('Debt Tracker'!$T$5:$AE$29,2,AC560-1)&gt;0.01))*('Recurring Items'!$H$9&lt;&gt;"Skip")*(DAY(AB560)='Recurring Items'!$F$9)*IFERROR(N('Recurring Items'!$D$9),0)+(IF(AC560=1,'Debt Tracker'!$P$7&gt;0.01,INDEX('Debt Tracker'!$T$5:$AE$29,3,AC560-1)&gt;0.01))*('Recurring Items'!$H$10&lt;&gt;"Skip")*(DAY(AB560)='Recurring Items'!$F$10)*IFERROR(N('Recurring Items'!$D$10),0)+(IF(AC560=1,'Debt Tracker'!$P$8&gt;0.01,INDEX('Debt Tracker'!$T$5:$AE$29,4,AC560-1)&gt;0.01))*('Recurring Items'!$H$11&lt;&gt;"Skip")*(DAY(AB560)='Recurring Items'!$F$11)*IFERROR(N('Recurring Items'!$D$11),0)+(IF(AC560=1,'Debt Tracker'!$P$9&gt;0.01,INDEX('Debt Tracker'!$T$5:$AE$29,5,AC560-1)&gt;0.01))*('Recurring Items'!$H$12&lt;&gt;"Skip")*(DAY(AB560)='Recurring Items'!$F$12)*IFERROR(N('Recurring Items'!$D$12),0)+(IF(AC560=1,'Debt Tracker'!$P$10&gt;0.01,INDEX('Debt Tracker'!$T$5:$AE$29,6,AC560-1)&gt;0.01))*('Recurring Items'!$H$13&lt;&gt;"Skip")*(DAY(AB560)='Recurring Items'!$F$13)*IFERROR(N('Recurring Items'!$D$13),0)+(IF(AC560=1,'Debt Tracker'!$P$11&gt;0.01,INDEX('Debt Tracker'!$T$5:$AE$29,7,AC560-1)&gt;0.01))*('Recurring Items'!$H$14&lt;&gt;"Skip")*(DAY(AB560)='Recurring Items'!$F$14)*IFERROR(N('Recurring Items'!$D$14),0)+(IF(AC560=1,'Debt Tracker'!$P$12&gt;0.01,INDEX('Debt Tracker'!$T$5:$AE$29,8,AC560-1)&gt;0.01))*('Recurring Items'!$H$15&lt;&gt;"Skip")*(DAY(AB560)='Recurring Items'!$F$15)*IFERROR(N('Recurring Items'!$D$15),0)+(IF(AC560=1,'Debt Tracker'!$P$13&gt;0.01,INDEX('Debt Tracker'!$T$5:$AE$29,9,AC560-1)&gt;0.01))*('Recurring Items'!$H$16&lt;&gt;"Skip")*(DAY(AB560)='Recurring Items'!$F$16)*IFERROR(N('Recurring Items'!$D$16),0)+(IF(AC560=1,'Debt Tracker'!$P$14&gt;0.01,INDEX('Debt Tracker'!$T$5:$AE$29,10,AC560-1)&gt;0.01))*('Recurring Items'!$H$17&lt;&gt;"Skip")*(DAY(AB560)='Recurring Items'!$F$17)*IFERROR(N('Recurring Items'!$D$17),0)+(IF(AC560=1,'Debt Tracker'!$P$15&gt;0.01,INDEX('Debt Tracker'!$T$5:$AE$29,11,AC560-1)&gt;0.01))*('Recurring Items'!$H$18&lt;&gt;"Skip")*(DAY(AB560)='Recurring Items'!$F$18)*IFERROR(N('Recurring Items'!$D$18),0)+(IF(AC560=1,'Debt Tracker'!$P$16&gt;0.01,INDEX('Debt Tracker'!$T$5:$AE$29,12,AC560-1)&gt;0.01))*('Recurring Items'!$H$19&lt;&gt;"Skip")*(DAY(AB560)='Recurring Items'!$F$19)*IFERROR(N('Recurring Items'!$D$19),0)+(IF(AC560=1,'Debt Tracker'!$P$17&gt;0.01,INDEX('Debt Tracker'!$T$5:$AE$29,13,AC560-1)&gt;0.01))*('Recurring Items'!$H$20&lt;&gt;"Skip")*(DAY(AB560)='Recurring Items'!$F$20)*IFERROR(N('Recurring Items'!$D$20),0)+(IF(AC560=1,'Debt Tracker'!$P$18&gt;0.01,INDEX('Debt Tracker'!$T$5:$AE$29,14,AC560-1)&gt;0.01))*('Recurring Items'!$H$21&lt;&gt;"Skip")*(DAY(AB560)='Recurring Items'!$F$21)*IFERROR(N('Recurring Items'!$D$21),0)+(IF(AC560=1,'Debt Tracker'!$P$19&gt;0.01,INDEX('Debt Tracker'!$T$5:$AE$29,15,AC560-1)&gt;0.01))*('Recurring Items'!$H$22&lt;&gt;"Skip")*(DAY(AB560)='Recurring Items'!$F$22)*IFERROR(N('Recurring Items'!$D$22),0)+(IF(AC560=1,'Debt Tracker'!$P$20&gt;0.01,INDEX('Debt Tracker'!$T$5:$AE$29,16,AC560-1)&gt;0.01))*('Recurring Items'!$H$23&lt;&gt;"Skip")*(DAY(AB560)='Recurring Items'!$F$23)*IFERROR(N('Recurring Items'!$D$23),0)+(IF(AC560=1,'Debt Tracker'!$P$21&gt;0.01,INDEX('Debt Tracker'!$T$5:$AE$29,17,AC560-1)&gt;0.01))*('Recurring Items'!$H$24&lt;&gt;"Skip")*(DAY(AB560)='Recurring Items'!$F$24)*IFERROR(N('Recurring Items'!$D$24),0)+(IF(AC560=1,'Debt Tracker'!$P$22&gt;0.01,INDEX('Debt Tracker'!$T$5:$AE$29,18,AC560-1)&gt;0.01))*('Recurring Items'!$H$25&lt;&gt;"Skip")*(DAY(AB560)='Recurring Items'!$F$25)*IFERROR(N('Recurring Items'!$D$25),0)+(IF(AC560=1,'Debt Tracker'!$P$23&gt;0.01,INDEX('Debt Tracker'!$T$5:$AE$29,19,AC560-1)&gt;0.01))*('Recurring Items'!$H$26&lt;&gt;"Skip")*(DAY(AB560)='Recurring Items'!$F$26)*IFERROR(N('Recurring Items'!$D$26),0)+(IF(AC560=1,'Debt Tracker'!$P$24&gt;0.01,INDEX('Debt Tracker'!$T$5:$AE$29,20,AC560-1)&gt;0.01))*('Recurring Items'!$H$27&lt;&gt;"Skip")*(DAY(AB560)='Recurring Items'!$F$27)*IFERROR(N('Recurring Items'!$D$27),0)+(IF(AC560=1,'Debt Tracker'!$P$25&gt;0.01,INDEX('Debt Tracker'!$T$5:$AE$29,21,AC560-1)&gt;0.01))*('Recurring Items'!$H$28&lt;&gt;"Skip")*(DAY(AB560)='Recurring Items'!$F$28)*IFERROR(N('Recurring Items'!$D$28),0)+(IF(AC560=1,'Debt Tracker'!$P$26&gt;0.01,INDEX('Debt Tracker'!$T$5:$AE$29,22,AC560-1)&gt;0.01))*('Recurring Items'!$H$29&lt;&gt;"Skip")*(DAY(AB560)='Recurring Items'!$F$29)*IFERROR(N('Recurring Items'!$D$29),0)+(IF(AC560=1,'Debt Tracker'!$P$27&gt;0.01,INDEX('Debt Tracker'!$T$5:$AE$29,23,AC560-1)&gt;0.01))*('Recurring Items'!$H$30&lt;&gt;"Skip")*(DAY(AB560)='Recurring Items'!$F$30)*IFERROR(N('Recurring Items'!$D$30),0)+(IF(AC560=1,'Debt Tracker'!$P$28&gt;0.01,INDEX('Debt Tracker'!$T$5:$AE$29,24,AC560-1)&gt;0.01))*('Recurring Items'!$H$31&lt;&gt;"Skip")*(DAY(AB560)='Recurring Items'!$F$31)*IFERROR(N('Recurring Items'!$D$31),0)+(IF(AC560=1,'Debt Tracker'!$P$29&gt;0.01,INDEX('Debt Tracker'!$T$5:$AE$29,25,AC560-1)&gt;0.01))*('Recurring Items'!$H$32&lt;&gt;"Skip")*(DAY(AB560)='Recurring Items'!$F$32)*IFERROR(N('Recurring Items'!$D$32),0)</f>
        <v>0</v>
      </c>
      <c r="AG560" s="1" t="n">
        <f aca="false">AD560-AE560-AF560</f>
        <v>0</v>
      </c>
      <c r="AH560" s="1" t="n">
        <f aca="false">AH559+AG560</f>
        <v>26747.38</v>
      </c>
    </row>
    <row r="561" customFormat="false" ht="15" hidden="false" customHeight="true" outlineLevel="0" collapsed="false">
      <c r="AA561" s="1" t="n">
        <v>361</v>
      </c>
      <c r="AB561" s="145" t="n">
        <f aca="false">$D$3+361</f>
        <v>46504</v>
      </c>
      <c r="AC561" s="1" t="n">
        <f aca="false">MIN(12,1+DATEDIF($D$3,AB561,"M"))</f>
        <v>12</v>
      </c>
      <c r="AD561" s="1" t="n">
        <f aca="false">SUMPRODUCT(('Recurring Items'!$C$6:$C$56="Income")*('Recurring Items'!$H$6:$H$56&lt;&gt;"Skip")*IFERROR(N('Recurring Items'!$D$6:$D$56),0)*(('Recurring Items'!$E$6:$E$56="Monthly")*(DAY(AB561)='Recurring Items'!$F$6:$F$56)+('Recurring Items'!$E$6:$E$56="Bi-weekly")*(WEEKDAY(AB561)=IFERROR(WEEKDAY('Recurring Items'!$G$6:$G$56),0))*(MOD(AB561-IFERROR('Recurring Items'!$G$6:$G$56,0),14)=0)*(AB561&gt;=IFERROR('Recurring Items'!$G$6:$G$56,9000000000))+('Recurring Items'!$E$6:$E$56="Weekly")*(WEEKDAY(AB561)=IFERROR(WEEKDAY('Recurring Items'!$G$6:$G$56),0))*(AB561&gt;=IFERROR('Recurring Items'!$G$6:$G$56,9000000000))+('Recurring Items'!$E$6:$E$56="One-time")*(AB561='Recurring Items'!$G$6:$G$56)))</f>
        <v>0</v>
      </c>
      <c r="AE561" s="1" t="n">
        <f aca="false">SUMPRODUCT(('Recurring Items'!$C$6:$C$56="Expense")*('Recurring Items'!$H$6:$H$56&lt;&gt;"Skip")*IFERROR(N('Recurring Items'!$D$6:$D$56),0)*(('Recurring Items'!$E$6:$E$56="Monthly")*(DAY(AB561)='Recurring Items'!$F$6:$F$56)+('Recurring Items'!$E$6:$E$56="Bi-weekly")*(WEEKDAY(AB561)=IFERROR(WEEKDAY('Recurring Items'!$G$6:$G$56),0))*(MOD(AB561-IFERROR('Recurring Items'!$G$6:$G$56,0),14)=0)*(AB561&gt;=IFERROR('Recurring Items'!$G$6:$G$56,9000000000))+('Recurring Items'!$E$6:$E$56="Weekly")*(WEEKDAY(AB561)=IFERROR(WEEKDAY('Recurring Items'!$G$6:$G$56),0))*(AB561&gt;=IFERROR('Recurring Items'!$G$6:$G$56,9000000000))+('Recurring Items'!$E$6:$E$56="One-time")*(AB561='Recurring Items'!$G$6:$G$56)))</f>
        <v>0</v>
      </c>
      <c r="AF561" s="1" t="n">
        <f aca="false">(IF(AC561=1,'Debt Tracker'!$P$5&gt;0.01,INDEX('Debt Tracker'!$T$5:$AE$29,1,AC561-1)&gt;0.01))*('Recurring Items'!$H$8&lt;&gt;"Skip")*(DAY(AB561)='Recurring Items'!$F$8)*IFERROR(N('Recurring Items'!$D$8),0)+(IF(AC561=1,'Debt Tracker'!$P$6&gt;0.01,INDEX('Debt Tracker'!$T$5:$AE$29,2,AC561-1)&gt;0.01))*('Recurring Items'!$H$9&lt;&gt;"Skip")*(DAY(AB561)='Recurring Items'!$F$9)*IFERROR(N('Recurring Items'!$D$9),0)+(IF(AC561=1,'Debt Tracker'!$P$7&gt;0.01,INDEX('Debt Tracker'!$T$5:$AE$29,3,AC561-1)&gt;0.01))*('Recurring Items'!$H$10&lt;&gt;"Skip")*(DAY(AB561)='Recurring Items'!$F$10)*IFERROR(N('Recurring Items'!$D$10),0)+(IF(AC561=1,'Debt Tracker'!$P$8&gt;0.01,INDEX('Debt Tracker'!$T$5:$AE$29,4,AC561-1)&gt;0.01))*('Recurring Items'!$H$11&lt;&gt;"Skip")*(DAY(AB561)='Recurring Items'!$F$11)*IFERROR(N('Recurring Items'!$D$11),0)+(IF(AC561=1,'Debt Tracker'!$P$9&gt;0.01,INDEX('Debt Tracker'!$T$5:$AE$29,5,AC561-1)&gt;0.01))*('Recurring Items'!$H$12&lt;&gt;"Skip")*(DAY(AB561)='Recurring Items'!$F$12)*IFERROR(N('Recurring Items'!$D$12),0)+(IF(AC561=1,'Debt Tracker'!$P$10&gt;0.01,INDEX('Debt Tracker'!$T$5:$AE$29,6,AC561-1)&gt;0.01))*('Recurring Items'!$H$13&lt;&gt;"Skip")*(DAY(AB561)='Recurring Items'!$F$13)*IFERROR(N('Recurring Items'!$D$13),0)+(IF(AC561=1,'Debt Tracker'!$P$11&gt;0.01,INDEX('Debt Tracker'!$T$5:$AE$29,7,AC561-1)&gt;0.01))*('Recurring Items'!$H$14&lt;&gt;"Skip")*(DAY(AB561)='Recurring Items'!$F$14)*IFERROR(N('Recurring Items'!$D$14),0)+(IF(AC561=1,'Debt Tracker'!$P$12&gt;0.01,INDEX('Debt Tracker'!$T$5:$AE$29,8,AC561-1)&gt;0.01))*('Recurring Items'!$H$15&lt;&gt;"Skip")*(DAY(AB561)='Recurring Items'!$F$15)*IFERROR(N('Recurring Items'!$D$15),0)+(IF(AC561=1,'Debt Tracker'!$P$13&gt;0.01,INDEX('Debt Tracker'!$T$5:$AE$29,9,AC561-1)&gt;0.01))*('Recurring Items'!$H$16&lt;&gt;"Skip")*(DAY(AB561)='Recurring Items'!$F$16)*IFERROR(N('Recurring Items'!$D$16),0)+(IF(AC561=1,'Debt Tracker'!$P$14&gt;0.01,INDEX('Debt Tracker'!$T$5:$AE$29,10,AC561-1)&gt;0.01))*('Recurring Items'!$H$17&lt;&gt;"Skip")*(DAY(AB561)='Recurring Items'!$F$17)*IFERROR(N('Recurring Items'!$D$17),0)+(IF(AC561=1,'Debt Tracker'!$P$15&gt;0.01,INDEX('Debt Tracker'!$T$5:$AE$29,11,AC561-1)&gt;0.01))*('Recurring Items'!$H$18&lt;&gt;"Skip")*(DAY(AB561)='Recurring Items'!$F$18)*IFERROR(N('Recurring Items'!$D$18),0)+(IF(AC561=1,'Debt Tracker'!$P$16&gt;0.01,INDEX('Debt Tracker'!$T$5:$AE$29,12,AC561-1)&gt;0.01))*('Recurring Items'!$H$19&lt;&gt;"Skip")*(DAY(AB561)='Recurring Items'!$F$19)*IFERROR(N('Recurring Items'!$D$19),0)+(IF(AC561=1,'Debt Tracker'!$P$17&gt;0.01,INDEX('Debt Tracker'!$T$5:$AE$29,13,AC561-1)&gt;0.01))*('Recurring Items'!$H$20&lt;&gt;"Skip")*(DAY(AB561)='Recurring Items'!$F$20)*IFERROR(N('Recurring Items'!$D$20),0)+(IF(AC561=1,'Debt Tracker'!$P$18&gt;0.01,INDEX('Debt Tracker'!$T$5:$AE$29,14,AC561-1)&gt;0.01))*('Recurring Items'!$H$21&lt;&gt;"Skip")*(DAY(AB561)='Recurring Items'!$F$21)*IFERROR(N('Recurring Items'!$D$21),0)+(IF(AC561=1,'Debt Tracker'!$P$19&gt;0.01,INDEX('Debt Tracker'!$T$5:$AE$29,15,AC561-1)&gt;0.01))*('Recurring Items'!$H$22&lt;&gt;"Skip")*(DAY(AB561)='Recurring Items'!$F$22)*IFERROR(N('Recurring Items'!$D$22),0)+(IF(AC561=1,'Debt Tracker'!$P$20&gt;0.01,INDEX('Debt Tracker'!$T$5:$AE$29,16,AC561-1)&gt;0.01))*('Recurring Items'!$H$23&lt;&gt;"Skip")*(DAY(AB561)='Recurring Items'!$F$23)*IFERROR(N('Recurring Items'!$D$23),0)+(IF(AC561=1,'Debt Tracker'!$P$21&gt;0.01,INDEX('Debt Tracker'!$T$5:$AE$29,17,AC561-1)&gt;0.01))*('Recurring Items'!$H$24&lt;&gt;"Skip")*(DAY(AB561)='Recurring Items'!$F$24)*IFERROR(N('Recurring Items'!$D$24),0)+(IF(AC561=1,'Debt Tracker'!$P$22&gt;0.01,INDEX('Debt Tracker'!$T$5:$AE$29,18,AC561-1)&gt;0.01))*('Recurring Items'!$H$25&lt;&gt;"Skip")*(DAY(AB561)='Recurring Items'!$F$25)*IFERROR(N('Recurring Items'!$D$25),0)+(IF(AC561=1,'Debt Tracker'!$P$23&gt;0.01,INDEX('Debt Tracker'!$T$5:$AE$29,19,AC561-1)&gt;0.01))*('Recurring Items'!$H$26&lt;&gt;"Skip")*(DAY(AB561)='Recurring Items'!$F$26)*IFERROR(N('Recurring Items'!$D$26),0)+(IF(AC561=1,'Debt Tracker'!$P$24&gt;0.01,INDEX('Debt Tracker'!$T$5:$AE$29,20,AC561-1)&gt;0.01))*('Recurring Items'!$H$27&lt;&gt;"Skip")*(DAY(AB561)='Recurring Items'!$F$27)*IFERROR(N('Recurring Items'!$D$27),0)+(IF(AC561=1,'Debt Tracker'!$P$25&gt;0.01,INDEX('Debt Tracker'!$T$5:$AE$29,21,AC561-1)&gt;0.01))*('Recurring Items'!$H$28&lt;&gt;"Skip")*(DAY(AB561)='Recurring Items'!$F$28)*IFERROR(N('Recurring Items'!$D$28),0)+(IF(AC561=1,'Debt Tracker'!$P$26&gt;0.01,INDEX('Debt Tracker'!$T$5:$AE$29,22,AC561-1)&gt;0.01))*('Recurring Items'!$H$29&lt;&gt;"Skip")*(DAY(AB561)='Recurring Items'!$F$29)*IFERROR(N('Recurring Items'!$D$29),0)+(IF(AC561=1,'Debt Tracker'!$P$27&gt;0.01,INDEX('Debt Tracker'!$T$5:$AE$29,23,AC561-1)&gt;0.01))*('Recurring Items'!$H$30&lt;&gt;"Skip")*(DAY(AB561)='Recurring Items'!$F$30)*IFERROR(N('Recurring Items'!$D$30),0)+(IF(AC561=1,'Debt Tracker'!$P$28&gt;0.01,INDEX('Debt Tracker'!$T$5:$AE$29,24,AC561-1)&gt;0.01))*('Recurring Items'!$H$31&lt;&gt;"Skip")*(DAY(AB561)='Recurring Items'!$F$31)*IFERROR(N('Recurring Items'!$D$31),0)+(IF(AC561=1,'Debt Tracker'!$P$29&gt;0.01,INDEX('Debt Tracker'!$T$5:$AE$29,25,AC561-1)&gt;0.01))*('Recurring Items'!$H$32&lt;&gt;"Skip")*(DAY(AB561)='Recurring Items'!$F$32)*IFERROR(N('Recurring Items'!$D$32),0)</f>
        <v>0</v>
      </c>
      <c r="AG561" s="1" t="n">
        <f aca="false">AD561-AE561-AF561</f>
        <v>0</v>
      </c>
      <c r="AH561" s="1" t="n">
        <f aca="false">AH560+AG561</f>
        <v>26747.38</v>
      </c>
    </row>
    <row r="562" customFormat="false" ht="15" hidden="false" customHeight="true" outlineLevel="0" collapsed="false">
      <c r="AA562" s="1" t="n">
        <v>362</v>
      </c>
      <c r="AB562" s="145" t="n">
        <f aca="false">$D$3+362</f>
        <v>46505</v>
      </c>
      <c r="AC562" s="1" t="n">
        <f aca="false">MIN(12,1+DATEDIF($D$3,AB562,"M"))</f>
        <v>12</v>
      </c>
      <c r="AD562" s="1" t="n">
        <f aca="false">SUMPRODUCT(('Recurring Items'!$C$6:$C$56="Income")*('Recurring Items'!$H$6:$H$56&lt;&gt;"Skip")*IFERROR(N('Recurring Items'!$D$6:$D$56),0)*(('Recurring Items'!$E$6:$E$56="Monthly")*(DAY(AB562)='Recurring Items'!$F$6:$F$56)+('Recurring Items'!$E$6:$E$56="Bi-weekly")*(WEEKDAY(AB562)=IFERROR(WEEKDAY('Recurring Items'!$G$6:$G$56),0))*(MOD(AB562-IFERROR('Recurring Items'!$G$6:$G$56,0),14)=0)*(AB562&gt;=IFERROR('Recurring Items'!$G$6:$G$56,9000000000))+('Recurring Items'!$E$6:$E$56="Weekly")*(WEEKDAY(AB562)=IFERROR(WEEKDAY('Recurring Items'!$G$6:$G$56),0))*(AB562&gt;=IFERROR('Recurring Items'!$G$6:$G$56,9000000000))+('Recurring Items'!$E$6:$E$56="One-time")*(AB562='Recurring Items'!$G$6:$G$56)))</f>
        <v>0</v>
      </c>
      <c r="AE562" s="1" t="n">
        <f aca="false">SUMPRODUCT(('Recurring Items'!$C$6:$C$56="Expense")*('Recurring Items'!$H$6:$H$56&lt;&gt;"Skip")*IFERROR(N('Recurring Items'!$D$6:$D$56),0)*(('Recurring Items'!$E$6:$E$56="Monthly")*(DAY(AB562)='Recurring Items'!$F$6:$F$56)+('Recurring Items'!$E$6:$E$56="Bi-weekly")*(WEEKDAY(AB562)=IFERROR(WEEKDAY('Recurring Items'!$G$6:$G$56),0))*(MOD(AB562-IFERROR('Recurring Items'!$G$6:$G$56,0),14)=0)*(AB562&gt;=IFERROR('Recurring Items'!$G$6:$G$56,9000000000))+('Recurring Items'!$E$6:$E$56="Weekly")*(WEEKDAY(AB562)=IFERROR(WEEKDAY('Recurring Items'!$G$6:$G$56),0))*(AB562&gt;=IFERROR('Recurring Items'!$G$6:$G$56,9000000000))+('Recurring Items'!$E$6:$E$56="One-time")*(AB562='Recurring Items'!$G$6:$G$56)))</f>
        <v>0</v>
      </c>
      <c r="AF562" s="1" t="n">
        <f aca="false">(IF(AC562=1,'Debt Tracker'!$P$5&gt;0.01,INDEX('Debt Tracker'!$T$5:$AE$29,1,AC562-1)&gt;0.01))*('Recurring Items'!$H$8&lt;&gt;"Skip")*(DAY(AB562)='Recurring Items'!$F$8)*IFERROR(N('Recurring Items'!$D$8),0)+(IF(AC562=1,'Debt Tracker'!$P$6&gt;0.01,INDEX('Debt Tracker'!$T$5:$AE$29,2,AC562-1)&gt;0.01))*('Recurring Items'!$H$9&lt;&gt;"Skip")*(DAY(AB562)='Recurring Items'!$F$9)*IFERROR(N('Recurring Items'!$D$9),0)+(IF(AC562=1,'Debt Tracker'!$P$7&gt;0.01,INDEX('Debt Tracker'!$T$5:$AE$29,3,AC562-1)&gt;0.01))*('Recurring Items'!$H$10&lt;&gt;"Skip")*(DAY(AB562)='Recurring Items'!$F$10)*IFERROR(N('Recurring Items'!$D$10),0)+(IF(AC562=1,'Debt Tracker'!$P$8&gt;0.01,INDEX('Debt Tracker'!$T$5:$AE$29,4,AC562-1)&gt;0.01))*('Recurring Items'!$H$11&lt;&gt;"Skip")*(DAY(AB562)='Recurring Items'!$F$11)*IFERROR(N('Recurring Items'!$D$11),0)+(IF(AC562=1,'Debt Tracker'!$P$9&gt;0.01,INDEX('Debt Tracker'!$T$5:$AE$29,5,AC562-1)&gt;0.01))*('Recurring Items'!$H$12&lt;&gt;"Skip")*(DAY(AB562)='Recurring Items'!$F$12)*IFERROR(N('Recurring Items'!$D$12),0)+(IF(AC562=1,'Debt Tracker'!$P$10&gt;0.01,INDEX('Debt Tracker'!$T$5:$AE$29,6,AC562-1)&gt;0.01))*('Recurring Items'!$H$13&lt;&gt;"Skip")*(DAY(AB562)='Recurring Items'!$F$13)*IFERROR(N('Recurring Items'!$D$13),0)+(IF(AC562=1,'Debt Tracker'!$P$11&gt;0.01,INDEX('Debt Tracker'!$T$5:$AE$29,7,AC562-1)&gt;0.01))*('Recurring Items'!$H$14&lt;&gt;"Skip")*(DAY(AB562)='Recurring Items'!$F$14)*IFERROR(N('Recurring Items'!$D$14),0)+(IF(AC562=1,'Debt Tracker'!$P$12&gt;0.01,INDEX('Debt Tracker'!$T$5:$AE$29,8,AC562-1)&gt;0.01))*('Recurring Items'!$H$15&lt;&gt;"Skip")*(DAY(AB562)='Recurring Items'!$F$15)*IFERROR(N('Recurring Items'!$D$15),0)+(IF(AC562=1,'Debt Tracker'!$P$13&gt;0.01,INDEX('Debt Tracker'!$T$5:$AE$29,9,AC562-1)&gt;0.01))*('Recurring Items'!$H$16&lt;&gt;"Skip")*(DAY(AB562)='Recurring Items'!$F$16)*IFERROR(N('Recurring Items'!$D$16),0)+(IF(AC562=1,'Debt Tracker'!$P$14&gt;0.01,INDEX('Debt Tracker'!$T$5:$AE$29,10,AC562-1)&gt;0.01))*('Recurring Items'!$H$17&lt;&gt;"Skip")*(DAY(AB562)='Recurring Items'!$F$17)*IFERROR(N('Recurring Items'!$D$17),0)+(IF(AC562=1,'Debt Tracker'!$P$15&gt;0.01,INDEX('Debt Tracker'!$T$5:$AE$29,11,AC562-1)&gt;0.01))*('Recurring Items'!$H$18&lt;&gt;"Skip")*(DAY(AB562)='Recurring Items'!$F$18)*IFERROR(N('Recurring Items'!$D$18),0)+(IF(AC562=1,'Debt Tracker'!$P$16&gt;0.01,INDEX('Debt Tracker'!$T$5:$AE$29,12,AC562-1)&gt;0.01))*('Recurring Items'!$H$19&lt;&gt;"Skip")*(DAY(AB562)='Recurring Items'!$F$19)*IFERROR(N('Recurring Items'!$D$19),0)+(IF(AC562=1,'Debt Tracker'!$P$17&gt;0.01,INDEX('Debt Tracker'!$T$5:$AE$29,13,AC562-1)&gt;0.01))*('Recurring Items'!$H$20&lt;&gt;"Skip")*(DAY(AB562)='Recurring Items'!$F$20)*IFERROR(N('Recurring Items'!$D$20),0)+(IF(AC562=1,'Debt Tracker'!$P$18&gt;0.01,INDEX('Debt Tracker'!$T$5:$AE$29,14,AC562-1)&gt;0.01))*('Recurring Items'!$H$21&lt;&gt;"Skip")*(DAY(AB562)='Recurring Items'!$F$21)*IFERROR(N('Recurring Items'!$D$21),0)+(IF(AC562=1,'Debt Tracker'!$P$19&gt;0.01,INDEX('Debt Tracker'!$T$5:$AE$29,15,AC562-1)&gt;0.01))*('Recurring Items'!$H$22&lt;&gt;"Skip")*(DAY(AB562)='Recurring Items'!$F$22)*IFERROR(N('Recurring Items'!$D$22),0)+(IF(AC562=1,'Debt Tracker'!$P$20&gt;0.01,INDEX('Debt Tracker'!$T$5:$AE$29,16,AC562-1)&gt;0.01))*('Recurring Items'!$H$23&lt;&gt;"Skip")*(DAY(AB562)='Recurring Items'!$F$23)*IFERROR(N('Recurring Items'!$D$23),0)+(IF(AC562=1,'Debt Tracker'!$P$21&gt;0.01,INDEX('Debt Tracker'!$T$5:$AE$29,17,AC562-1)&gt;0.01))*('Recurring Items'!$H$24&lt;&gt;"Skip")*(DAY(AB562)='Recurring Items'!$F$24)*IFERROR(N('Recurring Items'!$D$24),0)+(IF(AC562=1,'Debt Tracker'!$P$22&gt;0.01,INDEX('Debt Tracker'!$T$5:$AE$29,18,AC562-1)&gt;0.01))*('Recurring Items'!$H$25&lt;&gt;"Skip")*(DAY(AB562)='Recurring Items'!$F$25)*IFERROR(N('Recurring Items'!$D$25),0)+(IF(AC562=1,'Debt Tracker'!$P$23&gt;0.01,INDEX('Debt Tracker'!$T$5:$AE$29,19,AC562-1)&gt;0.01))*('Recurring Items'!$H$26&lt;&gt;"Skip")*(DAY(AB562)='Recurring Items'!$F$26)*IFERROR(N('Recurring Items'!$D$26),0)+(IF(AC562=1,'Debt Tracker'!$P$24&gt;0.01,INDEX('Debt Tracker'!$T$5:$AE$29,20,AC562-1)&gt;0.01))*('Recurring Items'!$H$27&lt;&gt;"Skip")*(DAY(AB562)='Recurring Items'!$F$27)*IFERROR(N('Recurring Items'!$D$27),0)+(IF(AC562=1,'Debt Tracker'!$P$25&gt;0.01,INDEX('Debt Tracker'!$T$5:$AE$29,21,AC562-1)&gt;0.01))*('Recurring Items'!$H$28&lt;&gt;"Skip")*(DAY(AB562)='Recurring Items'!$F$28)*IFERROR(N('Recurring Items'!$D$28),0)+(IF(AC562=1,'Debt Tracker'!$P$26&gt;0.01,INDEX('Debt Tracker'!$T$5:$AE$29,22,AC562-1)&gt;0.01))*('Recurring Items'!$H$29&lt;&gt;"Skip")*(DAY(AB562)='Recurring Items'!$F$29)*IFERROR(N('Recurring Items'!$D$29),0)+(IF(AC562=1,'Debt Tracker'!$P$27&gt;0.01,INDEX('Debt Tracker'!$T$5:$AE$29,23,AC562-1)&gt;0.01))*('Recurring Items'!$H$30&lt;&gt;"Skip")*(DAY(AB562)='Recurring Items'!$F$30)*IFERROR(N('Recurring Items'!$D$30),0)+(IF(AC562=1,'Debt Tracker'!$P$28&gt;0.01,INDEX('Debt Tracker'!$T$5:$AE$29,24,AC562-1)&gt;0.01))*('Recurring Items'!$H$31&lt;&gt;"Skip")*(DAY(AB562)='Recurring Items'!$F$31)*IFERROR(N('Recurring Items'!$D$31),0)+(IF(AC562=1,'Debt Tracker'!$P$29&gt;0.01,INDEX('Debt Tracker'!$T$5:$AE$29,25,AC562-1)&gt;0.01))*('Recurring Items'!$H$32&lt;&gt;"Skip")*(DAY(AB562)='Recurring Items'!$F$32)*IFERROR(N('Recurring Items'!$D$32),0)</f>
        <v>0</v>
      </c>
      <c r="AG562" s="1" t="n">
        <f aca="false">AD562-AE562-AF562</f>
        <v>0</v>
      </c>
      <c r="AH562" s="1" t="n">
        <f aca="false">AH561+AG562</f>
        <v>26747.38</v>
      </c>
    </row>
    <row r="563" customFormat="false" ht="15" hidden="false" customHeight="true" outlineLevel="0" collapsed="false">
      <c r="AA563" s="1" t="n">
        <v>363</v>
      </c>
      <c r="AB563" s="145" t="n">
        <f aca="false">$D$3+363</f>
        <v>46506</v>
      </c>
      <c r="AC563" s="1" t="n">
        <f aca="false">MIN(12,1+DATEDIF($D$3,AB563,"M"))</f>
        <v>12</v>
      </c>
      <c r="AD563" s="1" t="n">
        <f aca="false">SUMPRODUCT(('Recurring Items'!$C$6:$C$56="Income")*('Recurring Items'!$H$6:$H$56&lt;&gt;"Skip")*IFERROR(N('Recurring Items'!$D$6:$D$56),0)*(('Recurring Items'!$E$6:$E$56="Monthly")*(DAY(AB563)='Recurring Items'!$F$6:$F$56)+('Recurring Items'!$E$6:$E$56="Bi-weekly")*(WEEKDAY(AB563)=IFERROR(WEEKDAY('Recurring Items'!$G$6:$G$56),0))*(MOD(AB563-IFERROR('Recurring Items'!$G$6:$G$56,0),14)=0)*(AB563&gt;=IFERROR('Recurring Items'!$G$6:$G$56,9000000000))+('Recurring Items'!$E$6:$E$56="Weekly")*(WEEKDAY(AB563)=IFERROR(WEEKDAY('Recurring Items'!$G$6:$G$56),0))*(AB563&gt;=IFERROR('Recurring Items'!$G$6:$G$56,9000000000))+('Recurring Items'!$E$6:$E$56="One-time")*(AB563='Recurring Items'!$G$6:$G$56)))</f>
        <v>0</v>
      </c>
      <c r="AE563" s="1" t="n">
        <f aca="false">SUMPRODUCT(('Recurring Items'!$C$6:$C$56="Expense")*('Recurring Items'!$H$6:$H$56&lt;&gt;"Skip")*IFERROR(N('Recurring Items'!$D$6:$D$56),0)*(('Recurring Items'!$E$6:$E$56="Monthly")*(DAY(AB563)='Recurring Items'!$F$6:$F$56)+('Recurring Items'!$E$6:$E$56="Bi-weekly")*(WEEKDAY(AB563)=IFERROR(WEEKDAY('Recurring Items'!$G$6:$G$56),0))*(MOD(AB563-IFERROR('Recurring Items'!$G$6:$G$56,0),14)=0)*(AB563&gt;=IFERROR('Recurring Items'!$G$6:$G$56,9000000000))+('Recurring Items'!$E$6:$E$56="Weekly")*(WEEKDAY(AB563)=IFERROR(WEEKDAY('Recurring Items'!$G$6:$G$56),0))*(AB563&gt;=IFERROR('Recurring Items'!$G$6:$G$56,9000000000))+('Recurring Items'!$E$6:$E$56="One-time")*(AB563='Recurring Items'!$G$6:$G$56)))</f>
        <v>237.58</v>
      </c>
      <c r="AF563" s="1" t="n">
        <f aca="false">(IF(AC563=1,'Debt Tracker'!$P$5&gt;0.01,INDEX('Debt Tracker'!$T$5:$AE$29,1,AC563-1)&gt;0.01))*('Recurring Items'!$H$8&lt;&gt;"Skip")*(DAY(AB563)='Recurring Items'!$F$8)*IFERROR(N('Recurring Items'!$D$8),0)+(IF(AC563=1,'Debt Tracker'!$P$6&gt;0.01,INDEX('Debt Tracker'!$T$5:$AE$29,2,AC563-1)&gt;0.01))*('Recurring Items'!$H$9&lt;&gt;"Skip")*(DAY(AB563)='Recurring Items'!$F$9)*IFERROR(N('Recurring Items'!$D$9),0)+(IF(AC563=1,'Debt Tracker'!$P$7&gt;0.01,INDEX('Debt Tracker'!$T$5:$AE$29,3,AC563-1)&gt;0.01))*('Recurring Items'!$H$10&lt;&gt;"Skip")*(DAY(AB563)='Recurring Items'!$F$10)*IFERROR(N('Recurring Items'!$D$10),0)+(IF(AC563=1,'Debt Tracker'!$P$8&gt;0.01,INDEX('Debt Tracker'!$T$5:$AE$29,4,AC563-1)&gt;0.01))*('Recurring Items'!$H$11&lt;&gt;"Skip")*(DAY(AB563)='Recurring Items'!$F$11)*IFERROR(N('Recurring Items'!$D$11),0)+(IF(AC563=1,'Debt Tracker'!$P$9&gt;0.01,INDEX('Debt Tracker'!$T$5:$AE$29,5,AC563-1)&gt;0.01))*('Recurring Items'!$H$12&lt;&gt;"Skip")*(DAY(AB563)='Recurring Items'!$F$12)*IFERROR(N('Recurring Items'!$D$12),0)+(IF(AC563=1,'Debt Tracker'!$P$10&gt;0.01,INDEX('Debt Tracker'!$T$5:$AE$29,6,AC563-1)&gt;0.01))*('Recurring Items'!$H$13&lt;&gt;"Skip")*(DAY(AB563)='Recurring Items'!$F$13)*IFERROR(N('Recurring Items'!$D$13),0)+(IF(AC563=1,'Debt Tracker'!$P$11&gt;0.01,INDEX('Debt Tracker'!$T$5:$AE$29,7,AC563-1)&gt;0.01))*('Recurring Items'!$H$14&lt;&gt;"Skip")*(DAY(AB563)='Recurring Items'!$F$14)*IFERROR(N('Recurring Items'!$D$14),0)+(IF(AC563=1,'Debt Tracker'!$P$12&gt;0.01,INDEX('Debt Tracker'!$T$5:$AE$29,8,AC563-1)&gt;0.01))*('Recurring Items'!$H$15&lt;&gt;"Skip")*(DAY(AB563)='Recurring Items'!$F$15)*IFERROR(N('Recurring Items'!$D$15),0)+(IF(AC563=1,'Debt Tracker'!$P$13&gt;0.01,INDEX('Debt Tracker'!$T$5:$AE$29,9,AC563-1)&gt;0.01))*('Recurring Items'!$H$16&lt;&gt;"Skip")*(DAY(AB563)='Recurring Items'!$F$16)*IFERROR(N('Recurring Items'!$D$16),0)+(IF(AC563=1,'Debt Tracker'!$P$14&gt;0.01,INDEX('Debt Tracker'!$T$5:$AE$29,10,AC563-1)&gt;0.01))*('Recurring Items'!$H$17&lt;&gt;"Skip")*(DAY(AB563)='Recurring Items'!$F$17)*IFERROR(N('Recurring Items'!$D$17),0)+(IF(AC563=1,'Debt Tracker'!$P$15&gt;0.01,INDEX('Debt Tracker'!$T$5:$AE$29,11,AC563-1)&gt;0.01))*('Recurring Items'!$H$18&lt;&gt;"Skip")*(DAY(AB563)='Recurring Items'!$F$18)*IFERROR(N('Recurring Items'!$D$18),0)+(IF(AC563=1,'Debt Tracker'!$P$16&gt;0.01,INDEX('Debt Tracker'!$T$5:$AE$29,12,AC563-1)&gt;0.01))*('Recurring Items'!$H$19&lt;&gt;"Skip")*(DAY(AB563)='Recurring Items'!$F$19)*IFERROR(N('Recurring Items'!$D$19),0)+(IF(AC563=1,'Debt Tracker'!$P$17&gt;0.01,INDEX('Debt Tracker'!$T$5:$AE$29,13,AC563-1)&gt;0.01))*('Recurring Items'!$H$20&lt;&gt;"Skip")*(DAY(AB563)='Recurring Items'!$F$20)*IFERROR(N('Recurring Items'!$D$20),0)+(IF(AC563=1,'Debt Tracker'!$P$18&gt;0.01,INDEX('Debt Tracker'!$T$5:$AE$29,14,AC563-1)&gt;0.01))*('Recurring Items'!$H$21&lt;&gt;"Skip")*(DAY(AB563)='Recurring Items'!$F$21)*IFERROR(N('Recurring Items'!$D$21),0)+(IF(AC563=1,'Debt Tracker'!$P$19&gt;0.01,INDEX('Debt Tracker'!$T$5:$AE$29,15,AC563-1)&gt;0.01))*('Recurring Items'!$H$22&lt;&gt;"Skip")*(DAY(AB563)='Recurring Items'!$F$22)*IFERROR(N('Recurring Items'!$D$22),0)+(IF(AC563=1,'Debt Tracker'!$P$20&gt;0.01,INDEX('Debt Tracker'!$T$5:$AE$29,16,AC563-1)&gt;0.01))*('Recurring Items'!$H$23&lt;&gt;"Skip")*(DAY(AB563)='Recurring Items'!$F$23)*IFERROR(N('Recurring Items'!$D$23),0)+(IF(AC563=1,'Debt Tracker'!$P$21&gt;0.01,INDEX('Debt Tracker'!$T$5:$AE$29,17,AC563-1)&gt;0.01))*('Recurring Items'!$H$24&lt;&gt;"Skip")*(DAY(AB563)='Recurring Items'!$F$24)*IFERROR(N('Recurring Items'!$D$24),0)+(IF(AC563=1,'Debt Tracker'!$P$22&gt;0.01,INDEX('Debt Tracker'!$T$5:$AE$29,18,AC563-1)&gt;0.01))*('Recurring Items'!$H$25&lt;&gt;"Skip")*(DAY(AB563)='Recurring Items'!$F$25)*IFERROR(N('Recurring Items'!$D$25),0)+(IF(AC563=1,'Debt Tracker'!$P$23&gt;0.01,INDEX('Debt Tracker'!$T$5:$AE$29,19,AC563-1)&gt;0.01))*('Recurring Items'!$H$26&lt;&gt;"Skip")*(DAY(AB563)='Recurring Items'!$F$26)*IFERROR(N('Recurring Items'!$D$26),0)+(IF(AC563=1,'Debt Tracker'!$P$24&gt;0.01,INDEX('Debt Tracker'!$T$5:$AE$29,20,AC563-1)&gt;0.01))*('Recurring Items'!$H$27&lt;&gt;"Skip")*(DAY(AB563)='Recurring Items'!$F$27)*IFERROR(N('Recurring Items'!$D$27),0)+(IF(AC563=1,'Debt Tracker'!$P$25&gt;0.01,INDEX('Debt Tracker'!$T$5:$AE$29,21,AC563-1)&gt;0.01))*('Recurring Items'!$H$28&lt;&gt;"Skip")*(DAY(AB563)='Recurring Items'!$F$28)*IFERROR(N('Recurring Items'!$D$28),0)+(IF(AC563=1,'Debt Tracker'!$P$26&gt;0.01,INDEX('Debt Tracker'!$T$5:$AE$29,22,AC563-1)&gt;0.01))*('Recurring Items'!$H$29&lt;&gt;"Skip")*(DAY(AB563)='Recurring Items'!$F$29)*IFERROR(N('Recurring Items'!$D$29),0)+(IF(AC563=1,'Debt Tracker'!$P$27&gt;0.01,INDEX('Debt Tracker'!$T$5:$AE$29,23,AC563-1)&gt;0.01))*('Recurring Items'!$H$30&lt;&gt;"Skip")*(DAY(AB563)='Recurring Items'!$F$30)*IFERROR(N('Recurring Items'!$D$30),0)+(IF(AC563=1,'Debt Tracker'!$P$28&gt;0.01,INDEX('Debt Tracker'!$T$5:$AE$29,24,AC563-1)&gt;0.01))*('Recurring Items'!$H$31&lt;&gt;"Skip")*(DAY(AB563)='Recurring Items'!$F$31)*IFERROR(N('Recurring Items'!$D$31),0)+(IF(AC563=1,'Debt Tracker'!$P$29&gt;0.01,INDEX('Debt Tracker'!$T$5:$AE$29,25,AC563-1)&gt;0.01))*('Recurring Items'!$H$32&lt;&gt;"Skip")*(DAY(AB563)='Recurring Items'!$F$32)*IFERROR(N('Recurring Items'!$D$32),0)</f>
        <v>206.43</v>
      </c>
      <c r="AG563" s="1" t="n">
        <f aca="false">AD563-AE563-AF563</f>
        <v>-444.01</v>
      </c>
      <c r="AH563" s="1" t="n">
        <f aca="false">AH562+AG563</f>
        <v>26303.37</v>
      </c>
    </row>
    <row r="564" customFormat="false" ht="15" hidden="false" customHeight="true" outlineLevel="0" collapsed="false">
      <c r="AA564" s="1" t="n">
        <v>364</v>
      </c>
      <c r="AB564" s="145" t="n">
        <f aca="false">$D$3+364</f>
        <v>46507</v>
      </c>
      <c r="AC564" s="1" t="n">
        <f aca="false">MIN(12,1+DATEDIF($D$3,AB564,"M"))</f>
        <v>12</v>
      </c>
      <c r="AD564" s="1" t="n">
        <f aca="false">SUMPRODUCT(('Recurring Items'!$C$6:$C$56="Income")*('Recurring Items'!$H$6:$H$56&lt;&gt;"Skip")*IFERROR(N('Recurring Items'!$D$6:$D$56),0)*(('Recurring Items'!$E$6:$E$56="Monthly")*(DAY(AB564)='Recurring Items'!$F$6:$F$56)+('Recurring Items'!$E$6:$E$56="Bi-weekly")*(WEEKDAY(AB564)=IFERROR(WEEKDAY('Recurring Items'!$G$6:$G$56),0))*(MOD(AB564-IFERROR('Recurring Items'!$G$6:$G$56,0),14)=0)*(AB564&gt;=IFERROR('Recurring Items'!$G$6:$G$56,9000000000))+('Recurring Items'!$E$6:$E$56="Weekly")*(WEEKDAY(AB564)=IFERROR(WEEKDAY('Recurring Items'!$G$6:$G$56),0))*(AB564&gt;=IFERROR('Recurring Items'!$G$6:$G$56,9000000000))+('Recurring Items'!$E$6:$E$56="One-time")*(AB564='Recurring Items'!$G$6:$G$56)))</f>
        <v>3819.79</v>
      </c>
      <c r="AE564" s="1" t="n">
        <f aca="false">SUMPRODUCT(('Recurring Items'!$C$6:$C$56="Expense")*('Recurring Items'!$H$6:$H$56&lt;&gt;"Skip")*IFERROR(N('Recurring Items'!$D$6:$D$56),0)*(('Recurring Items'!$E$6:$E$56="Monthly")*(DAY(AB564)='Recurring Items'!$F$6:$F$56)+('Recurring Items'!$E$6:$E$56="Bi-weekly")*(WEEKDAY(AB564)=IFERROR(WEEKDAY('Recurring Items'!$G$6:$G$56),0))*(MOD(AB564-IFERROR('Recurring Items'!$G$6:$G$56,0),14)=0)*(AB564&gt;=IFERROR('Recurring Items'!$G$6:$G$56,9000000000))+('Recurring Items'!$E$6:$E$56="Weekly")*(WEEKDAY(AB564)=IFERROR(WEEKDAY('Recurring Items'!$G$6:$G$56),0))*(AB564&gt;=IFERROR('Recurring Items'!$G$6:$G$56,9000000000))+('Recurring Items'!$E$6:$E$56="One-time")*(AB564='Recurring Items'!$G$6:$G$56)))</f>
        <v>460</v>
      </c>
      <c r="AF564" s="1" t="n">
        <f aca="false">(IF(AC564=1,'Debt Tracker'!$P$5&gt;0.01,INDEX('Debt Tracker'!$T$5:$AE$29,1,AC564-1)&gt;0.01))*('Recurring Items'!$H$8&lt;&gt;"Skip")*(DAY(AB564)='Recurring Items'!$F$8)*IFERROR(N('Recurring Items'!$D$8),0)+(IF(AC564=1,'Debt Tracker'!$P$6&gt;0.01,INDEX('Debt Tracker'!$T$5:$AE$29,2,AC564-1)&gt;0.01))*('Recurring Items'!$H$9&lt;&gt;"Skip")*(DAY(AB564)='Recurring Items'!$F$9)*IFERROR(N('Recurring Items'!$D$9),0)+(IF(AC564=1,'Debt Tracker'!$P$7&gt;0.01,INDEX('Debt Tracker'!$T$5:$AE$29,3,AC564-1)&gt;0.01))*('Recurring Items'!$H$10&lt;&gt;"Skip")*(DAY(AB564)='Recurring Items'!$F$10)*IFERROR(N('Recurring Items'!$D$10),0)+(IF(AC564=1,'Debt Tracker'!$P$8&gt;0.01,INDEX('Debt Tracker'!$T$5:$AE$29,4,AC564-1)&gt;0.01))*('Recurring Items'!$H$11&lt;&gt;"Skip")*(DAY(AB564)='Recurring Items'!$F$11)*IFERROR(N('Recurring Items'!$D$11),0)+(IF(AC564=1,'Debt Tracker'!$P$9&gt;0.01,INDEX('Debt Tracker'!$T$5:$AE$29,5,AC564-1)&gt;0.01))*('Recurring Items'!$H$12&lt;&gt;"Skip")*(DAY(AB564)='Recurring Items'!$F$12)*IFERROR(N('Recurring Items'!$D$12),0)+(IF(AC564=1,'Debt Tracker'!$P$10&gt;0.01,INDEX('Debt Tracker'!$T$5:$AE$29,6,AC564-1)&gt;0.01))*('Recurring Items'!$H$13&lt;&gt;"Skip")*(DAY(AB564)='Recurring Items'!$F$13)*IFERROR(N('Recurring Items'!$D$13),0)+(IF(AC564=1,'Debt Tracker'!$P$11&gt;0.01,INDEX('Debt Tracker'!$T$5:$AE$29,7,AC564-1)&gt;0.01))*('Recurring Items'!$H$14&lt;&gt;"Skip")*(DAY(AB564)='Recurring Items'!$F$14)*IFERROR(N('Recurring Items'!$D$14),0)+(IF(AC564=1,'Debt Tracker'!$P$12&gt;0.01,INDEX('Debt Tracker'!$T$5:$AE$29,8,AC564-1)&gt;0.01))*('Recurring Items'!$H$15&lt;&gt;"Skip")*(DAY(AB564)='Recurring Items'!$F$15)*IFERROR(N('Recurring Items'!$D$15),0)+(IF(AC564=1,'Debt Tracker'!$P$13&gt;0.01,INDEX('Debt Tracker'!$T$5:$AE$29,9,AC564-1)&gt;0.01))*('Recurring Items'!$H$16&lt;&gt;"Skip")*(DAY(AB564)='Recurring Items'!$F$16)*IFERROR(N('Recurring Items'!$D$16),0)+(IF(AC564=1,'Debt Tracker'!$P$14&gt;0.01,INDEX('Debt Tracker'!$T$5:$AE$29,10,AC564-1)&gt;0.01))*('Recurring Items'!$H$17&lt;&gt;"Skip")*(DAY(AB564)='Recurring Items'!$F$17)*IFERROR(N('Recurring Items'!$D$17),0)+(IF(AC564=1,'Debt Tracker'!$P$15&gt;0.01,INDEX('Debt Tracker'!$T$5:$AE$29,11,AC564-1)&gt;0.01))*('Recurring Items'!$H$18&lt;&gt;"Skip")*(DAY(AB564)='Recurring Items'!$F$18)*IFERROR(N('Recurring Items'!$D$18),0)+(IF(AC564=1,'Debt Tracker'!$P$16&gt;0.01,INDEX('Debt Tracker'!$T$5:$AE$29,12,AC564-1)&gt;0.01))*('Recurring Items'!$H$19&lt;&gt;"Skip")*(DAY(AB564)='Recurring Items'!$F$19)*IFERROR(N('Recurring Items'!$D$19),0)+(IF(AC564=1,'Debt Tracker'!$P$17&gt;0.01,INDEX('Debt Tracker'!$T$5:$AE$29,13,AC564-1)&gt;0.01))*('Recurring Items'!$H$20&lt;&gt;"Skip")*(DAY(AB564)='Recurring Items'!$F$20)*IFERROR(N('Recurring Items'!$D$20),0)+(IF(AC564=1,'Debt Tracker'!$P$18&gt;0.01,INDEX('Debt Tracker'!$T$5:$AE$29,14,AC564-1)&gt;0.01))*('Recurring Items'!$H$21&lt;&gt;"Skip")*(DAY(AB564)='Recurring Items'!$F$21)*IFERROR(N('Recurring Items'!$D$21),0)+(IF(AC564=1,'Debt Tracker'!$P$19&gt;0.01,INDEX('Debt Tracker'!$T$5:$AE$29,15,AC564-1)&gt;0.01))*('Recurring Items'!$H$22&lt;&gt;"Skip")*(DAY(AB564)='Recurring Items'!$F$22)*IFERROR(N('Recurring Items'!$D$22),0)+(IF(AC564=1,'Debt Tracker'!$P$20&gt;0.01,INDEX('Debt Tracker'!$T$5:$AE$29,16,AC564-1)&gt;0.01))*('Recurring Items'!$H$23&lt;&gt;"Skip")*(DAY(AB564)='Recurring Items'!$F$23)*IFERROR(N('Recurring Items'!$D$23),0)+(IF(AC564=1,'Debt Tracker'!$P$21&gt;0.01,INDEX('Debt Tracker'!$T$5:$AE$29,17,AC564-1)&gt;0.01))*('Recurring Items'!$H$24&lt;&gt;"Skip")*(DAY(AB564)='Recurring Items'!$F$24)*IFERROR(N('Recurring Items'!$D$24),0)+(IF(AC564=1,'Debt Tracker'!$P$22&gt;0.01,INDEX('Debt Tracker'!$T$5:$AE$29,18,AC564-1)&gt;0.01))*('Recurring Items'!$H$25&lt;&gt;"Skip")*(DAY(AB564)='Recurring Items'!$F$25)*IFERROR(N('Recurring Items'!$D$25),0)+(IF(AC564=1,'Debt Tracker'!$P$23&gt;0.01,INDEX('Debt Tracker'!$T$5:$AE$29,19,AC564-1)&gt;0.01))*('Recurring Items'!$H$26&lt;&gt;"Skip")*(DAY(AB564)='Recurring Items'!$F$26)*IFERROR(N('Recurring Items'!$D$26),0)+(IF(AC564=1,'Debt Tracker'!$P$24&gt;0.01,INDEX('Debt Tracker'!$T$5:$AE$29,20,AC564-1)&gt;0.01))*('Recurring Items'!$H$27&lt;&gt;"Skip")*(DAY(AB564)='Recurring Items'!$F$27)*IFERROR(N('Recurring Items'!$D$27),0)+(IF(AC564=1,'Debt Tracker'!$P$25&gt;0.01,INDEX('Debt Tracker'!$T$5:$AE$29,21,AC564-1)&gt;0.01))*('Recurring Items'!$H$28&lt;&gt;"Skip")*(DAY(AB564)='Recurring Items'!$F$28)*IFERROR(N('Recurring Items'!$D$28),0)+(IF(AC564=1,'Debt Tracker'!$P$26&gt;0.01,INDEX('Debt Tracker'!$T$5:$AE$29,22,AC564-1)&gt;0.01))*('Recurring Items'!$H$29&lt;&gt;"Skip")*(DAY(AB564)='Recurring Items'!$F$29)*IFERROR(N('Recurring Items'!$D$29),0)+(IF(AC564=1,'Debt Tracker'!$P$27&gt;0.01,INDEX('Debt Tracker'!$T$5:$AE$29,23,AC564-1)&gt;0.01))*('Recurring Items'!$H$30&lt;&gt;"Skip")*(DAY(AB564)='Recurring Items'!$F$30)*IFERROR(N('Recurring Items'!$D$30),0)+(IF(AC564=1,'Debt Tracker'!$P$28&gt;0.01,INDEX('Debt Tracker'!$T$5:$AE$29,24,AC564-1)&gt;0.01))*('Recurring Items'!$H$31&lt;&gt;"Skip")*(DAY(AB564)='Recurring Items'!$F$31)*IFERROR(N('Recurring Items'!$D$31),0)+(IF(AC564=1,'Debt Tracker'!$P$29&gt;0.01,INDEX('Debt Tracker'!$T$5:$AE$29,25,AC564-1)&gt;0.01))*('Recurring Items'!$H$32&lt;&gt;"Skip")*(DAY(AB564)='Recurring Items'!$F$32)*IFERROR(N('Recurring Items'!$D$32),0)</f>
        <v>0</v>
      </c>
      <c r="AG564" s="1" t="n">
        <f aca="false">AD564-AE564-AF564</f>
        <v>3359.79</v>
      </c>
      <c r="AH564" s="1" t="n">
        <f aca="false">AH563+AG564</f>
        <v>29663.16</v>
      </c>
    </row>
  </sheetData>
  <mergeCells count="18">
    <mergeCell ref="A1:J1"/>
    <mergeCell ref="A7:I7"/>
    <mergeCell ref="A101:I101"/>
    <mergeCell ref="A118:I118"/>
    <mergeCell ref="A128:J128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39:F139"/>
    <mergeCell ref="C140:F140"/>
    <mergeCell ref="C141:F141"/>
    <mergeCell ref="C142:F142"/>
  </mergeCells>
  <conditionalFormatting sqref="G10:G99">
    <cfRule type="cellIs" priority="2" operator="lessThan" aboveAverage="0" equalAverage="0" bottom="0" percent="0" rank="0" text="" dxfId="3">
      <formula>0</formula>
    </cfRule>
    <cfRule type="cellIs" priority="3" operator="between" aboveAverage="0" equalAverage="0" bottom="0" percent="0" rank="0" text="" dxfId="2">
      <formula>0</formula>
      <formula>500</formula>
    </cfRule>
  </conditionalFormatting>
  <conditionalFormatting sqref="G104:G116">
    <cfRule type="cellIs" priority="4" operator="lessThan" aboveAverage="0" equalAverage="0" bottom="0" percent="0" rank="0" text="" dxfId="3">
      <formula>0</formula>
    </cfRule>
    <cfRule type="cellIs" priority="5" operator="between" aboveAverage="0" equalAverage="0" bottom="0" percent="0" rank="0" text="" dxfId="2">
      <formula>0</formula>
      <formula>500</formula>
    </cfRule>
  </conditionalFormatting>
  <conditionalFormatting sqref="G121:G126">
    <cfRule type="cellIs" priority="6" operator="lessThan" aboveAverage="0" equalAverage="0" bottom="0" percent="0" rank="0" text="" dxfId="3">
      <formula>0</formula>
    </cfRule>
    <cfRule type="cellIs" priority="7" operator="between" aboveAverage="0" equalAverage="0" bottom="0" percent="0" rank="0" text="" dxfId="2">
      <formula>0</formula>
      <formula>500</formula>
    </cfRule>
  </conditionalFormatting>
  <dataValidations count="1">
    <dataValidation allowBlank="false" errorStyle="stop" operator="between" showDropDown="false" showErrorMessage="false" showInputMessage="false" sqref="F3" type="list">
      <formula1>"30 days,60 days,90 days,180 days,365 days"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13"/>
    <col collapsed="false" customWidth="true" hidden="false" outlineLevel="0" max="7" min="6" style="1" width="11"/>
    <col collapsed="false" customWidth="true" hidden="false" outlineLevel="0" max="8" min="8" style="1" width="13"/>
    <col collapsed="false" customWidth="true" hidden="false" outlineLevel="0" max="10" min="10" style="1" width="55"/>
    <col collapsed="false" customWidth="true" hidden="false" outlineLevel="0" max="11" min="11" style="1" width="12"/>
    <col collapsed="false" customWidth="true" hidden="false" outlineLevel="0" max="13" min="12" style="1" width="14"/>
    <col collapsed="false" customWidth="true" hidden="false" outlineLevel="0" max="14" min="14" style="1" width="13"/>
    <col collapsed="false" customWidth="true" hidden="false" outlineLevel="0" max="15" min="15" style="1" width="14"/>
    <col collapsed="false" customWidth="true" hidden="false" outlineLevel="0" max="16" min="16" style="1" width="15"/>
    <col collapsed="false" customWidth="true" hidden="false" outlineLevel="0" max="17" min="17" style="1" width="13"/>
    <col collapsed="false" customWidth="true" hidden="false" outlineLevel="0" max="18" min="18" style="1" width="16"/>
    <col collapsed="false" customWidth="true" hidden="true" outlineLevel="0" max="31" min="20" style="1" width="13"/>
  </cols>
  <sheetData>
    <row r="1" customFormat="false" ht="17.25" hidden="false" customHeight="true" outlineLevel="0" collapsed="false">
      <c r="A1" s="146" t="s">
        <v>334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customFormat="false" ht="15" hidden="false" customHeight="true" outlineLevel="0" collapsed="false">
      <c r="A2" s="147" t="s">
        <v>335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</row>
    <row r="3" customFormat="false" ht="15" hidden="false" customHeight="true" outlineLevel="0" collapsed="false">
      <c r="T3" s="148" t="s">
        <v>336</v>
      </c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</row>
    <row r="4" customFormat="false" ht="26.25" hidden="false" customHeight="true" outlineLevel="0" collapsed="false">
      <c r="A4" s="149" t="s">
        <v>43</v>
      </c>
      <c r="B4" s="149" t="s">
        <v>337</v>
      </c>
      <c r="C4" s="149" t="s">
        <v>131</v>
      </c>
      <c r="D4" s="149" t="s">
        <v>338</v>
      </c>
      <c r="E4" s="149" t="s">
        <v>305</v>
      </c>
      <c r="F4" s="149" t="s">
        <v>339</v>
      </c>
      <c r="G4" s="150" t="s">
        <v>340</v>
      </c>
      <c r="H4" s="149" t="s">
        <v>341</v>
      </c>
      <c r="I4" s="149" t="s">
        <v>342</v>
      </c>
      <c r="J4" s="149" t="s">
        <v>307</v>
      </c>
      <c r="K4" s="149" t="s">
        <v>343</v>
      </c>
      <c r="L4" s="42" t="s">
        <v>344</v>
      </c>
      <c r="M4" s="42" t="s">
        <v>345</v>
      </c>
      <c r="N4" s="132" t="s">
        <v>346</v>
      </c>
      <c r="O4" s="132" t="s">
        <v>347</v>
      </c>
      <c r="P4" s="132" t="s">
        <v>348</v>
      </c>
      <c r="Q4" s="132" t="s">
        <v>349</v>
      </c>
      <c r="R4" s="151" t="s">
        <v>350</v>
      </c>
      <c r="T4" s="152" t="s">
        <v>351</v>
      </c>
      <c r="U4" s="152" t="s">
        <v>352</v>
      </c>
      <c r="V4" s="152" t="s">
        <v>353</v>
      </c>
      <c r="W4" s="152" t="s">
        <v>354</v>
      </c>
      <c r="X4" s="152" t="s">
        <v>355</v>
      </c>
      <c r="Y4" s="152" t="s">
        <v>356</v>
      </c>
      <c r="Z4" s="152" t="s">
        <v>357</v>
      </c>
      <c r="AA4" s="152" t="s">
        <v>358</v>
      </c>
      <c r="AB4" s="152" t="s">
        <v>359</v>
      </c>
      <c r="AC4" s="152" t="s">
        <v>360</v>
      </c>
      <c r="AD4" s="152" t="s">
        <v>361</v>
      </c>
      <c r="AE4" s="152" t="s">
        <v>362</v>
      </c>
    </row>
    <row r="5" customFormat="false" ht="27.75" hidden="false" customHeight="true" outlineLevel="0" collapsed="false">
      <c r="A5" s="153" t="n">
        <v>1</v>
      </c>
      <c r="B5" s="154" t="s">
        <v>57</v>
      </c>
      <c r="C5" s="153" t="s">
        <v>363</v>
      </c>
      <c r="D5" s="155" t="n">
        <v>0.3499</v>
      </c>
      <c r="E5" s="156" t="n">
        <v>933.82</v>
      </c>
      <c r="F5" s="156" t="n">
        <v>33</v>
      </c>
      <c r="G5" s="157" t="str">
        <f aca="false">IF(P5&lt;=0.01,"Yes","No")</f>
        <v>No</v>
      </c>
      <c r="H5" s="153" t="s">
        <v>364</v>
      </c>
      <c r="I5" s="153" t="s">
        <v>365</v>
      </c>
      <c r="J5" s="158" t="s">
        <v>366</v>
      </c>
      <c r="K5" s="159" t="s">
        <v>367</v>
      </c>
      <c r="L5" s="160" t="n">
        <f aca="false">P5</f>
        <v>899.82</v>
      </c>
      <c r="M5" s="160" t="n">
        <f aca="false">IF(P5&lt;=0.01,0,F5)</f>
        <v>33</v>
      </c>
      <c r="N5" s="161" t="n">
        <f aca="false">IFERROR(SUMIFS(Payments!$F:$F,Payments!$E:$E,B5,Payments!$D:$D,"Expense"),0)</f>
        <v>34</v>
      </c>
      <c r="O5" s="162" t="n">
        <f aca="true">IFERROR(MAX(0,DATEDIF(DATE(2026,5,1),TODAY(),"M"))*E5*D5/12,0)</f>
        <v>0</v>
      </c>
      <c r="P5" s="163" t="n">
        <f aca="false">MAX(0,E5+O5-N5)</f>
        <v>899.82</v>
      </c>
      <c r="Q5" s="164" t="str">
        <f aca="false">IF(P5&lt;=0.01,"✓ PAID OFF",IF(P5&lt;E5*0.1,"⚡ ALMOST","ACTIVE"))</f>
        <v>ACTIVE</v>
      </c>
      <c r="R5" s="165" t="n">
        <v>0</v>
      </c>
      <c r="T5" s="166" t="n">
        <v>0</v>
      </c>
      <c r="U5" s="166" t="n">
        <v>0</v>
      </c>
      <c r="V5" s="166" t="n">
        <v>0</v>
      </c>
      <c r="W5" s="166" t="n">
        <v>0</v>
      </c>
      <c r="X5" s="166" t="n">
        <v>0</v>
      </c>
      <c r="Y5" s="166" t="n">
        <v>0</v>
      </c>
      <c r="Z5" s="166" t="n">
        <v>0</v>
      </c>
      <c r="AA5" s="166" t="n">
        <v>0</v>
      </c>
      <c r="AB5" s="166" t="n">
        <v>0</v>
      </c>
      <c r="AC5" s="166" t="n">
        <v>0</v>
      </c>
      <c r="AD5" s="166" t="n">
        <v>0</v>
      </c>
      <c r="AE5" s="166" t="n">
        <v>0</v>
      </c>
    </row>
    <row r="6" customFormat="false" ht="27.75" hidden="false" customHeight="true" outlineLevel="0" collapsed="false">
      <c r="A6" s="153" t="n">
        <v>2</v>
      </c>
      <c r="B6" s="154" t="s">
        <v>56</v>
      </c>
      <c r="C6" s="153" t="s">
        <v>363</v>
      </c>
      <c r="D6" s="155" t="n">
        <v>0.3499</v>
      </c>
      <c r="E6" s="156" t="n">
        <v>1583.49</v>
      </c>
      <c r="F6" s="156" t="n">
        <v>129</v>
      </c>
      <c r="G6" s="157" t="str">
        <f aca="false">IF(P6&lt;=0.01,"Yes","No")</f>
        <v>No</v>
      </c>
      <c r="H6" s="153" t="s">
        <v>364</v>
      </c>
      <c r="I6" s="153" t="s">
        <v>365</v>
      </c>
      <c r="J6" s="158" t="s">
        <v>368</v>
      </c>
      <c r="K6" s="159" t="s">
        <v>367</v>
      </c>
      <c r="L6" s="160" t="n">
        <f aca="false">P6</f>
        <v>1254.49</v>
      </c>
      <c r="M6" s="160" t="n">
        <f aca="false">IF(P6&lt;=0.01,0,F6)</f>
        <v>129</v>
      </c>
      <c r="N6" s="161" t="n">
        <f aca="false">IFERROR(SUMIFS(Payments!$F:$F,Payments!$E:$E,B6,Payments!$D:$D,"Expense"),0)</f>
        <v>329</v>
      </c>
      <c r="O6" s="162" t="n">
        <f aca="true">IFERROR(MAX(0,DATEDIF(DATE(2026,5,1),TODAY(),"M"))*E6*D6/12,0)</f>
        <v>0</v>
      </c>
      <c r="P6" s="163" t="n">
        <f aca="false">MAX(0,E6+O6-N6)</f>
        <v>1254.49</v>
      </c>
      <c r="Q6" s="164" t="str">
        <f aca="false">IF(P6&lt;=0.01,"✓ PAID OFF",IF(P6&lt;E6*0.1,"⚡ ALMOST","ACTIVE"))</f>
        <v>ACTIVE</v>
      </c>
      <c r="R6" s="165" t="n">
        <v>0</v>
      </c>
      <c r="T6" s="166" t="n">
        <v>0</v>
      </c>
      <c r="U6" s="166" t="n">
        <v>0</v>
      </c>
      <c r="V6" s="166" t="n">
        <v>0</v>
      </c>
      <c r="W6" s="166" t="n">
        <v>0</v>
      </c>
      <c r="X6" s="166" t="n">
        <v>0</v>
      </c>
      <c r="Y6" s="166" t="n">
        <v>0</v>
      </c>
      <c r="Z6" s="166" t="n">
        <v>0</v>
      </c>
      <c r="AA6" s="166" t="n">
        <v>0</v>
      </c>
      <c r="AB6" s="166" t="n">
        <v>0</v>
      </c>
      <c r="AC6" s="166" t="n">
        <v>0</v>
      </c>
      <c r="AD6" s="166" t="n">
        <v>0</v>
      </c>
      <c r="AE6" s="166" t="n">
        <v>0</v>
      </c>
    </row>
    <row r="7" customFormat="false" ht="27.75" hidden="false" customHeight="true" outlineLevel="0" collapsed="false">
      <c r="A7" s="153" t="n">
        <v>3</v>
      </c>
      <c r="B7" s="154" t="s">
        <v>58</v>
      </c>
      <c r="C7" s="153" t="s">
        <v>363</v>
      </c>
      <c r="D7" s="155" t="n">
        <v>0.2999</v>
      </c>
      <c r="E7" s="156" t="n">
        <v>1200</v>
      </c>
      <c r="F7" s="156" t="n">
        <v>29</v>
      </c>
      <c r="G7" s="157" t="str">
        <f aca="false">IF(P7&lt;=0.01,"Yes","No")</f>
        <v>No</v>
      </c>
      <c r="H7" s="153" t="s">
        <v>369</v>
      </c>
      <c r="I7" s="153" t="s">
        <v>320</v>
      </c>
      <c r="J7" s="158" t="s">
        <v>370</v>
      </c>
      <c r="K7" s="167" t="s">
        <v>369</v>
      </c>
      <c r="L7" s="160" t="n">
        <f aca="false">P7</f>
        <v>1200</v>
      </c>
      <c r="M7" s="160" t="n">
        <f aca="false">IF(P7&lt;=0.01,0,F7)</f>
        <v>29</v>
      </c>
      <c r="N7" s="161" t="n">
        <f aca="false">IFERROR(SUMIFS(Payments!$F:$F,Payments!$E:$E,B7,Payments!$D:$D,"Expense"),0)</f>
        <v>0</v>
      </c>
      <c r="O7" s="162" t="n">
        <f aca="true">IFERROR(MAX(0,DATEDIF(DATE(2026,5,1),TODAY(),"M"))*E7*D7/12,0)</f>
        <v>0</v>
      </c>
      <c r="P7" s="163" t="n">
        <f aca="false">MAX(0,E7+O7-N7)</f>
        <v>1200</v>
      </c>
      <c r="Q7" s="164" t="str">
        <f aca="false">IF(P7&lt;=0.01,"✓ PAID OFF",IF(P7&lt;E7*0.1,"⚡ ALMOST","ACTIVE"))</f>
        <v>ACTIVE</v>
      </c>
      <c r="R7" s="165" t="n">
        <v>0</v>
      </c>
      <c r="T7" s="166" t="n">
        <v>0</v>
      </c>
      <c r="U7" s="166" t="n">
        <v>0</v>
      </c>
      <c r="V7" s="166" t="n">
        <v>0</v>
      </c>
      <c r="W7" s="166" t="n">
        <v>0</v>
      </c>
      <c r="X7" s="166" t="n">
        <v>0</v>
      </c>
      <c r="Y7" s="166" t="n">
        <v>0</v>
      </c>
      <c r="Z7" s="166" t="n">
        <v>0</v>
      </c>
      <c r="AA7" s="166" t="n">
        <v>0</v>
      </c>
      <c r="AB7" s="166" t="n">
        <v>0</v>
      </c>
      <c r="AC7" s="166" t="n">
        <v>0</v>
      </c>
      <c r="AD7" s="166" t="n">
        <v>0</v>
      </c>
      <c r="AE7" s="166" t="n">
        <v>0</v>
      </c>
    </row>
    <row r="8" customFormat="false" ht="27.75" hidden="false" customHeight="true" outlineLevel="0" collapsed="false">
      <c r="A8" s="153" t="n">
        <v>4</v>
      </c>
      <c r="B8" s="154" t="s">
        <v>79</v>
      </c>
      <c r="C8" s="153" t="s">
        <v>371</v>
      </c>
      <c r="D8" s="155" t="n">
        <v>0.2874</v>
      </c>
      <c r="E8" s="156" t="n">
        <v>5930.94</v>
      </c>
      <c r="F8" s="156" t="n">
        <v>200</v>
      </c>
      <c r="G8" s="157" t="str">
        <f aca="false">IF(P8&lt;=0.01,"Yes","No")</f>
        <v>No</v>
      </c>
      <c r="H8" s="153" t="s">
        <v>364</v>
      </c>
      <c r="I8" s="153" t="s">
        <v>372</v>
      </c>
      <c r="J8" s="158" t="s">
        <v>373</v>
      </c>
      <c r="K8" s="159" t="s">
        <v>367</v>
      </c>
      <c r="L8" s="160" t="n">
        <f aca="false">P8</f>
        <v>5339.94</v>
      </c>
      <c r="M8" s="160" t="n">
        <f aca="false">IF(P8&lt;=0.01,0,F8)</f>
        <v>200</v>
      </c>
      <c r="N8" s="161" t="n">
        <f aca="false">IFERROR(SUMIFS(Payments!$F:$F,Payments!$E:$E,B8,Payments!$D:$D,"Expense"),0)</f>
        <v>591</v>
      </c>
      <c r="O8" s="162" t="n">
        <f aca="true">IFERROR(MAX(0,DATEDIF(DATE(2026,5,1),TODAY(),"M"))*E8*D8/12,0)</f>
        <v>0</v>
      </c>
      <c r="P8" s="163" t="n">
        <f aca="false">MAX(0,E8+O8-N8)</f>
        <v>5339.94</v>
      </c>
      <c r="Q8" s="164" t="str">
        <f aca="false">IF(P8&lt;=0.01,"✓ PAID OFF",IF(P8&lt;E8*0.1,"⚡ ALMOST","ACTIVE"))</f>
        <v>ACTIVE</v>
      </c>
      <c r="R8" s="165" t="n">
        <v>0</v>
      </c>
      <c r="T8" s="166" t="n">
        <v>5051.83</v>
      </c>
      <c r="U8" s="166" t="n">
        <v>1309.7</v>
      </c>
      <c r="V8" s="166" t="n">
        <v>0</v>
      </c>
      <c r="W8" s="166" t="n">
        <v>0</v>
      </c>
      <c r="X8" s="166" t="n">
        <v>0</v>
      </c>
      <c r="Y8" s="166" t="n">
        <v>0</v>
      </c>
      <c r="Z8" s="166" t="n">
        <v>0</v>
      </c>
      <c r="AA8" s="166" t="n">
        <v>0</v>
      </c>
      <c r="AB8" s="166" t="n">
        <v>0</v>
      </c>
      <c r="AC8" s="166" t="n">
        <v>0</v>
      </c>
      <c r="AD8" s="166" t="n">
        <v>0</v>
      </c>
      <c r="AE8" s="166" t="n">
        <v>0</v>
      </c>
    </row>
    <row r="9" customFormat="false" ht="27.75" hidden="false" customHeight="true" outlineLevel="0" collapsed="false">
      <c r="A9" s="153" t="n">
        <v>5</v>
      </c>
      <c r="B9" s="154" t="s">
        <v>85</v>
      </c>
      <c r="C9" s="153" t="s">
        <v>371</v>
      </c>
      <c r="D9" s="155" t="n">
        <v>0.2849</v>
      </c>
      <c r="E9" s="156" t="n">
        <v>7294.06</v>
      </c>
      <c r="F9" s="156" t="n">
        <v>205.87</v>
      </c>
      <c r="G9" s="157" t="str">
        <f aca="false">IF(P9&lt;=0.01,"Yes","No")</f>
        <v>No</v>
      </c>
      <c r="H9" s="153" t="s">
        <v>364</v>
      </c>
      <c r="I9" s="153" t="s">
        <v>374</v>
      </c>
      <c r="J9" s="158" t="s">
        <v>375</v>
      </c>
      <c r="K9" s="159" t="s">
        <v>367</v>
      </c>
      <c r="L9" s="160" t="n">
        <f aca="false">P9</f>
        <v>5483.5</v>
      </c>
      <c r="M9" s="160" t="n">
        <f aca="false">IF(P9&lt;=0.01,0,F9)</f>
        <v>205.87</v>
      </c>
      <c r="N9" s="161" t="n">
        <f aca="false">IFERROR(SUMIFS(Payments!$F:$F,Payments!$E:$E,B9,Payments!$D:$D,"Expense"),0)</f>
        <v>1810.56</v>
      </c>
      <c r="O9" s="162" t="n">
        <f aca="true">IFERROR(MAX(0,DATEDIF(DATE(2026,5,1),TODAY(),"M"))*E9*D9/12,0)</f>
        <v>0</v>
      </c>
      <c r="P9" s="163" t="n">
        <f aca="false">MAX(0,E9+O9-N9)</f>
        <v>5483.5</v>
      </c>
      <c r="Q9" s="164" t="str">
        <f aca="false">IF(P9&lt;=0.01,"✓ PAID OFF",IF(P9&lt;E9*0.1,"⚡ ALMOST","ACTIVE"))</f>
        <v>ACTIVE</v>
      </c>
      <c r="R9" s="165" t="n">
        <v>0</v>
      </c>
      <c r="T9" s="166" t="n">
        <v>5407.82</v>
      </c>
      <c r="U9" s="166" t="n">
        <v>5330.34</v>
      </c>
      <c r="V9" s="166" t="n">
        <v>2728.97</v>
      </c>
      <c r="W9" s="166" t="n">
        <v>0</v>
      </c>
      <c r="X9" s="166" t="n">
        <v>0</v>
      </c>
      <c r="Y9" s="166" t="n">
        <v>0</v>
      </c>
      <c r="Z9" s="166" t="n">
        <v>0</v>
      </c>
      <c r="AA9" s="166" t="n">
        <v>0</v>
      </c>
      <c r="AB9" s="166" t="n">
        <v>0</v>
      </c>
      <c r="AC9" s="166" t="n">
        <v>0</v>
      </c>
      <c r="AD9" s="166" t="n">
        <v>0</v>
      </c>
      <c r="AE9" s="166" t="n">
        <v>0</v>
      </c>
    </row>
    <row r="10" customFormat="false" ht="27.75" hidden="false" customHeight="true" outlineLevel="0" collapsed="false">
      <c r="A10" s="153" t="n">
        <v>6</v>
      </c>
      <c r="B10" s="154" t="s">
        <v>91</v>
      </c>
      <c r="C10" s="153" t="s">
        <v>363</v>
      </c>
      <c r="D10" s="155" t="n">
        <v>0.2849</v>
      </c>
      <c r="E10" s="156" t="n">
        <v>2758.32</v>
      </c>
      <c r="F10" s="156" t="n">
        <v>92</v>
      </c>
      <c r="G10" s="157" t="str">
        <f aca="false">IF(P10&lt;=0.01,"Yes","No")</f>
        <v>No</v>
      </c>
      <c r="H10" s="153" t="s">
        <v>364</v>
      </c>
      <c r="I10" s="153" t="s">
        <v>376</v>
      </c>
      <c r="J10" s="158" t="s">
        <v>375</v>
      </c>
      <c r="K10" s="159" t="s">
        <v>367</v>
      </c>
      <c r="L10" s="160" t="n">
        <f aca="false">P10</f>
        <v>2758.32</v>
      </c>
      <c r="M10" s="160" t="n">
        <f aca="false">IF(P10&lt;=0.01,0,F10)</f>
        <v>92</v>
      </c>
      <c r="N10" s="161" t="n">
        <f aca="false">IFERROR(SUMIFS(Payments!$F:$F,Payments!$E:$E,B10,Payments!$D:$D,"Expense"),0)</f>
        <v>0</v>
      </c>
      <c r="O10" s="162" t="n">
        <f aca="true">IFERROR(MAX(0,DATEDIF(DATE(2026,5,1),TODAY(),"M"))*E10*D10/12,0)</f>
        <v>0</v>
      </c>
      <c r="P10" s="163" t="n">
        <f aca="false">MAX(0,E10+O10-N10)</f>
        <v>2758.32</v>
      </c>
      <c r="Q10" s="164" t="str">
        <f aca="false">IF(P10&lt;=0.01,"✓ PAID OFF",IF(P10&lt;E10*0.1,"⚡ ALMOST","ACTIVE"))</f>
        <v>ACTIVE</v>
      </c>
      <c r="R10" s="165" t="n">
        <v>0</v>
      </c>
      <c r="T10" s="166" t="n">
        <v>2731.81</v>
      </c>
      <c r="U10" s="166" t="n">
        <v>2704.66</v>
      </c>
      <c r="V10" s="166" t="n">
        <v>2676.88</v>
      </c>
      <c r="W10" s="166" t="n">
        <v>1373.2</v>
      </c>
      <c r="X10" s="166" t="n">
        <v>0</v>
      </c>
      <c r="Y10" s="166" t="n">
        <v>0</v>
      </c>
      <c r="Z10" s="166" t="n">
        <v>0</v>
      </c>
      <c r="AA10" s="166" t="n">
        <v>0</v>
      </c>
      <c r="AB10" s="166" t="n">
        <v>0</v>
      </c>
      <c r="AC10" s="166" t="n">
        <v>0</v>
      </c>
      <c r="AD10" s="166" t="n">
        <v>0</v>
      </c>
      <c r="AE10" s="166" t="n">
        <v>0</v>
      </c>
    </row>
    <row r="11" customFormat="false" ht="27.75" hidden="false" customHeight="true" outlineLevel="0" collapsed="false">
      <c r="A11" s="153" t="n">
        <v>7</v>
      </c>
      <c r="B11" s="154" t="s">
        <v>63</v>
      </c>
      <c r="C11" s="153" t="s">
        <v>377</v>
      </c>
      <c r="D11" s="155" t="n">
        <v>0.2849</v>
      </c>
      <c r="E11" s="156" t="n">
        <v>1406.09</v>
      </c>
      <c r="F11" s="156" t="n">
        <v>40</v>
      </c>
      <c r="G11" s="157" t="str">
        <f aca="false">IF(P11&lt;=0.01,"Yes","No")</f>
        <v>No</v>
      </c>
      <c r="H11" s="153" t="s">
        <v>364</v>
      </c>
      <c r="I11" s="153" t="s">
        <v>378</v>
      </c>
      <c r="J11" s="158" t="s">
        <v>379</v>
      </c>
      <c r="K11" s="159" t="s">
        <v>367</v>
      </c>
      <c r="L11" s="160" t="n">
        <f aca="false">P11</f>
        <v>1106.09</v>
      </c>
      <c r="M11" s="160" t="n">
        <f aca="false">IF(P11&lt;=0.01,0,F11)</f>
        <v>40</v>
      </c>
      <c r="N11" s="161" t="n">
        <f aca="false">IFERROR(SUMIFS(Payments!$F:$F,Payments!$E:$E,B11,Payments!$D:$D,"Expense"),0)</f>
        <v>300</v>
      </c>
      <c r="O11" s="162" t="n">
        <f aca="true">IFERROR(MAX(0,DATEDIF(DATE(2026,5,1),TODAY(),"M"))*E11*D11/12,0)</f>
        <v>0</v>
      </c>
      <c r="P11" s="163" t="n">
        <f aca="false">MAX(0,E11+O11-N11)</f>
        <v>1106.09</v>
      </c>
      <c r="Q11" s="164" t="str">
        <f aca="false">IF(P11&lt;=0.01,"✓ PAID OFF",IF(P11&lt;E11*0.1,"⚡ ALMOST","ACTIVE"))</f>
        <v>ACTIVE</v>
      </c>
      <c r="R11" s="165" t="n">
        <v>0</v>
      </c>
      <c r="T11" s="166" t="n">
        <v>1092.35</v>
      </c>
      <c r="U11" s="166" t="n">
        <v>1078.28</v>
      </c>
      <c r="V11" s="166" t="n">
        <v>1063.88</v>
      </c>
      <c r="W11" s="166" t="n">
        <v>1049.14</v>
      </c>
      <c r="X11" s="166" t="n">
        <v>0</v>
      </c>
      <c r="Y11" s="166" t="n">
        <v>0</v>
      </c>
      <c r="Z11" s="166" t="n">
        <v>0</v>
      </c>
      <c r="AA11" s="166" t="n">
        <v>0</v>
      </c>
      <c r="AB11" s="166" t="n">
        <v>0</v>
      </c>
      <c r="AC11" s="166" t="n">
        <v>0</v>
      </c>
      <c r="AD11" s="166" t="n">
        <v>0</v>
      </c>
      <c r="AE11" s="166" t="n">
        <v>0</v>
      </c>
    </row>
    <row r="12" customFormat="false" ht="27.75" hidden="false" customHeight="true" outlineLevel="0" collapsed="false">
      <c r="A12" s="153" t="n">
        <v>8</v>
      </c>
      <c r="B12" s="154" t="s">
        <v>64</v>
      </c>
      <c r="C12" s="153" t="s">
        <v>380</v>
      </c>
      <c r="D12" s="155" t="n">
        <v>0.2832</v>
      </c>
      <c r="E12" s="156" t="n">
        <v>3020.12</v>
      </c>
      <c r="F12" s="156" t="n">
        <v>151.01</v>
      </c>
      <c r="G12" s="157" t="str">
        <f aca="false">IF(P12&lt;=0.01,"Yes","No")</f>
        <v>No</v>
      </c>
      <c r="H12" s="153" t="s">
        <v>381</v>
      </c>
      <c r="I12" s="153" t="s">
        <v>320</v>
      </c>
      <c r="J12" s="158" t="s">
        <v>382</v>
      </c>
      <c r="K12" s="168" t="s">
        <v>383</v>
      </c>
      <c r="L12" s="160" t="n">
        <f aca="false">P12</f>
        <v>2869.11</v>
      </c>
      <c r="M12" s="160" t="n">
        <f aca="false">IF(P12&lt;=0.01,0,F12)</f>
        <v>151.01</v>
      </c>
      <c r="N12" s="161" t="n">
        <f aca="false">IFERROR(SUMIFS(Payments!$F:$F,Payments!$E:$E,B12,Payments!$D:$D,"Expense"),0)</f>
        <v>151.01</v>
      </c>
      <c r="O12" s="162" t="n">
        <f aca="true">IFERROR(MAX(0,DATEDIF(DATE(2026,5,1),TODAY(),"M"))*E12*D12/12,0)</f>
        <v>0</v>
      </c>
      <c r="P12" s="163" t="n">
        <f aca="false">MAX(0,E12+O12-N12)</f>
        <v>2869.11</v>
      </c>
      <c r="Q12" s="164" t="str">
        <f aca="false">IF(P12&lt;=0.01,"✓ PAID OFF",IF(P12&lt;E12*0.1,"⚡ ALMOST","ACTIVE"))</f>
        <v>ACTIVE</v>
      </c>
      <c r="R12" s="165" t="n">
        <v>0</v>
      </c>
      <c r="T12" s="166" t="n">
        <v>2785.81</v>
      </c>
      <c r="U12" s="166" t="n">
        <v>2700.55</v>
      </c>
      <c r="V12" s="166" t="n">
        <v>2613.27</v>
      </c>
      <c r="W12" s="166" t="n">
        <v>2523.93</v>
      </c>
      <c r="X12" s="166" t="n">
        <v>657.36</v>
      </c>
      <c r="Y12" s="166" t="n">
        <v>0</v>
      </c>
      <c r="Z12" s="166" t="n">
        <v>0</v>
      </c>
      <c r="AA12" s="166" t="n">
        <v>0</v>
      </c>
      <c r="AB12" s="166" t="n">
        <v>0</v>
      </c>
      <c r="AC12" s="166" t="n">
        <v>0</v>
      </c>
      <c r="AD12" s="166" t="n">
        <v>0</v>
      </c>
      <c r="AE12" s="166" t="n">
        <v>0</v>
      </c>
    </row>
    <row r="13" customFormat="false" ht="27.75" hidden="false" customHeight="true" outlineLevel="0" collapsed="false">
      <c r="A13" s="153" t="n">
        <v>9</v>
      </c>
      <c r="B13" s="154" t="s">
        <v>81</v>
      </c>
      <c r="C13" s="153" t="s">
        <v>380</v>
      </c>
      <c r="D13" s="155" t="n">
        <v>0.2817</v>
      </c>
      <c r="E13" s="156" t="n">
        <v>1160.62</v>
      </c>
      <c r="F13" s="156" t="n">
        <v>72.54</v>
      </c>
      <c r="G13" s="157" t="str">
        <f aca="false">IF(P13&lt;=0.01,"Yes","No")</f>
        <v>No</v>
      </c>
      <c r="H13" s="153" t="s">
        <v>381</v>
      </c>
      <c r="I13" s="153" t="s">
        <v>320</v>
      </c>
      <c r="J13" s="158" t="s">
        <v>384</v>
      </c>
      <c r="K13" s="168" t="s">
        <v>383</v>
      </c>
      <c r="L13" s="160" t="n">
        <f aca="false">P13</f>
        <v>1088.08</v>
      </c>
      <c r="M13" s="160" t="n">
        <f aca="false">IF(P13&lt;=0.01,0,F13)</f>
        <v>72.54</v>
      </c>
      <c r="N13" s="161" t="n">
        <f aca="false">IFERROR(SUMIFS(Payments!$F:$F,Payments!$E:$E,B13,Payments!$D:$D,"Expense"),0)</f>
        <v>72.54</v>
      </c>
      <c r="O13" s="162" t="n">
        <f aca="true">IFERROR(MAX(0,DATEDIF(DATE(2026,5,1),TODAY(),"M"))*E13*D13/12,0)</f>
        <v>0</v>
      </c>
      <c r="P13" s="163" t="n">
        <f aca="false">MAX(0,E13+O13-N13)</f>
        <v>1088.08</v>
      </c>
      <c r="Q13" s="164" t="str">
        <f aca="false">IF(P13&lt;=0.01,"✓ PAID OFF",IF(P13&lt;E13*0.1,"⚡ ALMOST","ACTIVE"))</f>
        <v>ACTIVE</v>
      </c>
      <c r="R13" s="165" t="n">
        <v>0</v>
      </c>
      <c r="T13" s="166" t="n">
        <v>1041.08</v>
      </c>
      <c r="U13" s="166" t="n">
        <v>992.98</v>
      </c>
      <c r="V13" s="166" t="n">
        <v>943.75</v>
      </c>
      <c r="W13" s="166" t="n">
        <v>893.37</v>
      </c>
      <c r="X13" s="166" t="n">
        <v>841.8</v>
      </c>
      <c r="Y13" s="166" t="n">
        <v>0</v>
      </c>
      <c r="Z13" s="166" t="n">
        <v>0</v>
      </c>
      <c r="AA13" s="166" t="n">
        <v>0</v>
      </c>
      <c r="AB13" s="166" t="n">
        <v>0</v>
      </c>
      <c r="AC13" s="166" t="n">
        <v>0</v>
      </c>
      <c r="AD13" s="166" t="n">
        <v>0</v>
      </c>
      <c r="AE13" s="166" t="n">
        <v>0</v>
      </c>
    </row>
    <row r="14" customFormat="false" ht="27.75" hidden="false" customHeight="true" outlineLevel="0" collapsed="false">
      <c r="A14" s="153" t="n">
        <v>10</v>
      </c>
      <c r="B14" s="154" t="s">
        <v>65</v>
      </c>
      <c r="C14" s="153" t="s">
        <v>371</v>
      </c>
      <c r="D14" s="155" t="n">
        <v>0.2824</v>
      </c>
      <c r="E14" s="156" t="n">
        <v>1169.64</v>
      </c>
      <c r="F14" s="156" t="n">
        <v>38</v>
      </c>
      <c r="G14" s="157" t="str">
        <f aca="false">IF(P14&lt;=0.01,"Yes","No")</f>
        <v>No</v>
      </c>
      <c r="H14" s="153" t="s">
        <v>364</v>
      </c>
      <c r="I14" s="153" t="s">
        <v>385</v>
      </c>
      <c r="J14" s="158" t="s">
        <v>375</v>
      </c>
      <c r="K14" s="159" t="s">
        <v>367</v>
      </c>
      <c r="L14" s="160" t="n">
        <f aca="false">P14</f>
        <v>1135.64</v>
      </c>
      <c r="M14" s="160" t="n">
        <f aca="false">IF(P14&lt;=0.01,0,F14)</f>
        <v>38</v>
      </c>
      <c r="N14" s="161" t="n">
        <f aca="false">IFERROR(SUMIFS(Payments!$F:$F,Payments!$E:$E,B14,Payments!$D:$D,"Expense"),0)</f>
        <v>34</v>
      </c>
      <c r="O14" s="162" t="n">
        <f aca="true">IFERROR(MAX(0,DATEDIF(DATE(2026,5,1),TODAY(),"M"))*E14*D14/12,0)</f>
        <v>0</v>
      </c>
      <c r="P14" s="163" t="n">
        <f aca="false">MAX(0,E14+O14-N14)</f>
        <v>1135.64</v>
      </c>
      <c r="Q14" s="164" t="str">
        <f aca="false">IF(P14&lt;=0.01,"✓ PAID OFF",IF(P14&lt;E14*0.1,"⚡ ALMOST","ACTIVE"))</f>
        <v>ACTIVE</v>
      </c>
      <c r="R14" s="165" t="n">
        <v>0</v>
      </c>
      <c r="T14" s="166" t="n">
        <v>1124.37</v>
      </c>
      <c r="U14" s="166" t="n">
        <v>1112.83</v>
      </c>
      <c r="V14" s="166" t="n">
        <v>1101.01</v>
      </c>
      <c r="W14" s="166" t="n">
        <v>1088.92</v>
      </c>
      <c r="X14" s="166" t="n">
        <v>1076.55</v>
      </c>
      <c r="Y14" s="166" t="n">
        <v>0</v>
      </c>
      <c r="Z14" s="166" t="n">
        <v>0</v>
      </c>
      <c r="AA14" s="166" t="n">
        <v>0</v>
      </c>
      <c r="AB14" s="166" t="n">
        <v>0</v>
      </c>
      <c r="AC14" s="166" t="n">
        <v>0</v>
      </c>
      <c r="AD14" s="166" t="n">
        <v>0</v>
      </c>
      <c r="AE14" s="166" t="n">
        <v>0</v>
      </c>
    </row>
    <row r="15" customFormat="false" ht="27.75" hidden="false" customHeight="true" outlineLevel="0" collapsed="false">
      <c r="A15" s="153" t="n">
        <v>11</v>
      </c>
      <c r="B15" s="154" t="s">
        <v>87</v>
      </c>
      <c r="C15" s="153" t="s">
        <v>371</v>
      </c>
      <c r="D15" s="155" t="n">
        <v>0.2799</v>
      </c>
      <c r="E15" s="156" t="n">
        <v>2758</v>
      </c>
      <c r="F15" s="156" t="n">
        <v>80</v>
      </c>
      <c r="G15" s="157" t="str">
        <f aca="false">IF(P15&lt;=0.01,"Yes","No")</f>
        <v>No</v>
      </c>
      <c r="H15" s="153" t="s">
        <v>386</v>
      </c>
      <c r="I15" s="153" t="s">
        <v>387</v>
      </c>
      <c r="J15" s="158" t="s">
        <v>388</v>
      </c>
      <c r="K15" s="168" t="s">
        <v>389</v>
      </c>
      <c r="L15" s="160" t="n">
        <f aca="false">P15</f>
        <v>2349</v>
      </c>
      <c r="M15" s="160" t="n">
        <f aca="false">IF(P15&lt;=0.01,0,F15)</f>
        <v>80</v>
      </c>
      <c r="N15" s="161" t="n">
        <f aca="false">IFERROR(SUMIFS(Payments!$F:$F,Payments!$E:$E,B15,Payments!$D:$D,"Expense"),0)</f>
        <v>409</v>
      </c>
      <c r="O15" s="162" t="n">
        <f aca="true">IFERROR(MAX(0,DATEDIF(DATE(2026,5,1),TODAY(),"M"))*E15*D15/12,0)</f>
        <v>0</v>
      </c>
      <c r="P15" s="163" t="n">
        <f aca="false">MAX(0,E15+O15-N15)</f>
        <v>2349</v>
      </c>
      <c r="Q15" s="164" t="str">
        <f aca="false">IF(P15&lt;=0.01,"✓ PAID OFF",IF(P15&lt;E15*0.1,"⚡ ALMOST","ACTIVE"))</f>
        <v>ACTIVE</v>
      </c>
      <c r="R15" s="165" t="n">
        <v>0</v>
      </c>
      <c r="T15" s="166" t="n">
        <v>2323.79</v>
      </c>
      <c r="U15" s="166" t="n">
        <v>2297.99</v>
      </c>
      <c r="V15" s="166" t="n">
        <v>2271.59</v>
      </c>
      <c r="W15" s="166" t="n">
        <v>2244.58</v>
      </c>
      <c r="X15" s="166" t="n">
        <v>2216.93</v>
      </c>
      <c r="Y15" s="166" t="n">
        <v>308.43</v>
      </c>
      <c r="Z15" s="166" t="n">
        <v>0</v>
      </c>
      <c r="AA15" s="166" t="n">
        <v>0</v>
      </c>
      <c r="AB15" s="166" t="n">
        <v>0</v>
      </c>
      <c r="AC15" s="166" t="n">
        <v>0</v>
      </c>
      <c r="AD15" s="166" t="n">
        <v>0</v>
      </c>
      <c r="AE15" s="166" t="n">
        <v>0</v>
      </c>
    </row>
    <row r="16" customFormat="false" ht="27.75" hidden="false" customHeight="true" outlineLevel="0" collapsed="false">
      <c r="A16" s="153" t="n">
        <v>12</v>
      </c>
      <c r="B16" s="154" t="s">
        <v>93</v>
      </c>
      <c r="C16" s="153" t="s">
        <v>371</v>
      </c>
      <c r="D16" s="155" t="n">
        <v>0.2799</v>
      </c>
      <c r="E16" s="156" t="n">
        <v>300</v>
      </c>
      <c r="F16" s="156" t="n">
        <v>8.25</v>
      </c>
      <c r="G16" s="157" t="str">
        <f aca="false">IF(P16&lt;=0.01,"Yes","No")</f>
        <v>No</v>
      </c>
      <c r="H16" s="153" t="s">
        <v>369</v>
      </c>
      <c r="I16" s="153" t="s">
        <v>320</v>
      </c>
      <c r="J16" s="158" t="s">
        <v>390</v>
      </c>
      <c r="K16" s="167" t="s">
        <v>369</v>
      </c>
      <c r="L16" s="160" t="n">
        <f aca="false">P16</f>
        <v>291.75</v>
      </c>
      <c r="M16" s="160" t="n">
        <f aca="false">IF(P16&lt;=0.01,0,F16)</f>
        <v>8.25</v>
      </c>
      <c r="N16" s="161" t="n">
        <f aca="false">IFERROR(SUMIFS(Payments!$F:$F,Payments!$E:$E,B16,Payments!$D:$D,"Expense"),0)</f>
        <v>8.25</v>
      </c>
      <c r="O16" s="162" t="n">
        <f aca="true">IFERROR(MAX(0,DATEDIF(DATE(2026,5,1),TODAY(),"M"))*E16*D16/12,0)</f>
        <v>0</v>
      </c>
      <c r="P16" s="163" t="n">
        <f aca="false">MAX(0,E16+O16-N16)</f>
        <v>291.75</v>
      </c>
      <c r="Q16" s="164" t="str">
        <f aca="false">IF(P16&lt;=0.01,"✓ PAID OFF",IF(P16&lt;E16*0.1,"⚡ ALMOST","ACTIVE"))</f>
        <v>ACTIVE</v>
      </c>
      <c r="R16" s="165" t="n">
        <v>0</v>
      </c>
      <c r="T16" s="166" t="n">
        <v>290.31</v>
      </c>
      <c r="U16" s="166" t="n">
        <v>288.83</v>
      </c>
      <c r="V16" s="166" t="n">
        <v>287.31</v>
      </c>
      <c r="W16" s="166" t="n">
        <v>285.76</v>
      </c>
      <c r="X16" s="166" t="n">
        <v>284.18</v>
      </c>
      <c r="Y16" s="166" t="n">
        <v>282.56</v>
      </c>
      <c r="Z16" s="166" t="n">
        <v>0</v>
      </c>
      <c r="AA16" s="166" t="n">
        <v>0</v>
      </c>
      <c r="AB16" s="166" t="n">
        <v>0</v>
      </c>
      <c r="AC16" s="166" t="n">
        <v>0</v>
      </c>
      <c r="AD16" s="166" t="n">
        <v>0</v>
      </c>
      <c r="AE16" s="166" t="n">
        <v>0</v>
      </c>
    </row>
    <row r="17" customFormat="false" ht="27.75" hidden="false" customHeight="true" outlineLevel="0" collapsed="false">
      <c r="A17" s="153" t="n">
        <v>13</v>
      </c>
      <c r="B17" s="154" t="s">
        <v>103</v>
      </c>
      <c r="C17" s="153" t="s">
        <v>371</v>
      </c>
      <c r="D17" s="155" t="n">
        <v>0.2749</v>
      </c>
      <c r="E17" s="156" t="n">
        <v>1570.31</v>
      </c>
      <c r="F17" s="156" t="n">
        <v>44</v>
      </c>
      <c r="G17" s="157" t="str">
        <f aca="false">IF(P17&lt;=0.01,"Yes","No")</f>
        <v>No</v>
      </c>
      <c r="H17" s="153" t="s">
        <v>364</v>
      </c>
      <c r="I17" s="153" t="s">
        <v>365</v>
      </c>
      <c r="J17" s="158" t="s">
        <v>391</v>
      </c>
      <c r="K17" s="159" t="s">
        <v>367</v>
      </c>
      <c r="L17" s="160" t="n">
        <f aca="false">P17</f>
        <v>1254.15</v>
      </c>
      <c r="M17" s="160" t="n">
        <f aca="false">IF(P17&lt;=0.01,0,F17)</f>
        <v>44</v>
      </c>
      <c r="N17" s="161" t="n">
        <f aca="false">IFERROR(SUMIFS(Payments!$F:$F,Payments!$E:$E,B17,Payments!$D:$D,"Expense"),0)</f>
        <v>316.16</v>
      </c>
      <c r="O17" s="162" t="n">
        <f aca="true">IFERROR(MAX(0,DATEDIF(DATE(2026,5,1),TODAY(),"M"))*E17*D17/12,0)</f>
        <v>0</v>
      </c>
      <c r="P17" s="163" t="n">
        <f aca="false">MAX(0,E17+O17-N17)</f>
        <v>1254.15</v>
      </c>
      <c r="Q17" s="164" t="str">
        <f aca="false">IF(P17&lt;=0.01,"✓ PAID OFF",IF(P17&lt;E17*0.1,"⚡ ALMOST","ACTIVE"))</f>
        <v>ACTIVE</v>
      </c>
      <c r="R17" s="165" t="n">
        <v>0</v>
      </c>
      <c r="T17" s="166" t="n">
        <v>1238.88</v>
      </c>
      <c r="U17" s="166" t="n">
        <v>1223.26</v>
      </c>
      <c r="V17" s="166" t="n">
        <v>1207.28</v>
      </c>
      <c r="W17" s="166" t="n">
        <v>1190.94</v>
      </c>
      <c r="X17" s="166" t="n">
        <v>1174.22</v>
      </c>
      <c r="Y17" s="166" t="n">
        <v>1157.12</v>
      </c>
      <c r="Z17" s="166" t="n">
        <v>0</v>
      </c>
      <c r="AA17" s="166" t="n">
        <v>0</v>
      </c>
      <c r="AB17" s="166" t="n">
        <v>0</v>
      </c>
      <c r="AC17" s="166" t="n">
        <v>0</v>
      </c>
      <c r="AD17" s="166" t="n">
        <v>0</v>
      </c>
      <c r="AE17" s="166" t="n">
        <v>0</v>
      </c>
    </row>
    <row r="18" customFormat="false" ht="27.75" hidden="false" customHeight="true" outlineLevel="0" collapsed="false">
      <c r="A18" s="153" t="n">
        <v>14</v>
      </c>
      <c r="B18" s="154" t="s">
        <v>98</v>
      </c>
      <c r="C18" s="153" t="s">
        <v>371</v>
      </c>
      <c r="D18" s="155" t="n">
        <v>0.2749</v>
      </c>
      <c r="E18" s="156" t="n">
        <v>3116.13</v>
      </c>
      <c r="F18" s="156" t="n">
        <v>99</v>
      </c>
      <c r="G18" s="157" t="str">
        <f aca="false">IF(P18&lt;=0.01,"Yes","No")</f>
        <v>No</v>
      </c>
      <c r="H18" s="153" t="s">
        <v>364</v>
      </c>
      <c r="I18" s="153" t="s">
        <v>365</v>
      </c>
      <c r="J18" s="158" t="s">
        <v>392</v>
      </c>
      <c r="K18" s="159" t="s">
        <v>367</v>
      </c>
      <c r="L18" s="160" t="n">
        <f aca="false">P18</f>
        <v>3116.13</v>
      </c>
      <c r="M18" s="160" t="n">
        <f aca="false">IF(P18&lt;=0.01,0,F18)</f>
        <v>99</v>
      </c>
      <c r="N18" s="161" t="n">
        <f aca="false">IFERROR(SUMIFS(Payments!$F:$F,Payments!$E:$E,B18,Payments!$D:$D,"Expense"),0)</f>
        <v>0</v>
      </c>
      <c r="O18" s="162" t="n">
        <f aca="true">IFERROR(MAX(0,DATEDIF(DATE(2026,5,1),TODAY(),"M"))*E18*D18/12,0)</f>
        <v>0</v>
      </c>
      <c r="P18" s="163" t="n">
        <f aca="false">MAX(0,E18+O18-N18)</f>
        <v>3116.13</v>
      </c>
      <c r="Q18" s="164" t="str">
        <f aca="false">IF(P18&lt;=0.01,"✓ PAID OFF",IF(P18&lt;E18*0.1,"⚡ ALMOST","ACTIVE"))</f>
        <v>ACTIVE</v>
      </c>
      <c r="R18" s="165" t="n">
        <v>0</v>
      </c>
      <c r="T18" s="166" t="n">
        <v>3088.52</v>
      </c>
      <c r="U18" s="166" t="n">
        <v>3060.27</v>
      </c>
      <c r="V18" s="166" t="n">
        <v>3031.37</v>
      </c>
      <c r="W18" s="166" t="n">
        <v>3001.82</v>
      </c>
      <c r="X18" s="166" t="n">
        <v>2971.58</v>
      </c>
      <c r="Y18" s="166" t="n">
        <v>2940.66</v>
      </c>
      <c r="Z18" s="166" t="n">
        <v>29.54</v>
      </c>
      <c r="AA18" s="166" t="n">
        <v>0</v>
      </c>
      <c r="AB18" s="166" t="n">
        <v>0</v>
      </c>
      <c r="AC18" s="166" t="n">
        <v>0</v>
      </c>
      <c r="AD18" s="166" t="n">
        <v>0</v>
      </c>
      <c r="AE18" s="166" t="n">
        <v>0</v>
      </c>
    </row>
    <row r="19" customFormat="false" ht="27.75" hidden="false" customHeight="true" outlineLevel="0" collapsed="false">
      <c r="A19" s="153" t="n">
        <v>15</v>
      </c>
      <c r="B19" s="154" t="s">
        <v>50</v>
      </c>
      <c r="C19" s="153" t="s">
        <v>380</v>
      </c>
      <c r="D19" s="155" t="n">
        <v>0.2697</v>
      </c>
      <c r="E19" s="156" t="n">
        <v>114.71</v>
      </c>
      <c r="F19" s="156" t="n">
        <v>19.11</v>
      </c>
      <c r="G19" s="157" t="str">
        <f aca="false">IF(P19&lt;=0.01,"Yes","No")</f>
        <v>No</v>
      </c>
      <c r="H19" s="153" t="s">
        <v>381</v>
      </c>
      <c r="I19" s="153" t="s">
        <v>320</v>
      </c>
      <c r="J19" s="158" t="s">
        <v>393</v>
      </c>
      <c r="K19" s="168" t="s">
        <v>383</v>
      </c>
      <c r="L19" s="160" t="n">
        <f aca="false">P19</f>
        <v>114.71</v>
      </c>
      <c r="M19" s="160" t="n">
        <f aca="false">IF(P19&lt;=0.01,0,F19)</f>
        <v>19.11</v>
      </c>
      <c r="N19" s="161" t="n">
        <f aca="false">IFERROR(SUMIFS(Payments!$F:$F,Payments!$E:$E,B19,Payments!$D:$D,"Expense"),0)</f>
        <v>0</v>
      </c>
      <c r="O19" s="162" t="n">
        <f aca="true">IFERROR(MAX(0,DATEDIF(DATE(2026,5,1),TODAY(),"M"))*E19*D19/12,0)</f>
        <v>0</v>
      </c>
      <c r="P19" s="163" t="n">
        <f aca="false">MAX(0,E19+O19-N19)</f>
        <v>114.71</v>
      </c>
      <c r="Q19" s="164" t="str">
        <f aca="false">IF(P19&lt;=0.01,"✓ PAID OFF",IF(P19&lt;E19*0.1,"⚡ ALMOST","ACTIVE"))</f>
        <v>ACTIVE</v>
      </c>
      <c r="R19" s="165" t="n">
        <v>0</v>
      </c>
      <c r="T19" s="166" t="n">
        <v>98.18</v>
      </c>
      <c r="U19" s="166" t="n">
        <v>81.27</v>
      </c>
      <c r="V19" s="166" t="n">
        <v>63.99</v>
      </c>
      <c r="W19" s="166" t="n">
        <v>46.32</v>
      </c>
      <c r="X19" s="166" t="n">
        <v>28.25</v>
      </c>
      <c r="Y19" s="166" t="n">
        <v>9.78</v>
      </c>
      <c r="Z19" s="166" t="n">
        <v>0</v>
      </c>
      <c r="AA19" s="166" t="n">
        <v>0</v>
      </c>
      <c r="AB19" s="166" t="n">
        <v>0</v>
      </c>
      <c r="AC19" s="166" t="n">
        <v>0</v>
      </c>
      <c r="AD19" s="166" t="n">
        <v>0</v>
      </c>
      <c r="AE19" s="166" t="n">
        <v>0</v>
      </c>
    </row>
    <row r="20" customFormat="false" ht="27.75" hidden="false" customHeight="true" outlineLevel="0" collapsed="false">
      <c r="A20" s="153" t="n">
        <v>16</v>
      </c>
      <c r="B20" s="154" t="s">
        <v>108</v>
      </c>
      <c r="C20" s="153" t="s">
        <v>371</v>
      </c>
      <c r="D20" s="155" t="n">
        <v>0.2649</v>
      </c>
      <c r="E20" s="156" t="n">
        <v>1015.61</v>
      </c>
      <c r="F20" s="156" t="n">
        <v>40</v>
      </c>
      <c r="G20" s="157" t="str">
        <f aca="false">IF(P20&lt;=0.01,"Yes","No")</f>
        <v>No</v>
      </c>
      <c r="H20" s="153" t="s">
        <v>364</v>
      </c>
      <c r="I20" s="153" t="s">
        <v>394</v>
      </c>
      <c r="J20" s="158" t="s">
        <v>395</v>
      </c>
      <c r="K20" s="159" t="s">
        <v>367</v>
      </c>
      <c r="L20" s="160" t="n">
        <f aca="false">P20</f>
        <v>1015.61</v>
      </c>
      <c r="M20" s="160" t="n">
        <f aca="false">IF(P20&lt;=0.01,0,F20)</f>
        <v>40</v>
      </c>
      <c r="N20" s="161" t="n">
        <f aca="false">IFERROR(SUMIFS(Payments!$F:$F,Payments!$E:$E,B20,Payments!$D:$D,"Expense"),0)</f>
        <v>0</v>
      </c>
      <c r="O20" s="162" t="n">
        <f aca="true">IFERROR(MAX(0,DATEDIF(DATE(2026,5,1),TODAY(),"M"))*E20*D20/12,0)</f>
        <v>0</v>
      </c>
      <c r="P20" s="163" t="n">
        <f aca="false">MAX(0,E20+O20-N20)</f>
        <v>1015.61</v>
      </c>
      <c r="Q20" s="164" t="str">
        <f aca="false">IF(P20&lt;=0.01,"✓ PAID OFF",IF(P20&lt;E20*0.1,"⚡ ALMOST","ACTIVE"))</f>
        <v>ACTIVE</v>
      </c>
      <c r="R20" s="165" t="n">
        <v>0</v>
      </c>
      <c r="T20" s="166" t="n">
        <v>998.03</v>
      </c>
      <c r="U20" s="166" t="n">
        <v>980.06</v>
      </c>
      <c r="V20" s="166" t="n">
        <v>961.7</v>
      </c>
      <c r="W20" s="166" t="n">
        <v>942.93</v>
      </c>
      <c r="X20" s="166" t="n">
        <v>923.74</v>
      </c>
      <c r="Y20" s="166" t="n">
        <v>904.13</v>
      </c>
      <c r="Z20" s="166" t="n">
        <v>884.09</v>
      </c>
      <c r="AA20" s="166" t="n">
        <v>0</v>
      </c>
      <c r="AB20" s="166" t="n">
        <v>0</v>
      </c>
      <c r="AC20" s="166" t="n">
        <v>0</v>
      </c>
      <c r="AD20" s="166" t="n">
        <v>0</v>
      </c>
      <c r="AE20" s="166" t="n">
        <v>0</v>
      </c>
    </row>
    <row r="21" customFormat="false" ht="27.75" hidden="false" customHeight="true" outlineLevel="0" collapsed="false">
      <c r="A21" s="153" t="n">
        <v>17</v>
      </c>
      <c r="B21" s="154" t="s">
        <v>89</v>
      </c>
      <c r="C21" s="153" t="s">
        <v>371</v>
      </c>
      <c r="D21" s="155" t="n">
        <v>0.2649</v>
      </c>
      <c r="E21" s="156" t="n">
        <v>654.42</v>
      </c>
      <c r="F21" s="156" t="n">
        <v>53.99</v>
      </c>
      <c r="G21" s="157" t="str">
        <f aca="false">IF(P21&lt;=0.01,"Yes","No")</f>
        <v>No</v>
      </c>
      <c r="H21" s="153" t="s">
        <v>364</v>
      </c>
      <c r="I21" s="153" t="s">
        <v>396</v>
      </c>
      <c r="J21" s="158" t="s">
        <v>397</v>
      </c>
      <c r="K21" s="159" t="s">
        <v>367</v>
      </c>
      <c r="L21" s="160" t="n">
        <f aca="false">P21</f>
        <v>220.11</v>
      </c>
      <c r="M21" s="160" t="n">
        <f aca="false">IF(P21&lt;=0.01,0,F21)</f>
        <v>53.99</v>
      </c>
      <c r="N21" s="161" t="n">
        <f aca="false">IFERROR(SUMIFS(Payments!$F:$F,Payments!$E:$E,B21,Payments!$D:$D,"Expense"),0)</f>
        <v>434.31</v>
      </c>
      <c r="O21" s="162" t="n">
        <f aca="true">IFERROR(MAX(0,DATEDIF(DATE(2026,5,1),TODAY(),"M"))*E21*D21/12,0)</f>
        <v>0</v>
      </c>
      <c r="P21" s="163" t="n">
        <f aca="false">MAX(0,E21+O21-N21)</f>
        <v>220.11</v>
      </c>
      <c r="Q21" s="164" t="str">
        <f aca="false">IF(P21&lt;=0.01,"✓ PAID OFF",IF(P21&lt;E21*0.1,"⚡ ALMOST","ACTIVE"))</f>
        <v>ACTIVE</v>
      </c>
      <c r="R21" s="165" t="n">
        <v>0</v>
      </c>
      <c r="T21" s="166" t="n">
        <v>170.98</v>
      </c>
      <c r="U21" s="166" t="n">
        <v>120.76</v>
      </c>
      <c r="V21" s="166" t="n">
        <v>69.44</v>
      </c>
      <c r="W21" s="166" t="n">
        <v>16.98</v>
      </c>
      <c r="X21" s="166" t="n">
        <v>0</v>
      </c>
      <c r="Y21" s="166" t="n">
        <v>0</v>
      </c>
      <c r="Z21" s="166" t="n">
        <v>0</v>
      </c>
      <c r="AA21" s="166" t="n">
        <v>0</v>
      </c>
      <c r="AB21" s="166" t="n">
        <v>0</v>
      </c>
      <c r="AC21" s="166" t="n">
        <v>0</v>
      </c>
      <c r="AD21" s="166" t="n">
        <v>0</v>
      </c>
      <c r="AE21" s="166" t="n">
        <v>0</v>
      </c>
    </row>
    <row r="22" customFormat="false" ht="27.75" hidden="false" customHeight="true" outlineLevel="0" collapsed="false">
      <c r="A22" s="153" t="n">
        <v>18</v>
      </c>
      <c r="B22" s="154" t="s">
        <v>110</v>
      </c>
      <c r="C22" s="153" t="s">
        <v>371</v>
      </c>
      <c r="D22" s="155" t="n">
        <v>0.2549</v>
      </c>
      <c r="E22" s="156" t="n">
        <v>7477.57</v>
      </c>
      <c r="F22" s="156" t="n">
        <v>265.5</v>
      </c>
      <c r="G22" s="157" t="str">
        <f aca="false">IF(P22&lt;=0.01,"Yes","No")</f>
        <v>No</v>
      </c>
      <c r="H22" s="153" t="s">
        <v>364</v>
      </c>
      <c r="I22" s="153" t="s">
        <v>398</v>
      </c>
      <c r="J22" s="158" t="s">
        <v>399</v>
      </c>
      <c r="K22" s="159" t="s">
        <v>367</v>
      </c>
      <c r="L22" s="160" t="n">
        <f aca="false">P22</f>
        <v>7250.07</v>
      </c>
      <c r="M22" s="160" t="n">
        <f aca="false">IF(P22&lt;=0.01,0,F22)</f>
        <v>265.5</v>
      </c>
      <c r="N22" s="161" t="n">
        <f aca="false">IFERROR(SUMIFS(Payments!$F:$F,Payments!$E:$E,B22,Payments!$D:$D,"Expense"),0)</f>
        <v>227.5</v>
      </c>
      <c r="O22" s="162" t="n">
        <f aca="true">IFERROR(MAX(0,DATEDIF(DATE(2026,5,1),TODAY(),"M"))*E22*D22/12,0)</f>
        <v>0</v>
      </c>
      <c r="P22" s="163" t="n">
        <f aca="false">MAX(0,E22+O22-N22)</f>
        <v>7250.07</v>
      </c>
      <c r="Q22" s="164" t="str">
        <f aca="false">IF(P22&lt;=0.01,"✓ PAID OFF",IF(P22&lt;E22*0.1,"⚡ ALMOST","ACTIVE"))</f>
        <v>ACTIVE</v>
      </c>
      <c r="R22" s="165" t="n">
        <v>0</v>
      </c>
      <c r="T22" s="166" t="n">
        <v>7138.57</v>
      </c>
      <c r="U22" s="166" t="n">
        <v>7024.71</v>
      </c>
      <c r="V22" s="166" t="n">
        <v>6908.43</v>
      </c>
      <c r="W22" s="166" t="n">
        <v>6789.67</v>
      </c>
      <c r="X22" s="166" t="n">
        <v>6668.4</v>
      </c>
      <c r="Y22" s="166" t="n">
        <v>6544.54</v>
      </c>
      <c r="Z22" s="166" t="n">
        <v>6418.06</v>
      </c>
      <c r="AA22" s="166" t="n">
        <v>2385.61</v>
      </c>
      <c r="AB22" s="166" t="n">
        <v>0</v>
      </c>
      <c r="AC22" s="166" t="n">
        <v>0</v>
      </c>
      <c r="AD22" s="166" t="n">
        <v>0</v>
      </c>
      <c r="AE22" s="166" t="n">
        <v>0</v>
      </c>
    </row>
    <row r="23" customFormat="false" ht="27.75" hidden="false" customHeight="true" outlineLevel="0" collapsed="false">
      <c r="A23" s="153" t="n">
        <v>19</v>
      </c>
      <c r="B23" s="154" t="s">
        <v>112</v>
      </c>
      <c r="C23" s="153" t="s">
        <v>400</v>
      </c>
      <c r="D23" s="155" t="n">
        <v>0.18</v>
      </c>
      <c r="E23" s="156" t="n">
        <v>32000</v>
      </c>
      <c r="F23" s="156" t="n">
        <v>1309.17</v>
      </c>
      <c r="G23" s="157" t="str">
        <f aca="false">IF(P23&lt;=0.01,"Yes","No")</f>
        <v>No</v>
      </c>
      <c r="H23" s="153" t="s">
        <v>401</v>
      </c>
      <c r="I23" s="153" t="s">
        <v>320</v>
      </c>
      <c r="J23" s="158" t="s">
        <v>402</v>
      </c>
      <c r="K23" s="167" t="s">
        <v>369</v>
      </c>
      <c r="L23" s="160" t="n">
        <f aca="false">P23</f>
        <v>30690.83</v>
      </c>
      <c r="M23" s="160" t="n">
        <f aca="false">IF(P23&lt;=0.01,0,F23)</f>
        <v>1309.17</v>
      </c>
      <c r="N23" s="161" t="n">
        <f aca="false">IFERROR(SUMIFS(Payments!$F:$F,Payments!$E:$E,B23,Payments!$D:$D,"Expense"),0)</f>
        <v>1309.17</v>
      </c>
      <c r="O23" s="162" t="n">
        <f aca="true">IFERROR(MAX(0,DATEDIF(DATE(2026,5,1),TODAY(),"M"))*E23*D23/12,0)</f>
        <v>0</v>
      </c>
      <c r="P23" s="163" t="n">
        <f aca="false">MAX(0,E23+O23-N23)</f>
        <v>30690.83</v>
      </c>
      <c r="Q23" s="164" t="str">
        <f aca="false">IF(P23&lt;=0.01,"✓ PAID OFF",IF(P23&lt;E23*0.1,"⚡ ALMOST","ACTIVE"))</f>
        <v>ACTIVE</v>
      </c>
      <c r="R23" s="165" t="n">
        <v>1089.76</v>
      </c>
      <c r="T23" s="166" t="n">
        <v>29842.02</v>
      </c>
      <c r="U23" s="166" t="n">
        <v>28980.48</v>
      </c>
      <c r="V23" s="166" t="n">
        <v>28106.02</v>
      </c>
      <c r="W23" s="166" t="n">
        <v>27218.44</v>
      </c>
      <c r="X23" s="166" t="n">
        <v>26317.55</v>
      </c>
      <c r="Y23" s="166" t="n">
        <v>25403.14</v>
      </c>
      <c r="Z23" s="166" t="n">
        <v>24475.02</v>
      </c>
      <c r="AA23" s="166" t="n">
        <v>23532.97</v>
      </c>
      <c r="AB23" s="166" t="n">
        <v>19902.09</v>
      </c>
      <c r="AC23" s="166" t="n">
        <v>13724.44</v>
      </c>
      <c r="AD23" s="166" t="n">
        <v>7454.13</v>
      </c>
      <c r="AE23" s="166" t="n">
        <v>1089.76</v>
      </c>
    </row>
    <row r="24" customFormat="false" ht="27.75" hidden="false" customHeight="true" outlineLevel="0" collapsed="false">
      <c r="A24" s="153" t="n">
        <v>20</v>
      </c>
      <c r="B24" s="154" t="s">
        <v>114</v>
      </c>
      <c r="C24" s="153" t="s">
        <v>380</v>
      </c>
      <c r="D24" s="155" t="n">
        <v>0.15</v>
      </c>
      <c r="E24" s="156" t="n">
        <v>4184.82</v>
      </c>
      <c r="F24" s="156" t="n">
        <v>139.5</v>
      </c>
      <c r="G24" s="157" t="str">
        <f aca="false">IF(P24&lt;=0.01,"Yes","No")</f>
        <v>No</v>
      </c>
      <c r="H24" s="153" t="s">
        <v>381</v>
      </c>
      <c r="I24" s="153" t="s">
        <v>320</v>
      </c>
      <c r="J24" s="158" t="s">
        <v>403</v>
      </c>
      <c r="K24" s="167" t="s">
        <v>404</v>
      </c>
      <c r="L24" s="160" t="n">
        <f aca="false">P24</f>
        <v>4045.32</v>
      </c>
      <c r="M24" s="160" t="n">
        <f aca="false">IF(P24&lt;=0.01,0,F24)</f>
        <v>139.5</v>
      </c>
      <c r="N24" s="161" t="n">
        <f aca="false">IFERROR(SUMIFS(Payments!$F:$F,Payments!$E:$E,B24,Payments!$D:$D,"Expense"),0)</f>
        <v>139.5</v>
      </c>
      <c r="O24" s="162" t="n">
        <f aca="true">IFERROR(MAX(0,DATEDIF(DATE(2026,5,1),TODAY(),"M"))*E24*D24/12,0)</f>
        <v>0</v>
      </c>
      <c r="P24" s="163" t="n">
        <f aca="false">MAX(0,E24+O24-N24)</f>
        <v>4045.32</v>
      </c>
      <c r="Q24" s="164" t="str">
        <f aca="false">IF(P24&lt;=0.01,"✓ PAID OFF",IF(P24&lt;E24*0.1,"⚡ ALMOST","ACTIVE"))</f>
        <v>ACTIVE</v>
      </c>
      <c r="R24" s="165" t="n">
        <v>2901.6</v>
      </c>
      <c r="T24" s="166" t="n">
        <v>3956.39</v>
      </c>
      <c r="U24" s="166" t="n">
        <v>3866.34</v>
      </c>
      <c r="V24" s="166" t="n">
        <v>3775.17</v>
      </c>
      <c r="W24" s="166" t="n">
        <v>3682.86</v>
      </c>
      <c r="X24" s="166" t="n">
        <v>3589.4</v>
      </c>
      <c r="Y24" s="166" t="n">
        <v>3494.76</v>
      </c>
      <c r="Z24" s="166" t="n">
        <v>3398.95</v>
      </c>
      <c r="AA24" s="166" t="n">
        <v>3301.93</v>
      </c>
      <c r="AB24" s="166" t="n">
        <v>3203.71</v>
      </c>
      <c r="AC24" s="166" t="n">
        <v>3104.26</v>
      </c>
      <c r="AD24" s="166" t="n">
        <v>3003.56</v>
      </c>
      <c r="AE24" s="166" t="n">
        <v>2901.6</v>
      </c>
    </row>
    <row r="25" customFormat="false" ht="27.75" hidden="false" customHeight="true" outlineLevel="0" collapsed="false">
      <c r="A25" s="153" t="n">
        <v>21</v>
      </c>
      <c r="B25" s="154" t="s">
        <v>118</v>
      </c>
      <c r="C25" s="153" t="s">
        <v>380</v>
      </c>
      <c r="D25" s="155" t="n">
        <v>0.15</v>
      </c>
      <c r="E25" s="156" t="n">
        <v>3553.86</v>
      </c>
      <c r="F25" s="156" t="n">
        <v>107.75</v>
      </c>
      <c r="G25" s="157" t="str">
        <f aca="false">IF(P25&lt;=0.01,"Yes","No")</f>
        <v>No</v>
      </c>
      <c r="H25" s="153" t="s">
        <v>381</v>
      </c>
      <c r="I25" s="153" t="s">
        <v>320</v>
      </c>
      <c r="J25" s="158" t="s">
        <v>405</v>
      </c>
      <c r="K25" s="167" t="s">
        <v>404</v>
      </c>
      <c r="L25" s="160" t="n">
        <f aca="false">P25</f>
        <v>3446.11</v>
      </c>
      <c r="M25" s="160" t="n">
        <f aca="false">IF(P25&lt;=0.01,0,F25)</f>
        <v>107.75</v>
      </c>
      <c r="N25" s="161" t="n">
        <f aca="false">IFERROR(SUMIFS(Payments!$F:$F,Payments!$E:$E,B25,Payments!$D:$D,"Expense"),0)</f>
        <v>107.75</v>
      </c>
      <c r="O25" s="162" t="n">
        <f aca="true">IFERROR(MAX(0,DATEDIF(DATE(2026,5,1),TODAY(),"M"))*E25*D25/12,0)</f>
        <v>0</v>
      </c>
      <c r="P25" s="163" t="n">
        <f aca="false">MAX(0,E25+O25-N25)</f>
        <v>3446.11</v>
      </c>
      <c r="Q25" s="164" t="str">
        <f aca="false">IF(P25&lt;=0.01,"✓ PAID OFF",IF(P25&lt;E25*0.1,"⚡ ALMOST","ACTIVE"))</f>
        <v>ACTIVE</v>
      </c>
      <c r="R25" s="165" t="n">
        <v>2614.38</v>
      </c>
      <c r="T25" s="166" t="n">
        <v>3381.44</v>
      </c>
      <c r="U25" s="166" t="n">
        <v>3315.95</v>
      </c>
      <c r="V25" s="166" t="n">
        <v>3249.65</v>
      </c>
      <c r="W25" s="166" t="n">
        <v>3182.52</v>
      </c>
      <c r="X25" s="166" t="n">
        <v>3114.56</v>
      </c>
      <c r="Y25" s="166" t="n">
        <v>3045.74</v>
      </c>
      <c r="Z25" s="166" t="n">
        <v>2976.06</v>
      </c>
      <c r="AA25" s="166" t="n">
        <v>2905.51</v>
      </c>
      <c r="AB25" s="166" t="n">
        <v>2834.08</v>
      </c>
      <c r="AC25" s="166" t="n">
        <v>2761.76</v>
      </c>
      <c r="AD25" s="166" t="n">
        <v>2688.53</v>
      </c>
      <c r="AE25" s="166" t="n">
        <v>2614.38</v>
      </c>
    </row>
    <row r="26" customFormat="false" ht="27.75" hidden="false" customHeight="true" outlineLevel="0" collapsed="false">
      <c r="A26" s="153" t="n">
        <v>22</v>
      </c>
      <c r="B26" s="154" t="s">
        <v>100</v>
      </c>
      <c r="C26" s="153" t="s">
        <v>380</v>
      </c>
      <c r="D26" s="155" t="n">
        <v>0.15</v>
      </c>
      <c r="E26" s="156" t="n">
        <v>1069.37</v>
      </c>
      <c r="F26" s="156" t="n">
        <v>66.93</v>
      </c>
      <c r="G26" s="157" t="str">
        <f aca="false">IF(P26&lt;=0.01,"Yes","No")</f>
        <v>No</v>
      </c>
      <c r="H26" s="153" t="s">
        <v>381</v>
      </c>
      <c r="I26" s="153" t="s">
        <v>320</v>
      </c>
      <c r="J26" s="158" t="s">
        <v>406</v>
      </c>
      <c r="K26" s="167" t="s">
        <v>404</v>
      </c>
      <c r="L26" s="160" t="n">
        <f aca="false">P26</f>
        <v>1002.44</v>
      </c>
      <c r="M26" s="160" t="n">
        <f aca="false">IF(P26&lt;=0.01,0,F26)</f>
        <v>66.93</v>
      </c>
      <c r="N26" s="161" t="n">
        <f aca="false">IFERROR(SUMIFS(Payments!$F:$F,Payments!$E:$E,B26,Payments!$D:$D,"Expense"),0)</f>
        <v>66.93</v>
      </c>
      <c r="O26" s="162" t="n">
        <f aca="true">IFERROR(MAX(0,DATEDIF(DATE(2026,5,1),TODAY(),"M"))*E26*D26/12,0)</f>
        <v>0</v>
      </c>
      <c r="P26" s="163" t="n">
        <f aca="false">MAX(0,E26+O26-N26)</f>
        <v>1002.44</v>
      </c>
      <c r="Q26" s="164" t="str">
        <f aca="false">IF(P26&lt;=0.01,"✓ PAID OFF",IF(P26&lt;E26*0.1,"⚡ ALMOST","ACTIVE"))</f>
        <v>ACTIVE</v>
      </c>
      <c r="R26" s="165" t="n">
        <v>302.84</v>
      </c>
      <c r="T26" s="166" t="n">
        <v>948.04</v>
      </c>
      <c r="U26" s="166" t="n">
        <v>892.96</v>
      </c>
      <c r="V26" s="166" t="n">
        <v>837.19</v>
      </c>
      <c r="W26" s="166" t="n">
        <v>780.73</v>
      </c>
      <c r="X26" s="166" t="n">
        <v>723.56</v>
      </c>
      <c r="Y26" s="166" t="n">
        <v>665.67</v>
      </c>
      <c r="Z26" s="166" t="n">
        <v>607.06</v>
      </c>
      <c r="AA26" s="166" t="n">
        <v>547.72</v>
      </c>
      <c r="AB26" s="166" t="n">
        <v>487.64</v>
      </c>
      <c r="AC26" s="166" t="n">
        <v>426.8</v>
      </c>
      <c r="AD26" s="166" t="n">
        <v>365.21</v>
      </c>
      <c r="AE26" s="166" t="n">
        <v>302.84</v>
      </c>
    </row>
    <row r="27" customFormat="false" ht="27.75" hidden="false" customHeight="true" outlineLevel="0" collapsed="false">
      <c r="A27" s="153" t="n">
        <v>23</v>
      </c>
      <c r="B27" s="154" t="s">
        <v>51</v>
      </c>
      <c r="C27" s="153" t="s">
        <v>380</v>
      </c>
      <c r="D27" s="155" t="n">
        <v>0.15</v>
      </c>
      <c r="E27" s="156" t="n">
        <v>504.15</v>
      </c>
      <c r="F27" s="156" t="n">
        <v>56.02</v>
      </c>
      <c r="G27" s="157" t="str">
        <f aca="false">IF(P27&lt;=0.01,"Yes","No")</f>
        <v>No</v>
      </c>
      <c r="H27" s="153" t="s">
        <v>381</v>
      </c>
      <c r="I27" s="153" t="s">
        <v>320</v>
      </c>
      <c r="J27" s="158" t="s">
        <v>407</v>
      </c>
      <c r="K27" s="167" t="s">
        <v>404</v>
      </c>
      <c r="L27" s="160" t="n">
        <f aca="false">P27</f>
        <v>504.15</v>
      </c>
      <c r="M27" s="160" t="n">
        <f aca="false">IF(P27&lt;=0.01,0,F27)</f>
        <v>56.02</v>
      </c>
      <c r="N27" s="161" t="n">
        <f aca="false">IFERROR(SUMIFS(Payments!$F:$F,Payments!$E:$E,B27,Payments!$D:$D,"Expense"),0)</f>
        <v>0</v>
      </c>
      <c r="O27" s="162" t="n">
        <f aca="true">IFERROR(MAX(0,DATEDIF(DATE(2026,5,1),TODAY(),"M"))*E27*D27/12,0)</f>
        <v>0</v>
      </c>
      <c r="P27" s="163" t="n">
        <f aca="false">MAX(0,E27+O27-N27)</f>
        <v>504.15</v>
      </c>
      <c r="Q27" s="164" t="str">
        <f aca="false">IF(P27&lt;=0.01,"✓ PAID OFF",IF(P27&lt;E27*0.1,"⚡ ALMOST","ACTIVE"))</f>
        <v>ACTIVE</v>
      </c>
      <c r="R27" s="165" t="n">
        <v>0</v>
      </c>
      <c r="T27" s="166" t="n">
        <v>454.43</v>
      </c>
      <c r="U27" s="166" t="n">
        <v>404.09</v>
      </c>
      <c r="V27" s="166" t="n">
        <v>353.12</v>
      </c>
      <c r="W27" s="166" t="n">
        <v>301.52</v>
      </c>
      <c r="X27" s="166" t="n">
        <v>249.27</v>
      </c>
      <c r="Y27" s="166" t="n">
        <v>196.36</v>
      </c>
      <c r="Z27" s="166" t="n">
        <v>142.8</v>
      </c>
      <c r="AA27" s="166" t="n">
        <v>88.56</v>
      </c>
      <c r="AB27" s="166" t="n">
        <v>33.65</v>
      </c>
      <c r="AC27" s="166" t="n">
        <v>0</v>
      </c>
      <c r="AD27" s="166" t="n">
        <v>0</v>
      </c>
      <c r="AE27" s="166" t="n">
        <v>0</v>
      </c>
    </row>
    <row r="28" customFormat="false" ht="27.75" hidden="false" customHeight="true" outlineLevel="0" collapsed="false">
      <c r="A28" s="153" t="n">
        <v>24</v>
      </c>
      <c r="B28" s="154" t="s">
        <v>77</v>
      </c>
      <c r="C28" s="153" t="s">
        <v>380</v>
      </c>
      <c r="D28" s="155" t="n">
        <v>0</v>
      </c>
      <c r="E28" s="156" t="n">
        <v>182.14</v>
      </c>
      <c r="F28" s="156" t="n">
        <v>18.22</v>
      </c>
      <c r="G28" s="157" t="str">
        <f aca="false">IF(P28&lt;=0.01,"Yes","No")</f>
        <v>No</v>
      </c>
      <c r="H28" s="153" t="s">
        <v>381</v>
      </c>
      <c r="I28" s="153" t="s">
        <v>320</v>
      </c>
      <c r="J28" s="158" t="s">
        <v>408</v>
      </c>
      <c r="K28" s="159" t="s">
        <v>367</v>
      </c>
      <c r="L28" s="160" t="n">
        <f aca="false">P28</f>
        <v>163.92</v>
      </c>
      <c r="M28" s="160" t="n">
        <f aca="false">IF(P28&lt;=0.01,0,F28)</f>
        <v>18.22</v>
      </c>
      <c r="N28" s="161" t="n">
        <f aca="false">IFERROR(SUMIFS(Payments!$F:$F,Payments!$E:$E,B28,Payments!$D:$D,"Expense"),0)</f>
        <v>18.22</v>
      </c>
      <c r="O28" s="162" t="n">
        <f aca="true">IFERROR(MAX(0,DATEDIF(DATE(2026,5,1),TODAY(),"M"))*E28*D28/12,0)</f>
        <v>0</v>
      </c>
      <c r="P28" s="163" t="n">
        <f aca="false">MAX(0,E28+O28-N28)</f>
        <v>163.92</v>
      </c>
      <c r="Q28" s="164" t="str">
        <f aca="false">IF(P28&lt;=0.01,"✓ PAID OFF",IF(P28&lt;E28*0.1,"⚡ ALMOST","ACTIVE"))</f>
        <v>ACTIVE</v>
      </c>
      <c r="R28" s="165" t="n">
        <v>0</v>
      </c>
      <c r="T28" s="166" t="n">
        <v>145.7</v>
      </c>
      <c r="U28" s="166" t="n">
        <v>127.48</v>
      </c>
      <c r="V28" s="166" t="n">
        <v>109.26</v>
      </c>
      <c r="W28" s="166" t="n">
        <v>91.04</v>
      </c>
      <c r="X28" s="166" t="n">
        <v>72.82</v>
      </c>
      <c r="Y28" s="166" t="n">
        <v>54.6</v>
      </c>
      <c r="Z28" s="166" t="n">
        <v>36.38</v>
      </c>
      <c r="AA28" s="166" t="n">
        <v>18.16</v>
      </c>
      <c r="AB28" s="166" t="n">
        <v>0</v>
      </c>
      <c r="AC28" s="166" t="n">
        <v>0</v>
      </c>
      <c r="AD28" s="166" t="n">
        <v>0</v>
      </c>
      <c r="AE28" s="166" t="n">
        <v>0</v>
      </c>
    </row>
    <row r="29" customFormat="false" ht="27.75" hidden="false" customHeight="true" outlineLevel="0" collapsed="false">
      <c r="A29" s="153" t="n">
        <v>25</v>
      </c>
      <c r="B29" s="154" t="s">
        <v>52</v>
      </c>
      <c r="C29" s="153" t="s">
        <v>380</v>
      </c>
      <c r="D29" s="155" t="n">
        <v>0</v>
      </c>
      <c r="E29" s="156" t="n">
        <v>183.47</v>
      </c>
      <c r="F29" s="156" t="n">
        <v>20.38</v>
      </c>
      <c r="G29" s="157" t="str">
        <f aca="false">IF(P29&lt;=0.01,"Yes","No")</f>
        <v>No</v>
      </c>
      <c r="H29" s="153" t="s">
        <v>381</v>
      </c>
      <c r="I29" s="153" t="s">
        <v>320</v>
      </c>
      <c r="J29" s="158" t="s">
        <v>409</v>
      </c>
      <c r="K29" s="159" t="s">
        <v>367</v>
      </c>
      <c r="L29" s="160" t="n">
        <f aca="false">P29</f>
        <v>163.09</v>
      </c>
      <c r="M29" s="160" t="n">
        <f aca="false">IF(P29&lt;=0.01,0,F29)</f>
        <v>20.38</v>
      </c>
      <c r="N29" s="161" t="n">
        <f aca="false">IFERROR(SUMIFS(Payments!$F:$F,Payments!$E:$E,B29,Payments!$D:$D,"Expense"),0)</f>
        <v>20.38</v>
      </c>
      <c r="O29" s="162" t="n">
        <f aca="true">IFERROR(MAX(0,DATEDIF(DATE(2026,5,1),TODAY(),"M"))*E29*D29/12,0)</f>
        <v>0</v>
      </c>
      <c r="P29" s="163" t="n">
        <f aca="false">MAX(0,E29+O29-N29)</f>
        <v>163.09</v>
      </c>
      <c r="Q29" s="164" t="str">
        <f aca="false">IF(P29&lt;=0.01,"✓ PAID OFF",IF(P29&lt;E29*0.1,"⚡ ALMOST","ACTIVE"))</f>
        <v>ACTIVE</v>
      </c>
      <c r="R29" s="165" t="n">
        <v>0</v>
      </c>
      <c r="T29" s="166" t="n">
        <v>142.71</v>
      </c>
      <c r="U29" s="166" t="n">
        <v>122.33</v>
      </c>
      <c r="V29" s="166" t="n">
        <v>101.95</v>
      </c>
      <c r="W29" s="166" t="n">
        <v>81.57</v>
      </c>
      <c r="X29" s="166" t="n">
        <v>61.19</v>
      </c>
      <c r="Y29" s="166" t="n">
        <v>40.81</v>
      </c>
      <c r="Z29" s="166" t="n">
        <v>20.43</v>
      </c>
      <c r="AA29" s="166" t="n">
        <v>0.05</v>
      </c>
      <c r="AB29" s="166" t="n">
        <v>0</v>
      </c>
      <c r="AC29" s="166" t="n">
        <v>0</v>
      </c>
      <c r="AD29" s="166" t="n">
        <v>0</v>
      </c>
      <c r="AE29" s="166" t="n">
        <v>0</v>
      </c>
    </row>
    <row r="30" customFormat="false" ht="15" hidden="false" customHeight="true" outlineLevel="0" collapsed="false">
      <c r="A30" s="169"/>
      <c r="B30" s="169" t="s">
        <v>410</v>
      </c>
      <c r="C30" s="169"/>
      <c r="D30" s="169"/>
      <c r="E30" s="170" t="n">
        <f aca="false">SUM(E5:E29)</f>
        <v>85141.66</v>
      </c>
      <c r="F30" s="170" t="n">
        <f aca="false">SUM(F5:F29)</f>
        <v>3318.24</v>
      </c>
      <c r="G30" s="169"/>
      <c r="H30" s="169"/>
      <c r="I30" s="169"/>
      <c r="J30" s="169" t="s">
        <v>411</v>
      </c>
      <c r="K30" s="169"/>
      <c r="L30" s="171" t="n">
        <f aca="false">SUM(L5:L29)</f>
        <v>78762.38</v>
      </c>
      <c r="M30" s="171" t="n">
        <f aca="false">SUM(M5:M29)</f>
        <v>3318.24</v>
      </c>
      <c r="N30" s="172" t="n">
        <f aca="false">SUM(N5:N29)</f>
        <v>6379.28</v>
      </c>
      <c r="O30" s="173" t="n">
        <f aca="false">SUM(O5:O29)</f>
        <v>0</v>
      </c>
      <c r="P30" s="174" t="n">
        <f aca="false">SUM(P5:P29)</f>
        <v>78762.38</v>
      </c>
      <c r="R30" s="175" t="n">
        <f aca="false">SUM(R5:R29)</f>
        <v>6908.58</v>
      </c>
    </row>
    <row r="32" customFormat="false" ht="15" hidden="false" customHeight="true" outlineLevel="0" collapsed="false">
      <c r="B32" s="176" t="s">
        <v>412</v>
      </c>
    </row>
    <row r="33" customFormat="false" ht="15" hidden="false" customHeight="true" outlineLevel="0" collapsed="false">
      <c r="B33" s="1" t="s">
        <v>413</v>
      </c>
      <c r="C33" s="1" t="str">
        <f aca="false">INDEX(B5:B29,MATCH(MAX(D5:D29),D5:D29,0))</f>
        <v>Ashley Furniture / Synchrony</v>
      </c>
    </row>
    <row r="34" customFormat="false" ht="15" hidden="false" customHeight="true" outlineLevel="0" collapsed="false">
      <c r="B34" s="1" t="s">
        <v>414</v>
      </c>
      <c r="C34" s="177" t="n">
        <f aca="false">MAX(D5:D29)</f>
        <v>0.3499</v>
      </c>
    </row>
    <row r="35" customFormat="false" ht="15" hidden="false" customHeight="true" outlineLevel="0" collapsed="false">
      <c r="B35" s="1" t="s">
        <v>415</v>
      </c>
      <c r="C35" s="156" t="n">
        <f aca="false">INDEX(E5:E29,MATCH(MAX(D5:D29),D5:D29,0))</f>
        <v>933.82</v>
      </c>
    </row>
    <row r="36" customFormat="false" ht="15" hidden="false" customHeight="true" outlineLevel="0" collapsed="false">
      <c r="B36" s="1" t="s">
        <v>416</v>
      </c>
      <c r="C36" s="1" t="n">
        <v>25</v>
      </c>
    </row>
    <row r="37" customFormat="false" ht="15" hidden="false" customHeight="true" outlineLevel="0" collapsed="false">
      <c r="B37" s="1" t="s">
        <v>417</v>
      </c>
      <c r="C37" s="177" t="n">
        <f aca="false">SUMPRODUCT(D5:D29,E5:E29)/SUM(E5:E29)</f>
        <v>0.227887680190872</v>
      </c>
    </row>
    <row r="39" customFormat="false" ht="15" hidden="false" customHeight="true" outlineLevel="0" collapsed="false">
      <c r="B39" s="176" t="s">
        <v>418</v>
      </c>
    </row>
    <row r="40" customFormat="false" ht="15" hidden="false" customHeight="true" outlineLevel="0" collapsed="false">
      <c r="B40" s="178" t="s">
        <v>367</v>
      </c>
      <c r="C40" s="1" t="s">
        <v>419</v>
      </c>
    </row>
    <row r="41" customFormat="false" ht="15" hidden="false" customHeight="true" outlineLevel="0" collapsed="false">
      <c r="B41" s="179" t="s">
        <v>383</v>
      </c>
      <c r="C41" s="1" t="s">
        <v>420</v>
      </c>
    </row>
    <row r="42" customFormat="false" ht="15" hidden="false" customHeight="true" outlineLevel="0" collapsed="false">
      <c r="B42" s="179" t="s">
        <v>389</v>
      </c>
      <c r="C42" s="1" t="s">
        <v>421</v>
      </c>
    </row>
    <row r="43" customFormat="false" ht="15" hidden="false" customHeight="true" outlineLevel="0" collapsed="false">
      <c r="B43" s="180" t="s">
        <v>404</v>
      </c>
      <c r="C43" s="1" t="s">
        <v>422</v>
      </c>
    </row>
    <row r="44" customFormat="false" ht="15" hidden="false" customHeight="true" outlineLevel="0" collapsed="false">
      <c r="B44" s="180" t="s">
        <v>369</v>
      </c>
      <c r="C44" s="1" t="s">
        <v>423</v>
      </c>
    </row>
  </sheetData>
  <mergeCells count="3">
    <mergeCell ref="A1:K1"/>
    <mergeCell ref="A2:K2"/>
    <mergeCell ref="T3:AE3"/>
  </mergeCells>
  <dataValidations count="1">
    <dataValidation allowBlank="true" errorStyle="stop" operator="between" showDropDown="false" showErrorMessage="false" showInputMessage="false" sqref="G5:G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30"/>
    <col collapsed="false" customWidth="true" hidden="false" outlineLevel="0" max="8" min="8" style="1" width="12"/>
  </cols>
  <sheetData>
    <row r="1" customFormat="false" ht="36" hidden="false" customHeight="true" outlineLevel="0" collapsed="false">
      <c r="A1" s="64" t="s">
        <v>424</v>
      </c>
      <c r="B1" s="64"/>
      <c r="C1" s="64"/>
      <c r="D1" s="64"/>
      <c r="E1" s="64"/>
      <c r="F1" s="64"/>
      <c r="G1" s="64"/>
      <c r="H1" s="64"/>
    </row>
    <row r="3" customFormat="false" ht="21.75" hidden="false" customHeight="true" outlineLevel="0" collapsed="false">
      <c r="B3" s="30" t="s">
        <v>425</v>
      </c>
      <c r="C3" s="181" t="n">
        <f aca="false">'Monthly Budget'!C126</f>
        <v>3472.12</v>
      </c>
      <c r="D3" s="182" t="s">
        <v>426</v>
      </c>
      <c r="F3" s="183" t="s">
        <v>427</v>
      </c>
      <c r="G3" s="183"/>
      <c r="H3" s="183"/>
    </row>
    <row r="4" customFormat="false" ht="21.75" hidden="false" customHeight="true" outlineLevel="0" collapsed="false">
      <c r="B4" s="30" t="s">
        <v>428</v>
      </c>
      <c r="C4" s="184" t="s">
        <v>429</v>
      </c>
      <c r="D4" s="182" t="s">
        <v>430</v>
      </c>
      <c r="F4" s="185" t="s">
        <v>431</v>
      </c>
      <c r="G4" s="185"/>
      <c r="H4" s="185"/>
    </row>
    <row r="5" customFormat="false" ht="21.75" hidden="false" customHeight="true" outlineLevel="0" collapsed="false">
      <c r="B5" s="30" t="s">
        <v>432</v>
      </c>
      <c r="C5" s="186" t="n">
        <f aca="false">IF(C4="Actual",MAX(0,'Monthly Budget'!D126),MAX(0,C3))</f>
        <v>3472.12</v>
      </c>
      <c r="D5" s="182" t="s">
        <v>433</v>
      </c>
      <c r="F5" s="185" t="s">
        <v>434</v>
      </c>
      <c r="G5" s="185"/>
      <c r="H5" s="185"/>
    </row>
    <row r="7" customFormat="false" ht="24" hidden="false" customHeight="true" outlineLevel="0" collapsed="false">
      <c r="A7" s="187" t="s">
        <v>435</v>
      </c>
      <c r="B7" s="187"/>
      <c r="C7" s="187"/>
      <c r="D7" s="187"/>
      <c r="E7" s="187"/>
      <c r="F7" s="187"/>
      <c r="G7" s="187"/>
      <c r="H7" s="187"/>
    </row>
    <row r="8" customFormat="false" ht="21.75" hidden="false" customHeight="true" outlineLevel="0" collapsed="false">
      <c r="B8" s="30" t="s">
        <v>436</v>
      </c>
      <c r="C8" s="188" t="n">
        <f aca="false">'Debt Tracker'!L30</f>
        <v>78762.38</v>
      </c>
      <c r="E8" s="30" t="s">
        <v>437</v>
      </c>
      <c r="F8" s="188" t="n">
        <f aca="false">'Debt Tracker'!M30</f>
        <v>3318.24</v>
      </c>
    </row>
    <row r="9" customFormat="false" ht="21.75" hidden="false" customHeight="true" outlineLevel="0" collapsed="false">
      <c r="B9" s="30" t="s">
        <v>438</v>
      </c>
      <c r="C9" s="189" t="n">
        <v>23</v>
      </c>
      <c r="E9" s="30" t="s">
        <v>439</v>
      </c>
      <c r="F9" s="190" t="n">
        <v>46813</v>
      </c>
    </row>
    <row r="10" customFormat="false" ht="21.75" hidden="false" customHeight="true" outlineLevel="0" collapsed="false">
      <c r="B10" s="30" t="s">
        <v>440</v>
      </c>
      <c r="C10" s="191" t="n">
        <v>18221.4856051446</v>
      </c>
      <c r="E10" s="30" t="s">
        <v>441</v>
      </c>
      <c r="F10" s="192" t="n">
        <v>1.91666666666667</v>
      </c>
    </row>
    <row r="11" customFormat="false" ht="21.75" hidden="false" customHeight="true" outlineLevel="0" collapsed="false">
      <c r="B11" s="30" t="s">
        <v>442</v>
      </c>
      <c r="C11" s="193" t="s">
        <v>56</v>
      </c>
      <c r="E11" s="30" t="s">
        <v>443</v>
      </c>
      <c r="F11" s="194" t="s">
        <v>444</v>
      </c>
    </row>
    <row r="13" customFormat="false" ht="25.5" hidden="false" customHeight="true" outlineLevel="0" collapsed="false">
      <c r="A13" s="195" t="s">
        <v>445</v>
      </c>
      <c r="B13" s="195"/>
      <c r="C13" s="195"/>
      <c r="D13" s="195"/>
      <c r="E13" s="195"/>
      <c r="F13" s="195"/>
      <c r="G13" s="195"/>
      <c r="H13" s="195"/>
    </row>
    <row r="14" customFormat="false" ht="21.75" hidden="false" customHeight="true" outlineLevel="0" collapsed="false">
      <c r="A14" s="196" t="s">
        <v>446</v>
      </c>
      <c r="B14" s="197" t="s">
        <v>447</v>
      </c>
      <c r="C14" s="198" t="s">
        <v>338</v>
      </c>
      <c r="D14" s="196" t="s">
        <v>448</v>
      </c>
      <c r="E14" s="196" t="s">
        <v>449</v>
      </c>
      <c r="F14" s="198" t="s">
        <v>450</v>
      </c>
      <c r="G14" s="199"/>
      <c r="H14" s="197" t="s">
        <v>451</v>
      </c>
    </row>
    <row r="15" customFormat="false" ht="24" hidden="false" customHeight="true" outlineLevel="0" collapsed="false">
      <c r="A15" s="200" t="s">
        <v>452</v>
      </c>
      <c r="B15" s="201" t="s">
        <v>56</v>
      </c>
      <c r="C15" s="202" t="n">
        <v>0.3499</v>
      </c>
      <c r="D15" s="203" t="n">
        <v>46143</v>
      </c>
      <c r="E15" s="79" t="s">
        <v>453</v>
      </c>
      <c r="F15" s="55" t="n">
        <v>129</v>
      </c>
      <c r="H15" s="204" t="s">
        <v>454</v>
      </c>
    </row>
    <row r="16" customFormat="false" ht="24" hidden="false" customHeight="true" outlineLevel="0" collapsed="false">
      <c r="A16" s="200" t="s">
        <v>455</v>
      </c>
      <c r="B16" s="201" t="s">
        <v>57</v>
      </c>
      <c r="C16" s="202" t="n">
        <v>0.3499</v>
      </c>
      <c r="D16" s="203" t="n">
        <v>46174</v>
      </c>
      <c r="E16" s="79" t="s">
        <v>456</v>
      </c>
      <c r="F16" s="55" t="n">
        <v>33</v>
      </c>
      <c r="H16" s="204" t="s">
        <v>457</v>
      </c>
    </row>
    <row r="17" customFormat="false" ht="24" hidden="false" customHeight="true" outlineLevel="0" collapsed="false">
      <c r="A17" s="200" t="s">
        <v>458</v>
      </c>
      <c r="B17" s="201" t="s">
        <v>58</v>
      </c>
      <c r="C17" s="202" t="n">
        <v>0.2999</v>
      </c>
      <c r="D17" s="203" t="n">
        <v>46204</v>
      </c>
      <c r="E17" s="79" t="s">
        <v>459</v>
      </c>
      <c r="F17" s="55" t="n">
        <v>29</v>
      </c>
      <c r="H17" s="204" t="s">
        <v>460</v>
      </c>
    </row>
    <row r="18" customFormat="false" ht="18" hidden="false" customHeight="true" outlineLevel="0" collapsed="false">
      <c r="A18" s="205" t="s">
        <v>461</v>
      </c>
    </row>
    <row r="19" customFormat="false" ht="18" hidden="false" customHeight="true" outlineLevel="0" collapsed="false">
      <c r="A19" s="42" t="s">
        <v>462</v>
      </c>
      <c r="B19" s="43" t="s">
        <v>463</v>
      </c>
      <c r="C19" s="44" t="s">
        <v>338</v>
      </c>
      <c r="D19" s="44" t="s">
        <v>305</v>
      </c>
      <c r="E19" s="44" t="s">
        <v>339</v>
      </c>
      <c r="F19" s="42" t="s">
        <v>464</v>
      </c>
      <c r="G19" s="44" t="s">
        <v>465</v>
      </c>
      <c r="H19" s="42" t="s">
        <v>349</v>
      </c>
    </row>
    <row r="20" customFormat="false" ht="18" hidden="false" customHeight="true" outlineLevel="0" collapsed="false">
      <c r="A20" s="206" t="n">
        <v>1</v>
      </c>
      <c r="B20" s="207" t="str">
        <f aca="false">'Debt Tracker'!B6</f>
        <v>Mattress Firm / Synchrony Home</v>
      </c>
      <c r="C20" s="208" t="n">
        <f aca="false">'Debt Tracker'!D6</f>
        <v>0.3499</v>
      </c>
      <c r="D20" s="128" t="n">
        <f aca="false">'Debt Tracker'!L6</f>
        <v>1254.49</v>
      </c>
      <c r="E20" s="128" t="n">
        <f aca="false">'Debt Tracker'!M6</f>
        <v>129</v>
      </c>
      <c r="F20" s="209" t="str">
        <f aca="false">IF(D15&lt;=0.01,"—",IFERROR(IF(E15&lt;=D15*C15/12,"⚠ NEVER",CEILING(NPER(C15/12,-E15,D15),1)),"—"))</f>
        <v>—</v>
      </c>
      <c r="G20" s="128" t="str">
        <f aca="false">IFERROR(IF(D15&lt;=0.01,0,IF(E15&lt;=D15*C15/12,"—",(E15*F15)-D15)),"—")</f>
        <v>—</v>
      </c>
      <c r="H20" s="210" t="str">
        <f aca="false">IF('Debt Tracker'!G6="Yes","Paid Off",IF(D15&lt;=0.01,"Zero","Active"))</f>
        <v>Active</v>
      </c>
    </row>
    <row r="21" customFormat="false" ht="18" hidden="false" customHeight="true" outlineLevel="0" collapsed="false">
      <c r="A21" s="51" t="n">
        <v>2</v>
      </c>
      <c r="B21" s="207" t="str">
        <f aca="false">'Debt Tracker'!B5</f>
        <v>Ashley Furniture / Synchrony</v>
      </c>
      <c r="C21" s="208" t="n">
        <f aca="false">'Debt Tracker'!D5</f>
        <v>0.3499</v>
      </c>
      <c r="D21" s="128" t="n">
        <f aca="false">'Debt Tracker'!L5</f>
        <v>899.82</v>
      </c>
      <c r="E21" s="128" t="n">
        <f aca="false">'Debt Tracker'!M5</f>
        <v>33</v>
      </c>
      <c r="F21" s="209" t="str">
        <f aca="false">IF(D16&lt;=0.01,"—",IFERROR(IF(E16&lt;=D16*C16/12,"⚠ NEVER",CEILING(NPER(C16/12,-E16,D16),1)),"—"))</f>
        <v>—</v>
      </c>
      <c r="G21" s="128" t="str">
        <f aca="false">IFERROR(IF(D16&lt;=0.01,0,IF(E16&lt;=D16*C16/12,"—",(E16*F16)-D16)),"—")</f>
        <v>—</v>
      </c>
      <c r="H21" s="210" t="str">
        <f aca="false">IF('Debt Tracker'!G5="Yes","Paid Off",IF(D16&lt;=0.01,"Zero","Active"))</f>
        <v>Active</v>
      </c>
    </row>
    <row r="22" customFormat="false" ht="18" hidden="false" customHeight="true" outlineLevel="0" collapsed="false">
      <c r="A22" s="57" t="n">
        <v>3</v>
      </c>
      <c r="B22" s="211" t="str">
        <f aca="false">'Debt Tracker'!B7</f>
        <v>Best Buy / Citi</v>
      </c>
      <c r="C22" s="212" t="n">
        <f aca="false">'Debt Tracker'!D7</f>
        <v>0.2999</v>
      </c>
      <c r="D22" s="213" t="n">
        <f aca="false">'Debt Tracker'!L7</f>
        <v>1200</v>
      </c>
      <c r="E22" s="213" t="n">
        <f aca="false">'Debt Tracker'!M7</f>
        <v>29</v>
      </c>
      <c r="F22" s="214" t="str">
        <f aca="false">IF(D17&lt;=0.01,"—",IFERROR(IF(E17&lt;=D17*C17/12,"⚠ NEVER",CEILING(NPER(C17/12,-E17,D17),1)),"—"))</f>
        <v>—</v>
      </c>
      <c r="G22" s="213" t="str">
        <f aca="false">IFERROR(IF(D17&lt;=0.01,0,IF(E17&lt;=D17*C17/12,"—",(E17*F17)-D17)),"—")</f>
        <v>—</v>
      </c>
      <c r="H22" s="215" t="str">
        <f aca="false">IF('Debt Tracker'!G7="Yes","Paid Off",IF(D17&lt;=0.01,"Zero","Active"))</f>
        <v>Active</v>
      </c>
    </row>
    <row r="23" customFormat="false" ht="18" hidden="false" customHeight="true" outlineLevel="0" collapsed="false">
      <c r="A23" s="51" t="n">
        <v>4</v>
      </c>
      <c r="B23" s="207" t="str">
        <f aca="false">'Debt Tracker'!B8</f>
        <v>Capital One Platinum</v>
      </c>
      <c r="C23" s="208" t="n">
        <f aca="false">'Debt Tracker'!D8</f>
        <v>0.2874</v>
      </c>
      <c r="D23" s="128" t="n">
        <f aca="false">'Debt Tracker'!L8</f>
        <v>5339.94</v>
      </c>
      <c r="E23" s="128" t="n">
        <f aca="false">'Debt Tracker'!M8</f>
        <v>200</v>
      </c>
      <c r="F23" s="209" t="str">
        <f aca="false">IF(D18&lt;=0.01,"—",IFERROR(IF(E18&lt;=D18*C18/12,"⚠ NEVER",CEILING(NPER(C18/12,-E18,D18),1)),"—"))</f>
        <v>—</v>
      </c>
      <c r="G23" s="128" t="n">
        <f aca="false">IFERROR(IF(D18&lt;=0.01,0,IF(E18&lt;=D18*C18/12,"—",(E18*F18)-D18)),"—")</f>
        <v>0</v>
      </c>
      <c r="H23" s="210" t="str">
        <f aca="false">IF('Debt Tracker'!G8="Yes","Paid Off",IF(D18&lt;=0.01,"Zero","Active"))</f>
        <v>Zero</v>
      </c>
    </row>
    <row r="24" customFormat="false" ht="18" hidden="false" customHeight="true" outlineLevel="0" collapsed="false">
      <c r="A24" s="57" t="n">
        <v>5</v>
      </c>
      <c r="B24" s="211" t="str">
        <f aca="false">'Debt Tracker'!B9</f>
        <v>Amex Delta SkyMiles Gold</v>
      </c>
      <c r="C24" s="212" t="n">
        <f aca="false">'Debt Tracker'!D9</f>
        <v>0.2849</v>
      </c>
      <c r="D24" s="213" t="n">
        <f aca="false">'Debt Tracker'!L9</f>
        <v>5483.5</v>
      </c>
      <c r="E24" s="213" t="n">
        <f aca="false">'Debt Tracker'!M9</f>
        <v>205.87</v>
      </c>
      <c r="F24" s="214" t="str">
        <f aca="false">IF(D19&lt;=0.01,"—",IFERROR(IF(E19&lt;=D19*C19/12,"⚠ NEVER",CEILING(NPER(C19/12,-E19,D19),1)),"—"))</f>
        <v>—</v>
      </c>
      <c r="G24" s="213" t="str">
        <f aca="false">IFERROR(IF(D19&lt;=0.01,0,IF(E19&lt;=D19*C19/12,"—",(E19*F19)-D19)),"—")</f>
        <v>—</v>
      </c>
      <c r="H24" s="215" t="str">
        <f aca="false">IF('Debt Tracker'!G9="Yes","Paid Off",IF(D19&lt;=0.01,"Zero","Active"))</f>
        <v>Active</v>
      </c>
    </row>
    <row r="25" customFormat="false" ht="18" hidden="false" customHeight="true" outlineLevel="0" collapsed="false">
      <c r="A25" s="51" t="n">
        <v>6</v>
      </c>
      <c r="B25" s="207" t="str">
        <f aca="false">'Debt Tracker'!B10</f>
        <v>Menards Big Card (Cap One)</v>
      </c>
      <c r="C25" s="208" t="n">
        <f aca="false">'Debt Tracker'!D10</f>
        <v>0.2849</v>
      </c>
      <c r="D25" s="128" t="n">
        <f aca="false">'Debt Tracker'!L10</f>
        <v>2758.32</v>
      </c>
      <c r="E25" s="128" t="n">
        <f aca="false">'Debt Tracker'!M10</f>
        <v>92</v>
      </c>
      <c r="F25" s="209" t="n">
        <f aca="false">IF(D20&lt;=0.01,"—",IFERROR(IF(E20&lt;=D20*C20/12,"⚠ NEVER",CEILING(NPER(C20/12,-E20,D20),1)),"—"))</f>
        <v>12</v>
      </c>
      <c r="G25" s="128" t="str">
        <f aca="false">IFERROR(IF(D20&lt;=0.01,0,IF(E20&lt;=D20*C20/12,"—",(E20*F20)-D20)),"—")</f>
        <v>—</v>
      </c>
      <c r="H25" s="210" t="str">
        <f aca="false">IF('Debt Tracker'!G10="Yes","Paid Off",IF(D20&lt;=0.01,"Zero","Active"))</f>
        <v>Active</v>
      </c>
    </row>
    <row r="26" customFormat="false" ht="18" hidden="false" customHeight="true" outlineLevel="0" collapsed="false">
      <c r="A26" s="57" t="n">
        <v>7</v>
      </c>
      <c r="B26" s="211" t="str">
        <f aca="false">'Debt Tracker'!B11</f>
        <v>Amex Platinum (Pay Over Time)</v>
      </c>
      <c r="C26" s="212" t="n">
        <f aca="false">'Debt Tracker'!D11</f>
        <v>0.2849</v>
      </c>
      <c r="D26" s="213" t="n">
        <f aca="false">'Debt Tracker'!L11</f>
        <v>1106.09</v>
      </c>
      <c r="E26" s="213" t="n">
        <f aca="false">'Debt Tracker'!M11</f>
        <v>40</v>
      </c>
      <c r="F26" s="214" t="n">
        <f aca="false">IF(D21&lt;=0.01,"—",IFERROR(IF(E21&lt;=D21*C21/12,"⚠ NEVER",CEILING(NPER(C21/12,-E21,D21),1)),"—"))</f>
        <v>56</v>
      </c>
      <c r="G26" s="213" t="str">
        <f aca="false">IFERROR(IF(D21&lt;=0.01,0,IF(E21&lt;=D21*C21/12,"—",(E21*F21)-D21)),"—")</f>
        <v>—</v>
      </c>
      <c r="H26" s="215" t="str">
        <f aca="false">IF('Debt Tracker'!G11="Yes","Paid Off",IF(D21&lt;=0.01,"Zero","Active"))</f>
        <v>Active</v>
      </c>
    </row>
    <row r="27" customFormat="false" ht="18" hidden="false" customHeight="true" outlineLevel="0" collapsed="false">
      <c r="A27" s="51" t="n">
        <v>8</v>
      </c>
      <c r="B27" s="207" t="str">
        <f aca="false">'Debt Tracker'!B12</f>
        <v>Affirm — Best Buy (Dec)</v>
      </c>
      <c r="C27" s="208" t="n">
        <f aca="false">'Debt Tracker'!D12</f>
        <v>0.2832</v>
      </c>
      <c r="D27" s="128" t="n">
        <f aca="false">'Debt Tracker'!L12</f>
        <v>2869.11</v>
      </c>
      <c r="E27" s="128" t="n">
        <f aca="false">'Debt Tracker'!M12</f>
        <v>151.01</v>
      </c>
      <c r="F27" s="209" t="str">
        <f aca="false">IF(D22&lt;=0.01,"—",IFERROR(IF(E22&lt;=D22*C22/12,"⚠ NEVER",CEILING(NPER(C22/12,-E22,D22),1)),"—"))</f>
        <v>⚠ NEVER</v>
      </c>
      <c r="G27" s="128" t="str">
        <f aca="false">IFERROR(IF(D22&lt;=0.01,0,IF(E22&lt;=D22*C22/12,"—",(E22*F22)-D22)),"—")</f>
        <v>—</v>
      </c>
      <c r="H27" s="210" t="str">
        <f aca="false">IF('Debt Tracker'!G12="Yes","Paid Off",IF(D22&lt;=0.01,"Zero","Active"))</f>
        <v>Active</v>
      </c>
    </row>
    <row r="28" customFormat="false" ht="18" hidden="false" customHeight="true" outlineLevel="0" collapsed="false">
      <c r="A28" s="57" t="n">
        <v>9</v>
      </c>
      <c r="B28" s="211" t="str">
        <f aca="false">'Debt Tracker'!B14</f>
        <v>Capital One Quicksilver</v>
      </c>
      <c r="C28" s="212" t="n">
        <f aca="false">'Debt Tracker'!D14</f>
        <v>0.2824</v>
      </c>
      <c r="D28" s="213" t="n">
        <f aca="false">'Debt Tracker'!L14</f>
        <v>1135.64</v>
      </c>
      <c r="E28" s="213" t="n">
        <f aca="false">'Debt Tracker'!M14</f>
        <v>38</v>
      </c>
      <c r="F28" s="214" t="n">
        <f aca="false">IF(D23&lt;=0.01,"—",IFERROR(IF(E23&lt;=D23*C23/12,"⚠ NEVER",CEILING(NPER(C23/12,-E23,D23),1)),"—"))</f>
        <v>44</v>
      </c>
      <c r="G28" s="213" t="str">
        <f aca="false">IFERROR(IF(D23&lt;=0.01,0,IF(E23&lt;=D23*C23/12,"—",(E23*F23)-D23)),"—")</f>
        <v>—</v>
      </c>
      <c r="H28" s="215" t="str">
        <f aca="false">IF('Debt Tracker'!G14="Yes","Paid Off",IF(D23&lt;=0.01,"Zero","Active"))</f>
        <v>Active</v>
      </c>
    </row>
    <row r="29" customFormat="false" ht="18" hidden="false" customHeight="true" outlineLevel="0" collapsed="false">
      <c r="A29" s="51" t="n">
        <v>10</v>
      </c>
      <c r="B29" s="207" t="str">
        <f aca="false">'Debt Tracker'!B13</f>
        <v>Affirm — Best Buy (Feb)</v>
      </c>
      <c r="C29" s="208" t="n">
        <f aca="false">'Debt Tracker'!D13</f>
        <v>0.2817</v>
      </c>
      <c r="D29" s="128" t="n">
        <f aca="false">'Debt Tracker'!L13</f>
        <v>1088.08</v>
      </c>
      <c r="E29" s="128" t="n">
        <f aca="false">'Debt Tracker'!M13</f>
        <v>72.54</v>
      </c>
      <c r="F29" s="209" t="n">
        <f aca="false">IF(D24&lt;=0.01,"—",IFERROR(IF(E24&lt;=D24*C24/12,"⚠ NEVER",CEILING(NPER(C24/12,-E24,D24),1)),"—"))</f>
        <v>43</v>
      </c>
      <c r="G29" s="128" t="str">
        <f aca="false">IFERROR(IF(D24&lt;=0.01,0,IF(E24&lt;=D24*C24/12,"—",(E24*F24)-D24)),"—")</f>
        <v>—</v>
      </c>
      <c r="H29" s="210" t="str">
        <f aca="false">IF('Debt Tracker'!G13="Yes","Paid Off",IF(D24&lt;=0.01,"Zero","Active"))</f>
        <v>Active</v>
      </c>
    </row>
    <row r="30" customFormat="false" ht="18" hidden="false" customHeight="true" outlineLevel="0" collapsed="false">
      <c r="A30" s="57" t="n">
        <v>11</v>
      </c>
      <c r="B30" s="211" t="str">
        <f aca="false">'Debt Tracker'!B15</f>
        <v>Discover</v>
      </c>
      <c r="C30" s="212" t="n">
        <f aca="false">'Debt Tracker'!D15</f>
        <v>0.2799</v>
      </c>
      <c r="D30" s="213" t="n">
        <f aca="false">'Debt Tracker'!L15</f>
        <v>2349</v>
      </c>
      <c r="E30" s="213" t="n">
        <f aca="false">'Debt Tracker'!M15</f>
        <v>80</v>
      </c>
      <c r="F30" s="214" t="n">
        <f aca="false">IF(D25&lt;=0.01,"—",IFERROR(IF(E25&lt;=D25*C25/12,"⚠ NEVER",CEILING(NPER(C25/12,-E25,D25),1)),"—"))</f>
        <v>54</v>
      </c>
      <c r="G30" s="213" t="n">
        <f aca="false">IFERROR(IF(D25&lt;=0.01,0,IF(E25&lt;=D25*C25/12,"—",(E25*F25)-D25)),"—")</f>
        <v>-1654.32</v>
      </c>
      <c r="H30" s="215" t="str">
        <f aca="false">IF('Debt Tracker'!G15="Yes","Paid Off",IF(D25&lt;=0.01,"Zero","Active"))</f>
        <v>Active</v>
      </c>
    </row>
    <row r="31" customFormat="false" ht="18" hidden="false" customHeight="true" outlineLevel="0" collapsed="false">
      <c r="A31" s="51" t="n">
        <v>12</v>
      </c>
      <c r="B31" s="207" t="str">
        <f aca="false">'Debt Tracker'!B16</f>
        <v>Credit One Bank</v>
      </c>
      <c r="C31" s="208" t="n">
        <f aca="false">'Debt Tracker'!D16</f>
        <v>0.2799</v>
      </c>
      <c r="D31" s="128" t="n">
        <f aca="false">'Debt Tracker'!L16</f>
        <v>291.75</v>
      </c>
      <c r="E31" s="128" t="n">
        <f aca="false">'Debt Tracker'!M16</f>
        <v>8.25</v>
      </c>
      <c r="F31" s="209" t="n">
        <f aca="false">IF(D26&lt;=0.01,"—",IFERROR(IF(E26&lt;=D26*C26/12,"⚠ NEVER",CEILING(NPER(C26/12,-E26,D26),1)),"—"))</f>
        <v>46</v>
      </c>
      <c r="G31" s="128" t="n">
        <f aca="false">IFERROR(IF(D26&lt;=0.01,0,IF(E26&lt;=D26*C26/12,"—",(E26*F26)-D26)),"—")</f>
        <v>1133.91</v>
      </c>
      <c r="H31" s="210" t="str">
        <f aca="false">IF('Debt Tracker'!G16="Yes","Paid Off",IF(D26&lt;=0.01,"Zero","Active"))</f>
        <v>Active</v>
      </c>
    </row>
    <row r="32" customFormat="false" ht="18" hidden="false" customHeight="true" outlineLevel="0" collapsed="false">
      <c r="A32" s="57" t="n">
        <v>13</v>
      </c>
      <c r="B32" s="211" t="str">
        <f aca="false">'Debt Tracker'!B18</f>
        <v>PayPal Credit (Hannah) / Synchrony</v>
      </c>
      <c r="C32" s="212" t="n">
        <f aca="false">'Debt Tracker'!D18</f>
        <v>0.2749</v>
      </c>
      <c r="D32" s="213" t="n">
        <f aca="false">'Debt Tracker'!L18</f>
        <v>3116.13</v>
      </c>
      <c r="E32" s="213" t="n">
        <f aca="false">'Debt Tracker'!M18</f>
        <v>99</v>
      </c>
      <c r="F32" s="214" t="n">
        <f aca="false">IF(D27&lt;=0.01,"—",IFERROR(IF(E27&lt;=D27*C27/12,"⚠ NEVER",CEILING(NPER(C27/12,-E27,D27),1)),"—"))</f>
        <v>26</v>
      </c>
      <c r="G32" s="213" t="str">
        <f aca="false">IFERROR(IF(D27&lt;=0.01,0,IF(E27&lt;=D27*C27/12,"—",(E27*F27)-D27)),"—")</f>
        <v>—</v>
      </c>
      <c r="H32" s="215" t="str">
        <f aca="false">IF('Debt Tracker'!G18="Yes","Paid Off",IF(D27&lt;=0.01,"Zero","Active"))</f>
        <v>Active</v>
      </c>
    </row>
    <row r="33" customFormat="false" ht="18" hidden="false" customHeight="true" outlineLevel="0" collapsed="false">
      <c r="A33" s="51" t="n">
        <v>14</v>
      </c>
      <c r="B33" s="207" t="str">
        <f aca="false">'Debt Tracker'!B17</f>
        <v>PayPal Credit (Brad) / Synchrony</v>
      </c>
      <c r="C33" s="208" t="n">
        <f aca="false">'Debt Tracker'!D17</f>
        <v>0.2749</v>
      </c>
      <c r="D33" s="128" t="n">
        <f aca="false">'Debt Tracker'!L17</f>
        <v>1254.15</v>
      </c>
      <c r="E33" s="128" t="n">
        <f aca="false">'Debt Tracker'!M17</f>
        <v>44</v>
      </c>
      <c r="F33" s="209" t="n">
        <f aca="false">IF(D28&lt;=0.01,"—",IFERROR(IF(E28&lt;=D28*C28/12,"⚠ NEVER",CEILING(NPER(C28/12,-E28,D28),1)),"—"))</f>
        <v>53</v>
      </c>
      <c r="G33" s="128" t="n">
        <f aca="false">IFERROR(IF(D28&lt;=0.01,0,IF(E28&lt;=D28*C28/12,"—",(E28*F28)-D28)),"—")</f>
        <v>536.36</v>
      </c>
      <c r="H33" s="210" t="str">
        <f aca="false">IF('Debt Tracker'!G17="Yes","Paid Off",IF(D28&lt;=0.01,"Zero","Active"))</f>
        <v>Active</v>
      </c>
    </row>
    <row r="34" customFormat="false" ht="18" hidden="false" customHeight="true" outlineLevel="0" collapsed="false">
      <c r="A34" s="57" t="n">
        <v>15</v>
      </c>
      <c r="B34" s="211" t="str">
        <f aca="false">'Debt Tracker'!B19</f>
        <v>Affirm — Shady Rays</v>
      </c>
      <c r="C34" s="212" t="n">
        <f aca="false">'Debt Tracker'!D19</f>
        <v>0.2697</v>
      </c>
      <c r="D34" s="213" t="n">
        <f aca="false">'Debt Tracker'!L19</f>
        <v>114.71</v>
      </c>
      <c r="E34" s="213" t="n">
        <f aca="false">'Debt Tracker'!M19</f>
        <v>19.11</v>
      </c>
      <c r="F34" s="214" t="n">
        <f aca="false">IF(D29&lt;=0.01,"—",IFERROR(IF(E29&lt;=D29*C29/12,"⚠ NEVER",CEILING(NPER(C29/12,-E29,D29),1)),"—"))</f>
        <v>19</v>
      </c>
      <c r="G34" s="213" t="n">
        <f aca="false">IFERROR(IF(D29&lt;=0.01,0,IF(E29&lt;=D29*C29/12,"—",(E29*F29)-D29)),"—")</f>
        <v>2031.14</v>
      </c>
      <c r="H34" s="215" t="str">
        <f aca="false">IF('Debt Tracker'!G19="Yes","Paid Off",IF(D29&lt;=0.01,"Zero","Active"))</f>
        <v>Active</v>
      </c>
    </row>
    <row r="35" customFormat="false" ht="18" hidden="false" customHeight="true" outlineLevel="0" collapsed="false">
      <c r="A35" s="51" t="n">
        <v>16</v>
      </c>
      <c r="B35" s="207" t="str">
        <f aca="false">'Debt Tracker'!B20</f>
        <v>Amex Blue Cash Preferred</v>
      </c>
      <c r="C35" s="208" t="n">
        <f aca="false">'Debt Tracker'!D20</f>
        <v>0.2649</v>
      </c>
      <c r="D35" s="128" t="n">
        <f aca="false">'Debt Tracker'!L20</f>
        <v>1015.61</v>
      </c>
      <c r="E35" s="128" t="n">
        <f aca="false">'Debt Tracker'!M20</f>
        <v>40</v>
      </c>
      <c r="F35" s="209" t="n">
        <f aca="false">IF(D30&lt;=0.01,"—",IFERROR(IF(E30&lt;=D30*C30/12,"⚠ NEVER",CEILING(NPER(C30/12,-E30,D30),1)),"—"))</f>
        <v>51</v>
      </c>
      <c r="G35" s="128" t="n">
        <f aca="false">IFERROR(IF(D30&lt;=0.01,0,IF(E30&lt;=D30*C30/12,"—",(E30*F30)-D30)),"—")</f>
        <v>1971</v>
      </c>
      <c r="H35" s="210" t="str">
        <f aca="false">IF('Debt Tracker'!G20="Yes","Paid Off",IF(D30&lt;=0.01,"Zero","Active"))</f>
        <v>Active</v>
      </c>
    </row>
    <row r="36" customFormat="false" ht="18" hidden="false" customHeight="true" outlineLevel="0" collapsed="false">
      <c r="A36" s="57" t="n">
        <v>17</v>
      </c>
      <c r="B36" s="211" t="str">
        <f aca="false">'Debt Tracker'!B21</f>
        <v>Chase Amazon Prime Visa</v>
      </c>
      <c r="C36" s="212" t="n">
        <f aca="false">'Debt Tracker'!D21</f>
        <v>0.2649</v>
      </c>
      <c r="D36" s="213" t="n">
        <f aca="false">'Debt Tracker'!L21</f>
        <v>220.11</v>
      </c>
      <c r="E36" s="213" t="n">
        <f aca="false">'Debt Tracker'!M21</f>
        <v>53.99</v>
      </c>
      <c r="F36" s="214" t="n">
        <f aca="false">IF(D31&lt;=0.01,"—",IFERROR(IF(E31&lt;=D31*C31/12,"⚠ NEVER",CEILING(NPER(C31/12,-E31,D31),1)),"—"))</f>
        <v>76</v>
      </c>
      <c r="G36" s="213" t="n">
        <f aca="false">IFERROR(IF(D31&lt;=0.01,0,IF(E31&lt;=D31*C31/12,"—",(E31*F31)-D31)),"—")</f>
        <v>87.75</v>
      </c>
      <c r="H36" s="215" t="str">
        <f aca="false">IF('Debt Tracker'!G21="Yes","Paid Off",IF(D31&lt;=0.01,"Zero","Active"))</f>
        <v>Active</v>
      </c>
    </row>
    <row r="37" customFormat="false" ht="18" hidden="false" customHeight="true" outlineLevel="0" collapsed="false">
      <c r="A37" s="51" t="n">
        <v>18</v>
      </c>
      <c r="B37" s="207" t="str">
        <f aca="false">'Debt Tracker'!B22</f>
        <v>Apple Card (Goldman Sachs)</v>
      </c>
      <c r="C37" s="208" t="n">
        <f aca="false">'Debt Tracker'!D22</f>
        <v>0.2549</v>
      </c>
      <c r="D37" s="128" t="n">
        <f aca="false">'Debt Tracker'!L22</f>
        <v>7250.07</v>
      </c>
      <c r="E37" s="128" t="n">
        <f aca="false">'Debt Tracker'!M22</f>
        <v>265.5</v>
      </c>
      <c r="F37" s="209" t="n">
        <f aca="false">IF(D32&lt;=0.01,"—",IFERROR(IF(E32&lt;=D32*C32/12,"⚠ NEVER",CEILING(NPER(C32/12,-E32,D32),1)),"—"))</f>
        <v>57</v>
      </c>
      <c r="G37" s="128" t="n">
        <f aca="false">IFERROR(IF(D32&lt;=0.01,0,IF(E32&lt;=D32*C32/12,"—",(E32*F32)-D32)),"—")</f>
        <v>-542.13</v>
      </c>
      <c r="H37" s="210" t="str">
        <f aca="false">IF('Debt Tracker'!G22="Yes","Paid Off",IF(D32&lt;=0.01,"Zero","Active"))</f>
        <v>Active</v>
      </c>
    </row>
    <row r="38" customFormat="false" ht="18" hidden="false" customHeight="true" outlineLevel="0" collapsed="false">
      <c r="A38" s="57" t="n">
        <v>19</v>
      </c>
      <c r="B38" s="211" t="str">
        <f aca="false">'Debt Tracker'!B23</f>
        <v>Upstart Loan</v>
      </c>
      <c r="C38" s="212" t="n">
        <f aca="false">'Debt Tracker'!D23</f>
        <v>0.18</v>
      </c>
      <c r="D38" s="213" t="n">
        <f aca="false">'Debt Tracker'!L23</f>
        <v>30690.83</v>
      </c>
      <c r="E38" s="213" t="n">
        <f aca="false">'Debt Tracker'!M23</f>
        <v>1309.17</v>
      </c>
      <c r="F38" s="214" t="n">
        <f aca="false">IF(D33&lt;=0.01,"—",IFERROR(IF(E33&lt;=D33*C33/12,"⚠ NEVER",CEILING(NPER(C33/12,-E33,D33),1)),"—"))</f>
        <v>47</v>
      </c>
      <c r="G38" s="213" t="n">
        <f aca="false">IFERROR(IF(D33&lt;=0.01,0,IF(E33&lt;=D33*C33/12,"—",(E33*F33)-D33)),"—")</f>
        <v>1077.85</v>
      </c>
      <c r="H38" s="215" t="str">
        <f aca="false">IF('Debt Tracker'!G23="Yes","Paid Off",IF(D33&lt;=0.01,"Zero","Active"))</f>
        <v>Active</v>
      </c>
    </row>
    <row r="39" customFormat="false" ht="18" hidden="false" customHeight="true" outlineLevel="0" collapsed="false">
      <c r="A39" s="51" t="n">
        <v>20</v>
      </c>
      <c r="B39" s="207" t="str">
        <f aca="false">'Debt Tracker'!B24</f>
        <v>Affirm — Tonal</v>
      </c>
      <c r="C39" s="208" t="n">
        <f aca="false">'Debt Tracker'!D24</f>
        <v>0.15</v>
      </c>
      <c r="D39" s="128" t="n">
        <f aca="false">'Debt Tracker'!L24</f>
        <v>4045.32</v>
      </c>
      <c r="E39" s="128" t="n">
        <f aca="false">'Debt Tracker'!M24</f>
        <v>139.5</v>
      </c>
      <c r="F39" s="209" t="n">
        <f aca="false">IF(D34&lt;=0.01,"—",IFERROR(IF(E34&lt;=D34*C34/12,"⚠ NEVER",CEILING(NPER(C34/12,-E34,D34),1)),"—"))</f>
        <v>7</v>
      </c>
      <c r="G39" s="128" t="n">
        <f aca="false">IFERROR(IF(D34&lt;=0.01,0,IF(E34&lt;=D34*C34/12,"—",(E34*F34)-D34)),"—")</f>
        <v>248.38</v>
      </c>
      <c r="H39" s="210" t="str">
        <f aca="false">IF('Debt Tracker'!G24="Yes","Paid Off",IF(D34&lt;=0.01,"Zero","Active"))</f>
        <v>Active</v>
      </c>
    </row>
    <row r="40" customFormat="false" ht="21.75" hidden="false" customHeight="true" outlineLevel="0" collapsed="false">
      <c r="A40" s="57" t="n">
        <v>21</v>
      </c>
      <c r="B40" s="211" t="str">
        <f aca="false">'Debt Tracker'!B25</f>
        <v>Affirm — Peloton</v>
      </c>
      <c r="C40" s="212" t="n">
        <f aca="false">'Debt Tracker'!D25</f>
        <v>0.15</v>
      </c>
      <c r="D40" s="213" t="n">
        <f aca="false">'Debt Tracker'!L25</f>
        <v>3446.11</v>
      </c>
      <c r="E40" s="213" t="n">
        <f aca="false">'Debt Tracker'!M25</f>
        <v>107.75</v>
      </c>
      <c r="F40" s="214" t="n">
        <f aca="false">IF(D35&lt;=0.01,"—",IFERROR(IF(E35&lt;=D35*C35/12,"⚠ NEVER",CEILING(NPER(C35/12,-E35,D35),1)),"—"))</f>
        <v>38</v>
      </c>
      <c r="G40" s="213" t="n">
        <f aca="false">IFERROR(IF(D35&lt;=0.01,0,IF(E35&lt;=D35*C35/12,"—",(E35*F35)-D35)),"—")</f>
        <v>1024.39</v>
      </c>
      <c r="H40" s="215" t="str">
        <f aca="false">IF('Debt Tracker'!G25="Yes","Paid Off",IF(D35&lt;=0.01,"Zero","Active"))</f>
        <v>Active</v>
      </c>
    </row>
    <row r="41" customFormat="false" ht="15" hidden="false" customHeight="true" outlineLevel="0" collapsed="false">
      <c r="A41" s="51" t="n">
        <v>22</v>
      </c>
      <c r="B41" s="207" t="str">
        <f aca="false">'Debt Tracker'!B26</f>
        <v>Affirm — Amazon</v>
      </c>
      <c r="C41" s="208" t="n">
        <f aca="false">'Debt Tracker'!D26</f>
        <v>0.15</v>
      </c>
      <c r="D41" s="128" t="n">
        <f aca="false">'Debt Tracker'!L26</f>
        <v>1002.44</v>
      </c>
      <c r="E41" s="128" t="n">
        <f aca="false">'Debt Tracker'!M26</f>
        <v>66.93</v>
      </c>
      <c r="F41" s="209" t="n">
        <f aca="false">IF(D36&lt;=0.01,"—",IFERROR(IF(E36&lt;=D36*C36/12,"⚠ NEVER",CEILING(NPER(C36/12,-E36,D36),1)),"—"))</f>
        <v>5</v>
      </c>
      <c r="G41" s="128" t="n">
        <f aca="false">IFERROR(IF(D36&lt;=0.01,0,IF(E36&lt;=D36*C36/12,"—",(E36*F36)-D36)),"—")</f>
        <v>3883.13</v>
      </c>
      <c r="H41" s="210" t="str">
        <f aca="false">IF('Debt Tracker'!G26="Yes","Paid Off",IF(D36&lt;=0.01,"Zero","Active"))</f>
        <v>Active</v>
      </c>
    </row>
    <row r="42" customFormat="false" ht="25.5" hidden="false" customHeight="true" outlineLevel="0" collapsed="false">
      <c r="A42" s="216" t="n">
        <v>23</v>
      </c>
      <c r="B42" s="216"/>
      <c r="C42" s="216"/>
      <c r="D42" s="216"/>
      <c r="E42" s="216"/>
      <c r="F42" s="216"/>
      <c r="G42" s="216"/>
      <c r="H42" s="216"/>
    </row>
    <row r="43" customFormat="false" ht="24" hidden="false" customHeight="true" outlineLevel="0" collapsed="false">
      <c r="A43" s="51" t="n">
        <v>24</v>
      </c>
      <c r="B43" s="207" t="str">
        <f aca="false">'Debt Tracker'!B29</f>
        <v>Affirm — Target</v>
      </c>
      <c r="C43" s="208" t="n">
        <f aca="false">'Debt Tracker'!D29</f>
        <v>0</v>
      </c>
      <c r="D43" s="128" t="n">
        <f aca="false">'Debt Tracker'!L29</f>
        <v>163.09</v>
      </c>
      <c r="E43" s="128" t="n">
        <f aca="false">'Debt Tracker'!M29</f>
        <v>20.38</v>
      </c>
      <c r="F43" s="209" t="n">
        <f aca="false">IF(D38&lt;=0.01,"—",IFERROR(IF(E38&lt;=D38*C38/12,"⚠ NEVER",CEILING(NPER(C38/12,-E38,D38),1)),"—"))</f>
        <v>30</v>
      </c>
      <c r="G43" s="128" t="n">
        <f aca="false">IFERROR(IF(D38&lt;=0.01,0,IF(E38&lt;=D38*C38/12,"—",(E38*F38)-D38)),"—")</f>
        <v>30840.16</v>
      </c>
      <c r="H43" s="210" t="str">
        <f aca="false">IF('Debt Tracker'!G29="Yes","Paid Off",IF(D38&lt;=0.01,"Zero","Active"))</f>
        <v>Active</v>
      </c>
    </row>
    <row r="44" customFormat="false" ht="19.5" hidden="false" customHeight="true" outlineLevel="0" collapsed="false">
      <c r="A44" s="57" t="n">
        <v>25</v>
      </c>
      <c r="B44" s="211" t="str">
        <f aca="false">'Debt Tracker'!B28</f>
        <v>Affirm — Shokz</v>
      </c>
      <c r="C44" s="212" t="n">
        <f aca="false">'Debt Tracker'!D28</f>
        <v>0</v>
      </c>
      <c r="D44" s="213" t="n">
        <f aca="false">'Debt Tracker'!L28</f>
        <v>163.92</v>
      </c>
      <c r="E44" s="213" t="n">
        <f aca="false">'Debt Tracker'!M28</f>
        <v>18.22</v>
      </c>
      <c r="F44" s="214" t="n">
        <f aca="false">IF(D39&lt;=0.01,"—",IFERROR(IF(E39&lt;=D39*C39/12,"⚠ NEVER",CEILING(NPER(C39/12,-E39,D39),1)),"—"))</f>
        <v>37</v>
      </c>
      <c r="G44" s="213" t="n">
        <f aca="false">IFERROR(IF(D39&lt;=0.01,0,IF(E39&lt;=D39*C39/12,"—",(E39*F39)-D39)),"—")</f>
        <v>-3068.82</v>
      </c>
      <c r="H44" s="215" t="str">
        <f aca="false">IF('Debt Tracker'!G28="Yes","Paid Off",IF(D39&lt;=0.01,"Zero","Active"))</f>
        <v>Active</v>
      </c>
    </row>
    <row r="45" customFormat="false" ht="19.5" hidden="false" customHeight="true" outlineLevel="0" collapsed="false">
      <c r="A45" s="217"/>
      <c r="B45" s="218" t="s">
        <v>410</v>
      </c>
      <c r="C45" s="217"/>
      <c r="D45" s="219" t="n">
        <f aca="false">SUM(D15:D39)</f>
        <v>212003.67</v>
      </c>
      <c r="E45" s="219" t="n">
        <f aca="false">SUM(E15:E39)</f>
        <v>3048.94</v>
      </c>
      <c r="F45" s="217"/>
      <c r="G45" s="217"/>
      <c r="H45" s="217"/>
    </row>
    <row r="46" customFormat="false" ht="19.5" hidden="false" customHeight="true" outlineLevel="0" collapsed="false"/>
    <row r="47" customFormat="false" ht="19.5" hidden="false" customHeight="true" outlineLevel="0" collapsed="false">
      <c r="A47" s="220" t="s">
        <v>466</v>
      </c>
    </row>
    <row r="48" customFormat="false" ht="19.5" hidden="false" customHeight="true" outlineLevel="0" collapsed="false">
      <c r="A48" s="42" t="s">
        <v>462</v>
      </c>
      <c r="B48" s="42" t="s">
        <v>129</v>
      </c>
      <c r="C48" s="42" t="s">
        <v>136</v>
      </c>
      <c r="D48" s="43" t="s">
        <v>467</v>
      </c>
      <c r="E48" s="44" t="s">
        <v>338</v>
      </c>
      <c r="F48" s="44" t="s">
        <v>468</v>
      </c>
      <c r="G48" s="44" t="s">
        <v>318</v>
      </c>
      <c r="H48" s="44" t="s">
        <v>469</v>
      </c>
    </row>
    <row r="49" customFormat="false" ht="19.5" hidden="false" customHeight="true" outlineLevel="0" collapsed="false">
      <c r="A49" s="221" t="n">
        <v>1</v>
      </c>
      <c r="B49" s="222" t="n">
        <v>46143</v>
      </c>
      <c r="C49" s="223" t="s">
        <v>470</v>
      </c>
      <c r="D49" s="224" t="s">
        <v>56</v>
      </c>
      <c r="E49" s="225" t="n">
        <v>0.3499</v>
      </c>
      <c r="F49" s="49" t="n">
        <v>129</v>
      </c>
      <c r="G49" s="226" t="n">
        <v>129</v>
      </c>
      <c r="H49" s="227" t="n">
        <v>4818.90192925</v>
      </c>
    </row>
    <row r="50" customFormat="false" ht="19.5" hidden="false" customHeight="true" outlineLevel="0" collapsed="false">
      <c r="A50" s="228" t="n">
        <v>2</v>
      </c>
      <c r="B50" s="229" t="n">
        <v>46174</v>
      </c>
      <c r="C50" s="79" t="s">
        <v>471</v>
      </c>
      <c r="D50" s="230" t="s">
        <v>57</v>
      </c>
      <c r="E50" s="202" t="n">
        <v>0.3499</v>
      </c>
      <c r="F50" s="55" t="n">
        <v>33</v>
      </c>
      <c r="G50" s="120" t="n">
        <v>162</v>
      </c>
      <c r="H50" s="128" t="n">
        <v>4111.34898627735</v>
      </c>
    </row>
    <row r="51" customFormat="false" ht="19.5" hidden="false" customHeight="true" outlineLevel="0" collapsed="false">
      <c r="A51" s="231" t="n">
        <v>3</v>
      </c>
      <c r="B51" s="232" t="n">
        <v>46204</v>
      </c>
      <c r="C51" s="233" t="s">
        <v>472</v>
      </c>
      <c r="D51" s="234" t="s">
        <v>58</v>
      </c>
      <c r="E51" s="235" t="n">
        <v>0.2999</v>
      </c>
      <c r="F51" s="61" t="n">
        <v>29</v>
      </c>
      <c r="G51" s="236" t="n">
        <v>191</v>
      </c>
      <c r="H51" s="213" t="n">
        <v>4359.28484358757</v>
      </c>
    </row>
    <row r="52" customFormat="false" ht="19.5" hidden="false" customHeight="true" outlineLevel="0" collapsed="false">
      <c r="A52" s="228" t="n">
        <v>4</v>
      </c>
      <c r="B52" s="229" t="n">
        <v>46266</v>
      </c>
      <c r="C52" s="79" t="s">
        <v>473</v>
      </c>
      <c r="D52" s="230" t="s">
        <v>79</v>
      </c>
      <c r="E52" s="202" t="n">
        <v>0.2874</v>
      </c>
      <c r="F52" s="55" t="n">
        <v>200</v>
      </c>
      <c r="G52" s="120" t="n">
        <v>391</v>
      </c>
      <c r="H52" s="128" t="n">
        <v>5003.34193573163</v>
      </c>
    </row>
    <row r="53" customFormat="false" ht="19.5" hidden="false" customHeight="true" outlineLevel="0" collapsed="false">
      <c r="A53" s="231" t="n">
        <v>5</v>
      </c>
      <c r="B53" s="232" t="n">
        <v>46327</v>
      </c>
      <c r="C53" s="233" t="s">
        <v>474</v>
      </c>
      <c r="D53" s="234" t="s">
        <v>85</v>
      </c>
      <c r="E53" s="235" t="n">
        <v>0.2849</v>
      </c>
      <c r="F53" s="61" t="n">
        <v>205.87</v>
      </c>
      <c r="G53" s="236" t="n">
        <v>596.87</v>
      </c>
      <c r="H53" s="213" t="n">
        <v>6011.50783394345</v>
      </c>
    </row>
    <row r="54" customFormat="false" ht="19.5" hidden="false" customHeight="true" outlineLevel="0" collapsed="false">
      <c r="A54" s="228" t="n">
        <v>6</v>
      </c>
      <c r="B54" s="229" t="n">
        <v>46327</v>
      </c>
      <c r="C54" s="79" t="s">
        <v>474</v>
      </c>
      <c r="D54" s="230" t="s">
        <v>50</v>
      </c>
      <c r="E54" s="202" t="n">
        <v>0.2697</v>
      </c>
      <c r="F54" s="55" t="n">
        <v>19.11</v>
      </c>
      <c r="G54" s="120" t="n">
        <v>615.98</v>
      </c>
      <c r="H54" s="128" t="n">
        <v>6011.50783394345</v>
      </c>
    </row>
    <row r="55" customFormat="false" ht="19.5" hidden="false" customHeight="true" outlineLevel="0" collapsed="false">
      <c r="A55" s="231" t="n">
        <v>7</v>
      </c>
      <c r="B55" s="232" t="n">
        <v>46357</v>
      </c>
      <c r="C55" s="233" t="s">
        <v>475</v>
      </c>
      <c r="D55" s="234" t="s">
        <v>91</v>
      </c>
      <c r="E55" s="235" t="n">
        <v>0.2849</v>
      </c>
      <c r="F55" s="61" t="n">
        <v>92</v>
      </c>
      <c r="G55" s="236" t="n">
        <v>707.98</v>
      </c>
      <c r="H55" s="213" t="n">
        <v>5229.98982719836</v>
      </c>
    </row>
    <row r="56" customFormat="false" ht="19.5" hidden="false" customHeight="true" outlineLevel="0" collapsed="false">
      <c r="A56" s="228" t="n">
        <v>8</v>
      </c>
      <c r="B56" s="229" t="n">
        <v>46388</v>
      </c>
      <c r="C56" s="79" t="s">
        <v>476</v>
      </c>
      <c r="D56" s="230" t="s">
        <v>63</v>
      </c>
      <c r="E56" s="202" t="n">
        <v>0.2849</v>
      </c>
      <c r="F56" s="55" t="n">
        <v>40</v>
      </c>
      <c r="G56" s="120" t="n">
        <v>747.98</v>
      </c>
      <c r="H56" s="128" t="n">
        <v>3950.81593027768</v>
      </c>
    </row>
    <row r="57" customFormat="false" ht="19.5" hidden="false" customHeight="true" outlineLevel="0" collapsed="false">
      <c r="A57" s="231" t="n">
        <v>9</v>
      </c>
      <c r="B57" s="232" t="n">
        <v>46419</v>
      </c>
      <c r="C57" s="233" t="s">
        <v>477</v>
      </c>
      <c r="D57" s="234" t="s">
        <v>64</v>
      </c>
      <c r="E57" s="235" t="n">
        <v>0.2832</v>
      </c>
      <c r="F57" s="61" t="n">
        <v>151.01</v>
      </c>
      <c r="G57" s="236" t="n">
        <v>898.99</v>
      </c>
      <c r="H57" s="213" t="n">
        <v>4660.45339447915</v>
      </c>
    </row>
    <row r="58" customFormat="false" ht="19.5" hidden="false" customHeight="true" outlineLevel="0" collapsed="false">
      <c r="A58" s="228" t="n">
        <v>10</v>
      </c>
      <c r="B58" s="229" t="n">
        <v>46419</v>
      </c>
      <c r="C58" s="79" t="s">
        <v>477</v>
      </c>
      <c r="D58" s="230" t="s">
        <v>51</v>
      </c>
      <c r="E58" s="202" t="n">
        <v>0.15</v>
      </c>
      <c r="F58" s="55" t="n">
        <v>56.02</v>
      </c>
      <c r="G58" s="120" t="n">
        <v>955.01</v>
      </c>
      <c r="H58" s="128" t="n">
        <v>4660.45339447915</v>
      </c>
    </row>
    <row r="59" customFormat="false" ht="19.5" hidden="false" customHeight="true" outlineLevel="0" collapsed="false">
      <c r="A59" s="231" t="n">
        <v>11</v>
      </c>
      <c r="B59" s="232" t="n">
        <v>46419</v>
      </c>
      <c r="C59" s="233" t="s">
        <v>477</v>
      </c>
      <c r="D59" s="234" t="s">
        <v>52</v>
      </c>
      <c r="E59" s="235" t="n">
        <v>0</v>
      </c>
      <c r="F59" s="61" t="n">
        <v>20.38</v>
      </c>
      <c r="G59" s="236" t="n">
        <v>975.39</v>
      </c>
      <c r="H59" s="213" t="n">
        <v>4660.45339447915</v>
      </c>
    </row>
    <row r="60" customFormat="false" ht="19.5" hidden="false" customHeight="true" outlineLevel="0" collapsed="false">
      <c r="A60" s="228" t="n">
        <v>12</v>
      </c>
      <c r="B60" s="229" t="n">
        <v>46419</v>
      </c>
      <c r="C60" s="79" t="s">
        <v>477</v>
      </c>
      <c r="D60" s="230" t="s">
        <v>77</v>
      </c>
      <c r="E60" s="202" t="n">
        <v>0</v>
      </c>
      <c r="F60" s="55" t="n">
        <v>18.22</v>
      </c>
      <c r="G60" s="120" t="n">
        <v>993.61</v>
      </c>
      <c r="H60" s="128" t="n">
        <v>4660.45339447915</v>
      </c>
    </row>
    <row r="61" customFormat="false" ht="19.5" hidden="false" customHeight="true" outlineLevel="0" collapsed="false">
      <c r="A61" s="231" t="n">
        <v>13</v>
      </c>
      <c r="B61" s="232" t="n">
        <v>46447</v>
      </c>
      <c r="C61" s="233" t="s">
        <v>478</v>
      </c>
      <c r="D61" s="234" t="s">
        <v>65</v>
      </c>
      <c r="E61" s="235" t="n">
        <v>0.2824</v>
      </c>
      <c r="F61" s="61" t="n">
        <v>38</v>
      </c>
      <c r="G61" s="236" t="n">
        <v>1031.61</v>
      </c>
      <c r="H61" s="213" t="n">
        <v>3364.48962324343</v>
      </c>
    </row>
    <row r="62" customFormat="false" ht="19.5" hidden="false" customHeight="true" outlineLevel="0" collapsed="false">
      <c r="A62" s="228" t="n">
        <v>14</v>
      </c>
      <c r="B62" s="229" t="n">
        <v>46478</v>
      </c>
      <c r="C62" s="79" t="s">
        <v>479</v>
      </c>
      <c r="D62" s="230" t="s">
        <v>81</v>
      </c>
      <c r="E62" s="202" t="n">
        <v>0.2817</v>
      </c>
      <c r="F62" s="55" t="n">
        <v>72.54</v>
      </c>
      <c r="G62" s="120" t="n">
        <v>1104.15</v>
      </c>
      <c r="H62" s="128" t="n">
        <v>2827.74711396399</v>
      </c>
    </row>
    <row r="63" customFormat="false" ht="19.5" hidden="false" customHeight="true" outlineLevel="0" collapsed="false">
      <c r="A63" s="231" t="n">
        <v>15</v>
      </c>
      <c r="B63" s="232" t="n">
        <v>46508</v>
      </c>
      <c r="C63" s="233" t="s">
        <v>480</v>
      </c>
      <c r="D63" s="234" t="s">
        <v>87</v>
      </c>
      <c r="E63" s="235" t="n">
        <v>0.2799</v>
      </c>
      <c r="F63" s="61" t="n">
        <v>80</v>
      </c>
      <c r="G63" s="236" t="n">
        <v>1184.15</v>
      </c>
      <c r="H63" s="213" t="n">
        <v>4737.28943948469</v>
      </c>
    </row>
    <row r="64" customFormat="false" ht="19.5" hidden="false" customHeight="true" outlineLevel="0" collapsed="false">
      <c r="A64" s="228" t="n">
        <v>16</v>
      </c>
      <c r="B64" s="229" t="n">
        <v>46539</v>
      </c>
      <c r="C64" s="79" t="s">
        <v>481</v>
      </c>
      <c r="D64" s="230" t="s">
        <v>93</v>
      </c>
      <c r="E64" s="202" t="n">
        <v>0.2799</v>
      </c>
      <c r="F64" s="55" t="n">
        <v>8.25</v>
      </c>
      <c r="G64" s="120" t="n">
        <v>1192.4</v>
      </c>
      <c r="H64" s="128" t="n">
        <v>2413.63175528358</v>
      </c>
    </row>
    <row r="65" customFormat="false" ht="19.5" hidden="false" customHeight="true" outlineLevel="0" collapsed="false">
      <c r="A65" s="231" t="n">
        <v>17</v>
      </c>
      <c r="B65" s="232" t="n">
        <v>46569</v>
      </c>
      <c r="C65" s="233" t="s">
        <v>482</v>
      </c>
      <c r="D65" s="234" t="s">
        <v>98</v>
      </c>
      <c r="E65" s="235" t="n">
        <v>0.2749</v>
      </c>
      <c r="F65" s="61" t="n">
        <v>99</v>
      </c>
      <c r="G65" s="236" t="n">
        <v>1291.4</v>
      </c>
      <c r="H65" s="213" t="n">
        <v>4714.4856583083</v>
      </c>
    </row>
    <row r="66" customFormat="false" ht="19.5" hidden="false" customHeight="true" outlineLevel="0" collapsed="false">
      <c r="A66" s="228" t="n">
        <v>18</v>
      </c>
      <c r="B66" s="229" t="n">
        <v>46569</v>
      </c>
      <c r="C66" s="79" t="s">
        <v>482</v>
      </c>
      <c r="D66" s="230" t="s">
        <v>89</v>
      </c>
      <c r="E66" s="202" t="n">
        <v>0.2649</v>
      </c>
      <c r="F66" s="55" t="n">
        <v>53.99</v>
      </c>
      <c r="G66" s="120" t="n">
        <v>1345.39</v>
      </c>
      <c r="H66" s="128" t="n">
        <v>4714.4856583083</v>
      </c>
    </row>
    <row r="67" customFormat="false" ht="19.5" hidden="false" customHeight="true" outlineLevel="0" collapsed="false">
      <c r="A67" s="231" t="n">
        <v>19</v>
      </c>
      <c r="B67" s="232" t="n">
        <v>46600</v>
      </c>
      <c r="C67" s="233" t="s">
        <v>483</v>
      </c>
      <c r="D67" s="234" t="s">
        <v>103</v>
      </c>
      <c r="E67" s="235" t="n">
        <v>0.2749</v>
      </c>
      <c r="F67" s="61" t="n">
        <v>44</v>
      </c>
      <c r="G67" s="236" t="n">
        <v>1389.39</v>
      </c>
      <c r="H67" s="213" t="n">
        <v>3390.12059274307</v>
      </c>
    </row>
    <row r="68" customFormat="false" ht="19.5" hidden="false" customHeight="true" outlineLevel="0" collapsed="false">
      <c r="A68" s="237" t="n">
        <v>20</v>
      </c>
      <c r="B68" s="237"/>
      <c r="C68" s="237"/>
      <c r="D68" s="237"/>
      <c r="E68" s="237"/>
      <c r="F68" s="237"/>
      <c r="G68" s="237"/>
      <c r="H68" s="237"/>
    </row>
    <row r="69" customFormat="false" ht="27.75" hidden="false" customHeight="true" outlineLevel="0" collapsed="false">
      <c r="A69" s="231" t="n">
        <v>21</v>
      </c>
      <c r="B69" s="232" t="n">
        <v>46661</v>
      </c>
      <c r="C69" s="233" t="s">
        <v>484</v>
      </c>
      <c r="D69" s="234" t="s">
        <v>100</v>
      </c>
      <c r="E69" s="235" t="n">
        <v>0.15</v>
      </c>
      <c r="F69" s="61" t="n">
        <v>66.93</v>
      </c>
      <c r="G69" s="236" t="n">
        <v>1496.32</v>
      </c>
      <c r="H69" s="213" t="n">
        <v>6785.99834879977</v>
      </c>
    </row>
    <row r="70" customFormat="false" ht="12" hidden="false" customHeight="true" outlineLevel="0" collapsed="false">
      <c r="A70" s="228" t="n">
        <v>22</v>
      </c>
      <c r="B70" s="229" t="n">
        <v>46692</v>
      </c>
      <c r="C70" s="79" t="s">
        <v>485</v>
      </c>
      <c r="D70" s="230" t="s">
        <v>110</v>
      </c>
      <c r="E70" s="202" t="n">
        <v>0.2549</v>
      </c>
      <c r="F70" s="55" t="n">
        <v>265.5</v>
      </c>
      <c r="G70" s="120" t="n">
        <v>1761.82</v>
      </c>
      <c r="H70" s="128" t="n">
        <v>1828.94683466502</v>
      </c>
    </row>
    <row r="71" customFormat="false" ht="15" hidden="false" customHeight="true" outlineLevel="0" collapsed="false">
      <c r="A71" s="231" t="n">
        <v>23</v>
      </c>
      <c r="B71" s="232" t="n">
        <v>46784</v>
      </c>
      <c r="C71" s="233" t="s">
        <v>486</v>
      </c>
      <c r="D71" s="234" t="s">
        <v>112</v>
      </c>
      <c r="E71" s="235" t="n">
        <v>0.18</v>
      </c>
      <c r="F71" s="61" t="n">
        <v>1309.17</v>
      </c>
      <c r="G71" s="236" t="n">
        <v>3070.99</v>
      </c>
      <c r="H71" s="213" t="n">
        <v>3420.69017773969</v>
      </c>
    </row>
    <row r="72" customFormat="false" ht="15" hidden="false" customHeight="true" outlineLevel="0" collapsed="false">
      <c r="A72" s="228" t="n">
        <v>24</v>
      </c>
      <c r="B72" s="229" t="n">
        <v>46784</v>
      </c>
      <c r="C72" s="79" t="s">
        <v>486</v>
      </c>
      <c r="D72" s="230" t="s">
        <v>114</v>
      </c>
      <c r="E72" s="202" t="n">
        <v>0.15</v>
      </c>
      <c r="F72" s="55" t="n">
        <v>139.5</v>
      </c>
      <c r="G72" s="120" t="n">
        <v>3210.49</v>
      </c>
      <c r="H72" s="128" t="n">
        <v>3420.69017773969</v>
      </c>
    </row>
    <row r="73" customFormat="false" ht="15" hidden="false" customHeight="true" outlineLevel="0" collapsed="false">
      <c r="A73" s="231" t="n">
        <v>25</v>
      </c>
    </row>
    <row r="74" customFormat="false" ht="15" hidden="false" customHeight="true" outlineLevel="0" collapsed="false">
      <c r="A74" s="238" t="s">
        <v>487</v>
      </c>
      <c r="B74" s="239" t="n">
        <v>46813</v>
      </c>
      <c r="C74" s="240"/>
      <c r="D74" s="241" t="s">
        <v>488</v>
      </c>
      <c r="E74" s="240"/>
      <c r="F74" s="240"/>
      <c r="G74" s="242" t="n">
        <v>3318.24</v>
      </c>
      <c r="H74" s="240"/>
    </row>
    <row r="75" customFormat="false" ht="15" hidden="false" customHeight="true" outlineLevel="0" collapsed="false"/>
    <row r="76" customFormat="false" ht="15" hidden="false" customHeight="true" outlineLevel="0" collapsed="false">
      <c r="A76" s="205" t="s">
        <v>489</v>
      </c>
    </row>
    <row r="77" customFormat="false" ht="15" hidden="false" customHeight="true" outlineLevel="0" collapsed="false">
      <c r="A77" s="42" t="s">
        <v>136</v>
      </c>
      <c r="B77" s="42" t="s">
        <v>129</v>
      </c>
      <c r="C77" s="44" t="s">
        <v>490</v>
      </c>
      <c r="D77" s="44" t="s">
        <v>491</v>
      </c>
      <c r="E77" s="44" t="s">
        <v>492</v>
      </c>
      <c r="F77" s="43" t="s">
        <v>493</v>
      </c>
      <c r="G77" s="44" t="s">
        <v>494</v>
      </c>
      <c r="H77" s="42" t="s">
        <v>495</v>
      </c>
    </row>
    <row r="78" customFormat="false" ht="15" hidden="false" customHeight="true" outlineLevel="0" collapsed="false">
      <c r="A78" s="214" t="n">
        <v>1</v>
      </c>
      <c r="B78" s="243" t="n">
        <v>46143</v>
      </c>
      <c r="C78" s="244" t="n">
        <v>1616.89461541667</v>
      </c>
      <c r="D78" s="245" t="n">
        <v>3318.24</v>
      </c>
      <c r="E78" s="246" t="n">
        <v>1500.66192925</v>
      </c>
      <c r="F78" s="247" t="s">
        <v>56</v>
      </c>
      <c r="G78" s="248" t="n">
        <v>81939.6526861667</v>
      </c>
      <c r="H78" s="249" t="n">
        <v>0.037607997234648</v>
      </c>
    </row>
    <row r="79" customFormat="false" ht="15" hidden="false" customHeight="true" outlineLevel="0" collapsed="false">
      <c r="A79" s="209" t="n">
        <v>2</v>
      </c>
      <c r="B79" s="130" t="n">
        <v>46174</v>
      </c>
      <c r="C79" s="250" t="n">
        <v>1543.71726850187</v>
      </c>
      <c r="D79" s="251" t="n">
        <v>3189.24</v>
      </c>
      <c r="E79" s="252" t="n">
        <v>922.108986277349</v>
      </c>
      <c r="F79" s="253" t="s">
        <v>57</v>
      </c>
      <c r="G79" s="254" t="n">
        <v>79372.0209683912</v>
      </c>
      <c r="H79" s="255" t="n">
        <v>0.0677651696197704</v>
      </c>
    </row>
    <row r="80" customFormat="false" ht="15" hidden="false" customHeight="true" outlineLevel="0" collapsed="false">
      <c r="A80" s="214" t="n">
        <v>3</v>
      </c>
      <c r="B80" s="243" t="n">
        <v>46204</v>
      </c>
      <c r="C80" s="244" t="n">
        <v>1489.33643797173</v>
      </c>
      <c r="D80" s="245" t="n">
        <v>3156.24</v>
      </c>
      <c r="E80" s="246" t="n">
        <v>1203.04484358757</v>
      </c>
      <c r="F80" s="247" t="s">
        <v>58</v>
      </c>
      <c r="G80" s="248" t="n">
        <v>76502.0725627753</v>
      </c>
      <c r="H80" s="249" t="n">
        <v>0.101473091283687</v>
      </c>
    </row>
    <row r="81" customFormat="false" ht="15" hidden="false" customHeight="true" outlineLevel="0" collapsed="false">
      <c r="A81" s="209" t="n">
        <v>4</v>
      </c>
      <c r="B81" s="130" t="n">
        <v>46235</v>
      </c>
      <c r="C81" s="250" t="n">
        <v>1431.45732433728</v>
      </c>
      <c r="D81" s="251" t="n">
        <v>3127.24</v>
      </c>
      <c r="E81" s="252" t="n">
        <v>3663.12</v>
      </c>
      <c r="F81" s="253" t="s">
        <v>79</v>
      </c>
      <c r="G81" s="254" t="n">
        <v>71143.1698871126</v>
      </c>
      <c r="H81" s="255" t="n">
        <v>0.164414108356442</v>
      </c>
    </row>
    <row r="82" customFormat="false" ht="15" hidden="false" customHeight="true" outlineLevel="0" collapsed="false">
      <c r="A82" s="214" t="n">
        <v>5</v>
      </c>
      <c r="B82" s="243" t="n">
        <v>46266</v>
      </c>
      <c r="C82" s="244" t="n">
        <v>1315.38402226103</v>
      </c>
      <c r="D82" s="245" t="n">
        <v>3127.24</v>
      </c>
      <c r="E82" s="246" t="n">
        <v>1876.10193573163</v>
      </c>
      <c r="F82" s="247" t="s">
        <v>79</v>
      </c>
      <c r="G82" s="248" t="n">
        <v>67455.211973642</v>
      </c>
      <c r="H82" s="249" t="n">
        <v>0.207729659327267</v>
      </c>
    </row>
    <row r="83" customFormat="false" ht="15" hidden="false" customHeight="true" outlineLevel="0" collapsed="false">
      <c r="A83" s="209" t="n">
        <v>6</v>
      </c>
      <c r="B83" s="130" t="n">
        <v>46296</v>
      </c>
      <c r="C83" s="250" t="n">
        <v>1239.4964800777</v>
      </c>
      <c r="D83" s="251" t="n">
        <v>2927.24</v>
      </c>
      <c r="E83" s="252" t="n">
        <v>3863.12</v>
      </c>
      <c r="F83" s="253" t="s">
        <v>85</v>
      </c>
      <c r="G83" s="254" t="n">
        <v>61904.3484537197</v>
      </c>
      <c r="H83" s="255" t="n">
        <v>0.272925281774871</v>
      </c>
    </row>
    <row r="84" customFormat="false" ht="15" hidden="false" customHeight="true" outlineLevel="0" collapsed="false">
      <c r="A84" s="214" t="n">
        <v>7</v>
      </c>
      <c r="B84" s="243" t="n">
        <v>46327</v>
      </c>
      <c r="C84" s="244" t="n">
        <v>1119.96629044791</v>
      </c>
      <c r="D84" s="245" t="n">
        <v>2918.12517867378</v>
      </c>
      <c r="E84" s="246" t="n">
        <v>3093.38265526967</v>
      </c>
      <c r="F84" s="247" t="s">
        <v>85</v>
      </c>
      <c r="G84" s="248" t="n">
        <v>57012.8069102242</v>
      </c>
      <c r="H84" s="249" t="n">
        <v>0.330377080852967</v>
      </c>
    </row>
    <row r="85" customFormat="false" ht="15" hidden="false" customHeight="true" outlineLevel="0" collapsed="false">
      <c r="A85" s="209" t="n">
        <v>8</v>
      </c>
      <c r="B85" s="130" t="n">
        <v>46357</v>
      </c>
      <c r="C85" s="250" t="n">
        <v>1016.24381914644</v>
      </c>
      <c r="D85" s="251" t="n">
        <v>2702.26</v>
      </c>
      <c r="E85" s="252" t="n">
        <v>2527.72982719836</v>
      </c>
      <c r="F85" s="253" t="s">
        <v>91</v>
      </c>
      <c r="G85" s="254" t="n">
        <v>52799.0609021723</v>
      </c>
      <c r="H85" s="255" t="n">
        <v>0.379868082180072</v>
      </c>
    </row>
    <row r="86" customFormat="false" ht="15" hidden="false" customHeight="true" outlineLevel="0" collapsed="false">
      <c r="A86" s="214" t="n">
        <v>9</v>
      </c>
      <c r="B86" s="243" t="n">
        <v>46388</v>
      </c>
      <c r="C86" s="244" t="n">
        <v>928.768750813564</v>
      </c>
      <c r="D86" s="245" t="n">
        <v>2610.26</v>
      </c>
      <c r="E86" s="246" t="n">
        <v>1340.55593027768</v>
      </c>
      <c r="F86" s="247" t="s">
        <v>63</v>
      </c>
      <c r="G86" s="248" t="n">
        <v>49777.0137227082</v>
      </c>
      <c r="H86" s="249" t="n">
        <v>0.415362423956637</v>
      </c>
    </row>
    <row r="87" customFormat="false" ht="15" hidden="false" customHeight="true" outlineLevel="0" collapsed="false">
      <c r="A87" s="209" t="n">
        <v>10</v>
      </c>
      <c r="B87" s="130" t="n">
        <v>46419</v>
      </c>
      <c r="C87" s="250" t="n">
        <v>869.756879883595</v>
      </c>
      <c r="D87" s="251" t="n">
        <v>2527.9193885519</v>
      </c>
      <c r="E87" s="252" t="n">
        <v>2132.53400592725</v>
      </c>
      <c r="F87" s="253" t="s">
        <v>64</v>
      </c>
      <c r="G87" s="254" t="n">
        <v>45986.3172081126</v>
      </c>
      <c r="H87" s="255" t="n">
        <v>0.459884653316454</v>
      </c>
    </row>
    <row r="88" customFormat="false" ht="15" hidden="false" customHeight="true" outlineLevel="0" collapsed="false">
      <c r="A88" s="214" t="n">
        <v>11</v>
      </c>
      <c r="B88" s="243" t="n">
        <v>46447</v>
      </c>
      <c r="C88" s="244" t="n">
        <v>792.240057842512</v>
      </c>
      <c r="D88" s="245" t="n">
        <v>2324.63</v>
      </c>
      <c r="E88" s="246" t="n">
        <v>1039.85962324343</v>
      </c>
      <c r="F88" s="247" t="s">
        <v>65</v>
      </c>
      <c r="G88" s="248" t="n">
        <v>43414.0676427117</v>
      </c>
      <c r="H88" s="249" t="n">
        <v>0.490096062929573</v>
      </c>
    </row>
    <row r="89" customFormat="false" ht="15" hidden="false" customHeight="true" outlineLevel="0" collapsed="false">
      <c r="A89" s="209" t="n">
        <v>12</v>
      </c>
      <c r="B89" s="130" t="n">
        <v>46478</v>
      </c>
      <c r="C89" s="250" t="n">
        <v>742.908423006378</v>
      </c>
      <c r="D89" s="251" t="n">
        <v>2286.63</v>
      </c>
      <c r="E89" s="252" t="n">
        <v>541.11711396399</v>
      </c>
      <c r="F89" s="253" t="s">
        <v>81</v>
      </c>
      <c r="G89" s="254" t="n">
        <v>41329.2289517541</v>
      </c>
      <c r="H89" s="255" t="n">
        <v>0.51458276768677</v>
      </c>
    </row>
    <row r="90" customFormat="false" ht="15" hidden="false" customHeight="true" outlineLevel="0" collapsed="false">
      <c r="A90" s="214" t="n">
        <v>13</v>
      </c>
      <c r="B90" s="243" t="n">
        <v>46508</v>
      </c>
      <c r="C90" s="244" t="n">
        <v>705.243313668022</v>
      </c>
      <c r="D90" s="245" t="n">
        <v>2214.09</v>
      </c>
      <c r="E90" s="246" t="n">
        <v>2523.19943948469</v>
      </c>
      <c r="F90" s="247" t="s">
        <v>87</v>
      </c>
      <c r="G90" s="248" t="n">
        <v>37297.1828259374</v>
      </c>
      <c r="H90" s="249" t="n">
        <v>0.561939679988182</v>
      </c>
    </row>
    <row r="91" customFormat="false" ht="15" hidden="false" customHeight="true" outlineLevel="0" collapsed="false">
      <c r="A91" s="209" t="n">
        <v>14</v>
      </c>
      <c r="B91" s="130" t="n">
        <v>46539</v>
      </c>
      <c r="C91" s="250" t="n">
        <v>622.411542783122</v>
      </c>
      <c r="D91" s="251" t="n">
        <v>2134.09</v>
      </c>
      <c r="E91" s="252" t="n">
        <v>279.541755283581</v>
      </c>
      <c r="F91" s="253" t="s">
        <v>93</v>
      </c>
      <c r="G91" s="254" t="n">
        <v>35505.9626134369</v>
      </c>
      <c r="H91" s="255" t="n">
        <v>0.582977797080337</v>
      </c>
    </row>
    <row r="92" customFormat="false" ht="15" hidden="false" customHeight="true" outlineLevel="0" collapsed="false">
      <c r="A92" s="214" t="n">
        <v>15</v>
      </c>
      <c r="B92" s="243" t="n">
        <v>46569</v>
      </c>
      <c r="C92" s="244" t="n">
        <v>592.011456740016</v>
      </c>
      <c r="D92" s="245" t="n">
        <v>2086.0698205214</v>
      </c>
      <c r="E92" s="246" t="n">
        <v>2628.4158377869</v>
      </c>
      <c r="F92" s="247" t="s">
        <v>98</v>
      </c>
      <c r="G92" s="248" t="n">
        <v>31383.4884118687</v>
      </c>
      <c r="H92" s="249" t="n">
        <v>0.631396799030361</v>
      </c>
    </row>
    <row r="93" customFormat="false" ht="15" hidden="false" customHeight="true" outlineLevel="0" collapsed="false">
      <c r="A93" s="209" t="n">
        <v>16</v>
      </c>
      <c r="B93" s="130" t="n">
        <v>46600</v>
      </c>
      <c r="C93" s="250" t="n">
        <v>508.447194467244</v>
      </c>
      <c r="D93" s="251" t="n">
        <v>1972.85</v>
      </c>
      <c r="E93" s="252" t="n">
        <v>1417.27059274307</v>
      </c>
      <c r="F93" s="253" t="s">
        <v>103</v>
      </c>
      <c r="G93" s="254" t="n">
        <v>28501.8150135928</v>
      </c>
      <c r="H93" s="255" t="n">
        <v>0.665242432275894</v>
      </c>
    </row>
    <row r="94" customFormat="false" ht="15" hidden="false" customHeight="true" outlineLevel="0" collapsed="false">
      <c r="A94" s="214" t="n">
        <v>17</v>
      </c>
      <c r="B94" s="243" t="n">
        <v>46631</v>
      </c>
      <c r="C94" s="244" t="n">
        <v>453.454274959708</v>
      </c>
      <c r="D94" s="245" t="n">
        <v>1928.85</v>
      </c>
      <c r="E94" s="246" t="n">
        <v>657.660442435689</v>
      </c>
      <c r="F94" s="247" t="s">
        <v>108</v>
      </c>
      <c r="G94" s="248" t="n">
        <v>26368.7588461169</v>
      </c>
      <c r="H94" s="249" t="n">
        <v>0.690295457639458</v>
      </c>
    </row>
    <row r="95" customFormat="false" ht="15" hidden="false" customHeight="true" outlineLevel="0" collapsed="false">
      <c r="A95" s="209" t="n">
        <v>18</v>
      </c>
      <c r="B95" s="130" t="n">
        <v>46661</v>
      </c>
      <c r="C95" s="250" t="n">
        <v>416.31956678754</v>
      </c>
      <c r="D95" s="251" t="n">
        <v>1884.48834879977</v>
      </c>
      <c r="E95" s="252" t="n">
        <v>4901.51</v>
      </c>
      <c r="F95" s="253" t="s">
        <v>110</v>
      </c>
      <c r="G95" s="254" t="n">
        <v>19999.0800641046</v>
      </c>
      <c r="H95" s="255" t="n">
        <v>0.765108173083487</v>
      </c>
    </row>
    <row r="96" customFormat="false" ht="15" hidden="false" customHeight="true" outlineLevel="0" collapsed="false">
      <c r="A96" s="214" t="n">
        <v>19</v>
      </c>
      <c r="B96" s="243" t="n">
        <v>46692</v>
      </c>
      <c r="C96" s="244" t="n">
        <v>289.848348106185</v>
      </c>
      <c r="D96" s="245" t="n">
        <v>1821.92</v>
      </c>
      <c r="E96" s="246" t="n">
        <v>7.02683466502253</v>
      </c>
      <c r="F96" s="247" t="s">
        <v>110</v>
      </c>
      <c r="G96" s="248" t="n">
        <v>18459.9815775458</v>
      </c>
      <c r="H96" s="249" t="n">
        <v>0.783185087329214</v>
      </c>
    </row>
    <row r="97" customFormat="false" ht="303" hidden="false" customHeight="true" outlineLevel="0" collapsed="false">
      <c r="A97" s="209" t="n">
        <v>20</v>
      </c>
      <c r="B97" s="130" t="n">
        <v>46722</v>
      </c>
      <c r="C97" s="250" t="n">
        <v>265.566811462982</v>
      </c>
      <c r="D97" s="251" t="n">
        <v>1556.42</v>
      </c>
      <c r="E97" s="252" t="n">
        <v>5233.94</v>
      </c>
      <c r="F97" s="253" t="s">
        <v>112</v>
      </c>
      <c r="G97" s="254" t="n">
        <v>11935.1883890088</v>
      </c>
      <c r="H97" s="255" t="n">
        <v>0.859819641888486</v>
      </c>
    </row>
    <row r="98" customFormat="false" ht="15" hidden="false" customHeight="true" outlineLevel="0" collapsed="false">
      <c r="A98" s="214" t="n">
        <v>21</v>
      </c>
      <c r="B98" s="243" t="n">
        <v>46753</v>
      </c>
      <c r="C98" s="244" t="n">
        <v>168.171377232425</v>
      </c>
      <c r="D98" s="245" t="n">
        <v>1556.42</v>
      </c>
      <c r="E98" s="246" t="n">
        <v>5233.94</v>
      </c>
      <c r="F98" s="247" t="s">
        <v>112</v>
      </c>
      <c r="G98" s="248" t="n">
        <v>5312.99976624119</v>
      </c>
      <c r="H98" s="249" t="n">
        <v>0.9375981186385</v>
      </c>
    </row>
    <row r="99" customFormat="false" ht="15" hidden="false" customHeight="true" outlineLevel="0" collapsed="false">
      <c r="A99" s="209" t="n">
        <v>22</v>
      </c>
      <c r="B99" s="130" t="n">
        <v>46784</v>
      </c>
      <c r="C99" s="250" t="n">
        <v>69.3209672833771</v>
      </c>
      <c r="D99" s="251" t="n">
        <v>1428.08890337705</v>
      </c>
      <c r="E99" s="252" t="n">
        <v>1992.60127436264</v>
      </c>
      <c r="F99" s="253" t="s">
        <v>114</v>
      </c>
      <c r="G99" s="254" t="n">
        <v>1961.63055578488</v>
      </c>
      <c r="H99" s="255" t="n">
        <v>0.976960391002655</v>
      </c>
    </row>
    <row r="100" customFormat="false" ht="15" hidden="false" customHeight="true" outlineLevel="0" collapsed="false">
      <c r="A100" s="214" t="n">
        <v>23</v>
      </c>
      <c r="B100" s="243" t="n">
        <v>46813</v>
      </c>
      <c r="C100" s="244" t="n">
        <v>24.5203819473109</v>
      </c>
      <c r="D100" s="245" t="n">
        <v>107.75</v>
      </c>
      <c r="E100" s="246" t="n">
        <v>1878.40093773219</v>
      </c>
      <c r="F100" s="247" t="s">
        <v>118</v>
      </c>
      <c r="G100" s="248" t="n">
        <v>0</v>
      </c>
      <c r="H100" s="249" t="n">
        <v>1</v>
      </c>
    </row>
    <row r="102" customFormat="false" ht="303" hidden="false" customHeight="true" outlineLevel="0" collapsed="false">
      <c r="A102" s="256" t="s">
        <v>496</v>
      </c>
    </row>
  </sheetData>
  <mergeCells count="8">
    <mergeCell ref="A1:H1"/>
    <mergeCell ref="F3:H3"/>
    <mergeCell ref="F4:H4"/>
    <mergeCell ref="F5:H5"/>
    <mergeCell ref="A7:H7"/>
    <mergeCell ref="A13:H13"/>
    <mergeCell ref="A42:H42"/>
    <mergeCell ref="A68:H68"/>
  </mergeCells>
  <dataValidations count="1">
    <dataValidation allowBlank="false" errorStyle="stop" operator="between" showDropDown="false" showErrorMessage="false" showInputMessage="false" sqref="C4" type="list">
      <formula1>"Budgeted,Actual"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5" min="3" style="1" width="13"/>
    <col collapsed="false" customWidth="true" hidden="false" outlineLevel="0" max="7" min="6" style="1" width="14"/>
    <col collapsed="false" customWidth="true" hidden="false" outlineLevel="0" max="8" min="8" style="1" width="16"/>
  </cols>
  <sheetData>
    <row r="1" customFormat="false" ht="36" hidden="false" customHeight="true" outlineLevel="0" collapsed="false">
      <c r="A1" s="64" t="s">
        <v>497</v>
      </c>
      <c r="B1" s="64"/>
      <c r="C1" s="64"/>
      <c r="D1" s="64"/>
      <c r="E1" s="64"/>
      <c r="F1" s="64"/>
      <c r="G1" s="64"/>
      <c r="H1" s="64"/>
    </row>
    <row r="3" customFormat="false" ht="24" hidden="false" customHeight="true" outlineLevel="0" collapsed="false">
      <c r="B3" s="30" t="s">
        <v>498</v>
      </c>
      <c r="C3" s="257" t="n">
        <v>23000</v>
      </c>
      <c r="D3" s="182" t="s">
        <v>499</v>
      </c>
    </row>
    <row r="4" customFormat="false" ht="21.75" hidden="false" customHeight="true" outlineLevel="0" collapsed="false">
      <c r="B4" s="30" t="s">
        <v>500</v>
      </c>
      <c r="C4" s="258" t="n">
        <f aca="false">G42</f>
        <v>0</v>
      </c>
    </row>
    <row r="5" customFormat="false" ht="21.75" hidden="false" customHeight="true" outlineLevel="0" collapsed="false">
      <c r="B5" s="30" t="s">
        <v>501</v>
      </c>
      <c r="C5" s="259" t="n">
        <f aca="false">C3-C4</f>
        <v>23000</v>
      </c>
      <c r="D5" s="182" t="s">
        <v>502</v>
      </c>
    </row>
    <row r="7" customFormat="false" ht="24" hidden="false" customHeight="true" outlineLevel="0" collapsed="false">
      <c r="A7" s="187" t="s">
        <v>503</v>
      </c>
      <c r="B7" s="187"/>
      <c r="C7" s="187"/>
      <c r="D7" s="187"/>
      <c r="E7" s="187"/>
      <c r="F7" s="187"/>
      <c r="G7" s="187"/>
      <c r="H7" s="187"/>
    </row>
    <row r="8" customFormat="false" ht="24" hidden="false" customHeight="true" outlineLevel="0" collapsed="false">
      <c r="B8" s="30" t="s">
        <v>438</v>
      </c>
      <c r="C8" s="260" t="n">
        <v>23</v>
      </c>
      <c r="E8" s="30" t="s">
        <v>504</v>
      </c>
      <c r="F8" s="191" t="n">
        <v>18221.4856051446</v>
      </c>
    </row>
    <row r="9" customFormat="false" ht="24" hidden="false" customHeight="true" outlineLevel="0" collapsed="false">
      <c r="B9" s="30" t="s">
        <v>439</v>
      </c>
      <c r="C9" s="261" t="n">
        <v>46813</v>
      </c>
      <c r="E9" s="30" t="s">
        <v>505</v>
      </c>
      <c r="F9" s="262" t="n">
        <v>1.91666666666667</v>
      </c>
    </row>
    <row r="11" customFormat="false" ht="24" hidden="false" customHeight="true" outlineLevel="0" collapsed="false">
      <c r="A11" s="263" t="s">
        <v>506</v>
      </c>
      <c r="B11" s="263"/>
      <c r="C11" s="263"/>
      <c r="D11" s="263"/>
      <c r="E11" s="263"/>
      <c r="F11" s="263"/>
      <c r="G11" s="263"/>
      <c r="H11" s="263"/>
    </row>
    <row r="12" customFormat="false" ht="24" hidden="false" customHeight="true" outlineLevel="0" collapsed="false">
      <c r="B12" s="30" t="s">
        <v>438</v>
      </c>
      <c r="C12" s="189" t="s">
        <v>507</v>
      </c>
      <c r="E12" s="30" t="s">
        <v>504</v>
      </c>
      <c r="F12" s="189" t="s">
        <v>507</v>
      </c>
    </row>
    <row r="13" customFormat="false" ht="24" hidden="false" customHeight="true" outlineLevel="0" collapsed="false">
      <c r="B13" s="30" t="s">
        <v>508</v>
      </c>
      <c r="C13" s="189" t="s">
        <v>507</v>
      </c>
      <c r="E13" s="30" t="s">
        <v>509</v>
      </c>
      <c r="F13" s="189" t="s">
        <v>507</v>
      </c>
    </row>
    <row r="15" customFormat="false" ht="24" hidden="false" customHeight="true" outlineLevel="0" collapsed="false">
      <c r="A15" s="187" t="s">
        <v>510</v>
      </c>
      <c r="B15" s="187"/>
      <c r="C15" s="187"/>
      <c r="D15" s="187"/>
      <c r="E15" s="187"/>
      <c r="F15" s="187"/>
      <c r="G15" s="187"/>
      <c r="H15" s="187"/>
    </row>
    <row r="16" customFormat="false" ht="21.75" hidden="false" customHeight="true" outlineLevel="0" collapsed="false">
      <c r="A16" s="42" t="s">
        <v>43</v>
      </c>
      <c r="B16" s="43" t="s">
        <v>463</v>
      </c>
      <c r="C16" s="44" t="s">
        <v>338</v>
      </c>
      <c r="D16" s="44" t="s">
        <v>305</v>
      </c>
      <c r="E16" s="44" t="s">
        <v>339</v>
      </c>
      <c r="F16" s="42" t="s">
        <v>511</v>
      </c>
      <c r="G16" s="44" t="s">
        <v>512</v>
      </c>
      <c r="H16" s="44" t="s">
        <v>513</v>
      </c>
    </row>
    <row r="17" customFormat="false" ht="18" hidden="false" customHeight="true" outlineLevel="0" collapsed="false">
      <c r="A17" s="233" t="n">
        <v>1</v>
      </c>
      <c r="B17" s="211" t="str">
        <f aca="false">'Debt Tracker'!B6</f>
        <v>Mattress Firm / Synchrony Home</v>
      </c>
      <c r="C17" s="212" t="n">
        <f aca="false">'Debt Tracker'!D6</f>
        <v>0.3499</v>
      </c>
      <c r="D17" s="213" t="n">
        <f aca="false">'Debt Tracker'!L6</f>
        <v>1254.49</v>
      </c>
      <c r="E17" s="213" t="n">
        <f aca="false">'Debt Tracker'!M6</f>
        <v>129</v>
      </c>
      <c r="F17" s="264" t="s">
        <v>514</v>
      </c>
      <c r="G17" s="213" t="n">
        <f aca="false">IF(F17="Yes",D17,0)</f>
        <v>0</v>
      </c>
      <c r="H17" s="265" t="n">
        <f aca="false">G17</f>
        <v>0</v>
      </c>
    </row>
    <row r="18" customFormat="false" ht="18" hidden="false" customHeight="true" outlineLevel="0" collapsed="false">
      <c r="A18" s="79" t="n">
        <v>2</v>
      </c>
      <c r="B18" s="207" t="str">
        <f aca="false">'Debt Tracker'!B5</f>
        <v>Ashley Furniture / Synchrony</v>
      </c>
      <c r="C18" s="208" t="n">
        <f aca="false">'Debt Tracker'!D5</f>
        <v>0.3499</v>
      </c>
      <c r="D18" s="128" t="n">
        <f aca="false">'Debt Tracker'!L5</f>
        <v>899.82</v>
      </c>
      <c r="E18" s="128" t="n">
        <f aca="false">'Debt Tracker'!M5</f>
        <v>33</v>
      </c>
      <c r="F18" s="264" t="s">
        <v>514</v>
      </c>
      <c r="G18" s="128" t="n">
        <f aca="false">IF(F18="Yes",D18,0)</f>
        <v>0</v>
      </c>
      <c r="H18" s="266" t="n">
        <f aca="false">H17+G18</f>
        <v>0</v>
      </c>
    </row>
    <row r="19" customFormat="false" ht="18" hidden="false" customHeight="true" outlineLevel="0" collapsed="false">
      <c r="A19" s="233" t="n">
        <v>3</v>
      </c>
      <c r="B19" s="211" t="str">
        <f aca="false">'Debt Tracker'!B7</f>
        <v>Best Buy / Citi</v>
      </c>
      <c r="C19" s="212" t="n">
        <f aca="false">'Debt Tracker'!D7</f>
        <v>0.2999</v>
      </c>
      <c r="D19" s="213" t="n">
        <f aca="false">'Debt Tracker'!L7</f>
        <v>1200</v>
      </c>
      <c r="E19" s="213" t="n">
        <f aca="false">'Debt Tracker'!M7</f>
        <v>29</v>
      </c>
      <c r="F19" s="264" t="s">
        <v>514</v>
      </c>
      <c r="G19" s="213" t="n">
        <f aca="false">IF(F19="Yes",D19,0)</f>
        <v>0</v>
      </c>
      <c r="H19" s="265" t="n">
        <f aca="false">H18+G19</f>
        <v>0</v>
      </c>
    </row>
    <row r="20" customFormat="false" ht="18" hidden="false" customHeight="true" outlineLevel="0" collapsed="false">
      <c r="A20" s="79" t="n">
        <v>4</v>
      </c>
      <c r="B20" s="207" t="str">
        <f aca="false">'Debt Tracker'!B8</f>
        <v>Capital One Platinum</v>
      </c>
      <c r="C20" s="208" t="n">
        <f aca="false">'Debt Tracker'!D8</f>
        <v>0.2874</v>
      </c>
      <c r="D20" s="128" t="n">
        <f aca="false">'Debt Tracker'!L8</f>
        <v>5339.94</v>
      </c>
      <c r="E20" s="128" t="n">
        <f aca="false">'Debt Tracker'!M8</f>
        <v>200</v>
      </c>
      <c r="F20" s="264" t="s">
        <v>514</v>
      </c>
      <c r="G20" s="128" t="n">
        <f aca="false">IF(F20="Yes",D20,0)</f>
        <v>0</v>
      </c>
      <c r="H20" s="266" t="n">
        <f aca="false">H19+G20</f>
        <v>0</v>
      </c>
    </row>
    <row r="21" customFormat="false" ht="18" hidden="false" customHeight="true" outlineLevel="0" collapsed="false">
      <c r="A21" s="233" t="n">
        <v>5</v>
      </c>
      <c r="B21" s="211" t="str">
        <f aca="false">'Debt Tracker'!B9</f>
        <v>Amex Delta SkyMiles Gold</v>
      </c>
      <c r="C21" s="212" t="n">
        <f aca="false">'Debt Tracker'!D9</f>
        <v>0.2849</v>
      </c>
      <c r="D21" s="213" t="n">
        <f aca="false">'Debt Tracker'!L9</f>
        <v>5483.5</v>
      </c>
      <c r="E21" s="213" t="n">
        <f aca="false">'Debt Tracker'!M9</f>
        <v>205.87</v>
      </c>
      <c r="F21" s="264" t="s">
        <v>514</v>
      </c>
      <c r="G21" s="213" t="n">
        <f aca="false">IF(F21="Yes",D21,0)</f>
        <v>0</v>
      </c>
      <c r="H21" s="265" t="n">
        <f aca="false">H20+G21</f>
        <v>0</v>
      </c>
    </row>
    <row r="22" customFormat="false" ht="18" hidden="false" customHeight="true" outlineLevel="0" collapsed="false">
      <c r="A22" s="79" t="n">
        <v>6</v>
      </c>
      <c r="B22" s="207" t="str">
        <f aca="false">'Debt Tracker'!B10</f>
        <v>Menards Big Card (Cap One)</v>
      </c>
      <c r="C22" s="208" t="n">
        <f aca="false">'Debt Tracker'!D10</f>
        <v>0.2849</v>
      </c>
      <c r="D22" s="128" t="n">
        <f aca="false">'Debt Tracker'!L10</f>
        <v>2758.32</v>
      </c>
      <c r="E22" s="128" t="n">
        <f aca="false">'Debt Tracker'!M10</f>
        <v>92</v>
      </c>
      <c r="F22" s="264" t="s">
        <v>514</v>
      </c>
      <c r="G22" s="128" t="n">
        <f aca="false">IF(F22="Yes",D22,0)</f>
        <v>0</v>
      </c>
      <c r="H22" s="266" t="n">
        <f aca="false">H21+G22</f>
        <v>0</v>
      </c>
    </row>
    <row r="23" customFormat="false" ht="18" hidden="false" customHeight="true" outlineLevel="0" collapsed="false">
      <c r="A23" s="233" t="n">
        <v>7</v>
      </c>
      <c r="B23" s="211" t="str">
        <f aca="false">'Debt Tracker'!B11</f>
        <v>Amex Platinum (Pay Over Time)</v>
      </c>
      <c r="C23" s="212" t="n">
        <f aca="false">'Debt Tracker'!D11</f>
        <v>0.2849</v>
      </c>
      <c r="D23" s="213" t="n">
        <f aca="false">'Debt Tracker'!L11</f>
        <v>1106.09</v>
      </c>
      <c r="E23" s="213" t="n">
        <f aca="false">'Debt Tracker'!M11</f>
        <v>40</v>
      </c>
      <c r="F23" s="264" t="s">
        <v>514</v>
      </c>
      <c r="G23" s="213" t="n">
        <f aca="false">IF(F23="Yes",D23,0)</f>
        <v>0</v>
      </c>
      <c r="H23" s="265" t="n">
        <f aca="false">H22+G23</f>
        <v>0</v>
      </c>
    </row>
    <row r="24" customFormat="false" ht="18" hidden="false" customHeight="true" outlineLevel="0" collapsed="false">
      <c r="A24" s="79" t="n">
        <v>8</v>
      </c>
      <c r="B24" s="207" t="str">
        <f aca="false">'Debt Tracker'!B12</f>
        <v>Affirm — Best Buy (Dec)</v>
      </c>
      <c r="C24" s="208" t="n">
        <f aca="false">'Debt Tracker'!D12</f>
        <v>0.2832</v>
      </c>
      <c r="D24" s="128" t="n">
        <f aca="false">'Debt Tracker'!L12</f>
        <v>2869.11</v>
      </c>
      <c r="E24" s="128" t="n">
        <f aca="false">'Debt Tracker'!M12</f>
        <v>151.01</v>
      </c>
      <c r="F24" s="264" t="s">
        <v>514</v>
      </c>
      <c r="G24" s="128" t="n">
        <f aca="false">IF(F24="Yes",D24,0)</f>
        <v>0</v>
      </c>
      <c r="H24" s="266" t="n">
        <f aca="false">H23+G24</f>
        <v>0</v>
      </c>
    </row>
    <row r="25" customFormat="false" ht="18" hidden="false" customHeight="true" outlineLevel="0" collapsed="false">
      <c r="A25" s="233" t="n">
        <v>9</v>
      </c>
      <c r="B25" s="211" t="str">
        <f aca="false">'Debt Tracker'!B14</f>
        <v>Capital One Quicksilver</v>
      </c>
      <c r="C25" s="212" t="n">
        <f aca="false">'Debt Tracker'!D14</f>
        <v>0.2824</v>
      </c>
      <c r="D25" s="213" t="n">
        <f aca="false">'Debt Tracker'!L14</f>
        <v>1135.64</v>
      </c>
      <c r="E25" s="213" t="n">
        <f aca="false">'Debt Tracker'!M14</f>
        <v>38</v>
      </c>
      <c r="F25" s="264" t="s">
        <v>514</v>
      </c>
      <c r="G25" s="213" t="n">
        <f aca="false">IF(F25="Yes",D25,0)</f>
        <v>0</v>
      </c>
      <c r="H25" s="265" t="n">
        <f aca="false">H24+G25</f>
        <v>0</v>
      </c>
    </row>
    <row r="26" customFormat="false" ht="18" hidden="false" customHeight="true" outlineLevel="0" collapsed="false">
      <c r="A26" s="79" t="n">
        <v>10</v>
      </c>
      <c r="B26" s="207" t="str">
        <f aca="false">'Debt Tracker'!B13</f>
        <v>Affirm — Best Buy (Feb)</v>
      </c>
      <c r="C26" s="208" t="n">
        <f aca="false">'Debt Tracker'!D13</f>
        <v>0.2817</v>
      </c>
      <c r="D26" s="128" t="n">
        <f aca="false">'Debt Tracker'!L13</f>
        <v>1088.08</v>
      </c>
      <c r="E26" s="128" t="n">
        <f aca="false">'Debt Tracker'!M13</f>
        <v>72.54</v>
      </c>
      <c r="F26" s="264" t="s">
        <v>514</v>
      </c>
      <c r="G26" s="128" t="n">
        <f aca="false">IF(F26="Yes",D26,0)</f>
        <v>0</v>
      </c>
      <c r="H26" s="266" t="n">
        <f aca="false">H25+G26</f>
        <v>0</v>
      </c>
    </row>
    <row r="27" customFormat="false" ht="18" hidden="false" customHeight="true" outlineLevel="0" collapsed="false">
      <c r="A27" s="233" t="n">
        <v>11</v>
      </c>
      <c r="B27" s="211" t="str">
        <f aca="false">'Debt Tracker'!B15</f>
        <v>Discover</v>
      </c>
      <c r="C27" s="212" t="n">
        <f aca="false">'Debt Tracker'!D15</f>
        <v>0.2799</v>
      </c>
      <c r="D27" s="213" t="n">
        <f aca="false">'Debt Tracker'!L15</f>
        <v>2349</v>
      </c>
      <c r="E27" s="213" t="n">
        <f aca="false">'Debt Tracker'!M15</f>
        <v>80</v>
      </c>
      <c r="F27" s="264" t="s">
        <v>514</v>
      </c>
      <c r="G27" s="213" t="n">
        <f aca="false">IF(F27="Yes",D27,0)</f>
        <v>0</v>
      </c>
      <c r="H27" s="265" t="n">
        <f aca="false">H26+G27</f>
        <v>0</v>
      </c>
    </row>
    <row r="28" customFormat="false" ht="18" hidden="false" customHeight="true" outlineLevel="0" collapsed="false">
      <c r="A28" s="79" t="n">
        <v>12</v>
      </c>
      <c r="B28" s="207" t="str">
        <f aca="false">'Debt Tracker'!B16</f>
        <v>Credit One Bank</v>
      </c>
      <c r="C28" s="208" t="n">
        <f aca="false">'Debt Tracker'!D16</f>
        <v>0.2799</v>
      </c>
      <c r="D28" s="128" t="n">
        <f aca="false">'Debt Tracker'!L16</f>
        <v>291.75</v>
      </c>
      <c r="E28" s="128" t="n">
        <f aca="false">'Debt Tracker'!M16</f>
        <v>8.25</v>
      </c>
      <c r="F28" s="264" t="s">
        <v>514</v>
      </c>
      <c r="G28" s="128" t="n">
        <f aca="false">IF(F28="Yes",D28,0)</f>
        <v>0</v>
      </c>
      <c r="H28" s="266" t="n">
        <f aca="false">H27+G28</f>
        <v>0</v>
      </c>
    </row>
    <row r="29" customFormat="false" ht="18" hidden="false" customHeight="true" outlineLevel="0" collapsed="false">
      <c r="A29" s="233" t="n">
        <v>13</v>
      </c>
      <c r="B29" s="211" t="str">
        <f aca="false">'Debt Tracker'!B18</f>
        <v>PayPal Credit (Hannah) / Synchrony</v>
      </c>
      <c r="C29" s="212" t="n">
        <f aca="false">'Debt Tracker'!D18</f>
        <v>0.2749</v>
      </c>
      <c r="D29" s="213" t="n">
        <f aca="false">'Debt Tracker'!L18</f>
        <v>3116.13</v>
      </c>
      <c r="E29" s="213" t="n">
        <f aca="false">'Debt Tracker'!M18</f>
        <v>99</v>
      </c>
      <c r="F29" s="264" t="s">
        <v>514</v>
      </c>
      <c r="G29" s="213" t="n">
        <f aca="false">IF(F29="Yes",D29,0)</f>
        <v>0</v>
      </c>
      <c r="H29" s="265" t="n">
        <f aca="false">H28+G29</f>
        <v>0</v>
      </c>
    </row>
    <row r="30" customFormat="false" ht="18" hidden="false" customHeight="true" outlineLevel="0" collapsed="false">
      <c r="A30" s="79" t="n">
        <v>14</v>
      </c>
      <c r="B30" s="207" t="str">
        <f aca="false">'Debt Tracker'!B17</f>
        <v>PayPal Credit (Brad) / Synchrony</v>
      </c>
      <c r="C30" s="208" t="n">
        <f aca="false">'Debt Tracker'!D17</f>
        <v>0.2749</v>
      </c>
      <c r="D30" s="128" t="n">
        <f aca="false">'Debt Tracker'!L17</f>
        <v>1254.15</v>
      </c>
      <c r="E30" s="128" t="n">
        <f aca="false">'Debt Tracker'!M17</f>
        <v>44</v>
      </c>
      <c r="F30" s="264" t="s">
        <v>514</v>
      </c>
      <c r="G30" s="128" t="n">
        <f aca="false">IF(F30="Yes",D30,0)</f>
        <v>0</v>
      </c>
      <c r="H30" s="266" t="n">
        <f aca="false">H29+G30</f>
        <v>0</v>
      </c>
    </row>
    <row r="31" customFormat="false" ht="18" hidden="false" customHeight="true" outlineLevel="0" collapsed="false">
      <c r="A31" s="233" t="n">
        <v>15</v>
      </c>
      <c r="B31" s="211" t="str">
        <f aca="false">'Debt Tracker'!B19</f>
        <v>Affirm — Shady Rays</v>
      </c>
      <c r="C31" s="212" t="n">
        <f aca="false">'Debt Tracker'!D19</f>
        <v>0.2697</v>
      </c>
      <c r="D31" s="213" t="n">
        <f aca="false">'Debt Tracker'!L19</f>
        <v>114.71</v>
      </c>
      <c r="E31" s="213" t="n">
        <f aca="false">'Debt Tracker'!M19</f>
        <v>19.11</v>
      </c>
      <c r="F31" s="264" t="s">
        <v>514</v>
      </c>
      <c r="G31" s="213" t="n">
        <f aca="false">IF(F31="Yes",D31,0)</f>
        <v>0</v>
      </c>
      <c r="H31" s="265" t="n">
        <f aca="false">H30+G31</f>
        <v>0</v>
      </c>
    </row>
    <row r="32" customFormat="false" ht="18" hidden="false" customHeight="true" outlineLevel="0" collapsed="false">
      <c r="A32" s="79" t="n">
        <v>16</v>
      </c>
      <c r="B32" s="207" t="str">
        <f aca="false">'Debt Tracker'!B20</f>
        <v>Amex Blue Cash Preferred</v>
      </c>
      <c r="C32" s="208" t="n">
        <f aca="false">'Debt Tracker'!D20</f>
        <v>0.2649</v>
      </c>
      <c r="D32" s="128" t="n">
        <f aca="false">'Debt Tracker'!L20</f>
        <v>1015.61</v>
      </c>
      <c r="E32" s="128" t="n">
        <f aca="false">'Debt Tracker'!M20</f>
        <v>40</v>
      </c>
      <c r="F32" s="264" t="s">
        <v>514</v>
      </c>
      <c r="G32" s="128" t="n">
        <f aca="false">IF(F32="Yes",D32,0)</f>
        <v>0</v>
      </c>
      <c r="H32" s="266" t="n">
        <f aca="false">H31+G32</f>
        <v>0</v>
      </c>
    </row>
    <row r="33" customFormat="false" ht="18" hidden="false" customHeight="true" outlineLevel="0" collapsed="false">
      <c r="A33" s="233" t="n">
        <v>17</v>
      </c>
      <c r="B33" s="211" t="str">
        <f aca="false">'Debt Tracker'!B21</f>
        <v>Chase Amazon Prime Visa</v>
      </c>
      <c r="C33" s="212" t="n">
        <f aca="false">'Debt Tracker'!D21</f>
        <v>0.2649</v>
      </c>
      <c r="D33" s="213" t="n">
        <f aca="false">'Debt Tracker'!L21</f>
        <v>220.11</v>
      </c>
      <c r="E33" s="213" t="n">
        <f aca="false">'Debt Tracker'!M21</f>
        <v>53.99</v>
      </c>
      <c r="F33" s="264" t="s">
        <v>514</v>
      </c>
      <c r="G33" s="213" t="n">
        <f aca="false">IF(F33="Yes",D33,0)</f>
        <v>0</v>
      </c>
      <c r="H33" s="265" t="n">
        <f aca="false">H32+G33</f>
        <v>0</v>
      </c>
    </row>
    <row r="34" customFormat="false" ht="18" hidden="false" customHeight="true" outlineLevel="0" collapsed="false">
      <c r="A34" s="79" t="n">
        <v>18</v>
      </c>
      <c r="B34" s="207" t="str">
        <f aca="false">'Debt Tracker'!B22</f>
        <v>Apple Card (Goldman Sachs)</v>
      </c>
      <c r="C34" s="208" t="n">
        <f aca="false">'Debt Tracker'!D22</f>
        <v>0.2549</v>
      </c>
      <c r="D34" s="128" t="n">
        <f aca="false">'Debt Tracker'!L22</f>
        <v>7250.07</v>
      </c>
      <c r="E34" s="128" t="n">
        <f aca="false">'Debt Tracker'!M22</f>
        <v>265.5</v>
      </c>
      <c r="F34" s="264" t="s">
        <v>514</v>
      </c>
      <c r="G34" s="128" t="n">
        <f aca="false">IF(F34="Yes",D34,0)</f>
        <v>0</v>
      </c>
      <c r="H34" s="266" t="n">
        <f aca="false">H33+G34</f>
        <v>0</v>
      </c>
    </row>
    <row r="35" customFormat="false" ht="18" hidden="false" customHeight="true" outlineLevel="0" collapsed="false">
      <c r="A35" s="233" t="n">
        <v>19</v>
      </c>
      <c r="B35" s="211" t="str">
        <f aca="false">'Debt Tracker'!B23</f>
        <v>Upstart Loan</v>
      </c>
      <c r="C35" s="212" t="n">
        <f aca="false">'Debt Tracker'!D23</f>
        <v>0.18</v>
      </c>
      <c r="D35" s="213" t="n">
        <f aca="false">'Debt Tracker'!L23</f>
        <v>30690.83</v>
      </c>
      <c r="E35" s="213" t="n">
        <f aca="false">'Debt Tracker'!M23</f>
        <v>1309.17</v>
      </c>
      <c r="F35" s="264" t="s">
        <v>514</v>
      </c>
      <c r="G35" s="213" t="n">
        <f aca="false">IF(F35="Yes",D35,0)</f>
        <v>0</v>
      </c>
      <c r="H35" s="265" t="n">
        <f aca="false">H34+G35</f>
        <v>0</v>
      </c>
    </row>
    <row r="36" customFormat="false" ht="18" hidden="false" customHeight="true" outlineLevel="0" collapsed="false">
      <c r="A36" s="79" t="n">
        <v>20</v>
      </c>
      <c r="B36" s="207" t="str">
        <f aca="false">'Debt Tracker'!B24</f>
        <v>Affirm — Tonal</v>
      </c>
      <c r="C36" s="208" t="n">
        <f aca="false">'Debt Tracker'!D24</f>
        <v>0.15</v>
      </c>
      <c r="D36" s="128" t="n">
        <f aca="false">'Debt Tracker'!L24</f>
        <v>4045.32</v>
      </c>
      <c r="E36" s="128" t="n">
        <f aca="false">'Debt Tracker'!M24</f>
        <v>139.5</v>
      </c>
      <c r="F36" s="264" t="s">
        <v>514</v>
      </c>
      <c r="G36" s="128" t="n">
        <f aca="false">IF(F36="Yes",D36,0)</f>
        <v>0</v>
      </c>
      <c r="H36" s="266" t="n">
        <f aca="false">H35+G36</f>
        <v>0</v>
      </c>
    </row>
    <row r="37" customFormat="false" ht="18" hidden="false" customHeight="true" outlineLevel="0" collapsed="false">
      <c r="A37" s="233" t="n">
        <v>21</v>
      </c>
      <c r="B37" s="211" t="str">
        <f aca="false">'Debt Tracker'!B25</f>
        <v>Affirm — Peloton</v>
      </c>
      <c r="C37" s="212" t="n">
        <f aca="false">'Debt Tracker'!D25</f>
        <v>0.15</v>
      </c>
      <c r="D37" s="213" t="n">
        <f aca="false">'Debt Tracker'!L25</f>
        <v>3446.11</v>
      </c>
      <c r="E37" s="213" t="n">
        <f aca="false">'Debt Tracker'!M25</f>
        <v>107.75</v>
      </c>
      <c r="F37" s="264" t="s">
        <v>514</v>
      </c>
      <c r="G37" s="213" t="n">
        <f aca="false">IF(F37="Yes",D37,0)</f>
        <v>0</v>
      </c>
      <c r="H37" s="265" t="n">
        <f aca="false">H36+G37</f>
        <v>0</v>
      </c>
    </row>
    <row r="38" customFormat="false" ht="18" hidden="false" customHeight="true" outlineLevel="0" collapsed="false">
      <c r="A38" s="79" t="n">
        <v>22</v>
      </c>
      <c r="B38" s="207" t="str">
        <f aca="false">'Debt Tracker'!B26</f>
        <v>Affirm — Amazon</v>
      </c>
      <c r="C38" s="208" t="n">
        <f aca="false">'Debt Tracker'!D26</f>
        <v>0.15</v>
      </c>
      <c r="D38" s="128" t="n">
        <f aca="false">'Debt Tracker'!L26</f>
        <v>1002.44</v>
      </c>
      <c r="E38" s="128" t="n">
        <f aca="false">'Debt Tracker'!M26</f>
        <v>66.93</v>
      </c>
      <c r="F38" s="264" t="s">
        <v>514</v>
      </c>
      <c r="G38" s="128" t="n">
        <f aca="false">IF(F38="Yes",D38,0)</f>
        <v>0</v>
      </c>
      <c r="H38" s="266" t="n">
        <f aca="false">H37+G38</f>
        <v>0</v>
      </c>
    </row>
    <row r="39" customFormat="false" ht="18" hidden="false" customHeight="true" outlineLevel="0" collapsed="false">
      <c r="A39" s="233" t="n">
        <v>23</v>
      </c>
      <c r="B39" s="211" t="str">
        <f aca="false">'Debt Tracker'!B27</f>
        <v>Affirm — Ridge</v>
      </c>
      <c r="C39" s="212" t="n">
        <f aca="false">'Debt Tracker'!D27</f>
        <v>0.15</v>
      </c>
      <c r="D39" s="213" t="n">
        <f aca="false">'Debt Tracker'!L27</f>
        <v>504.15</v>
      </c>
      <c r="E39" s="213" t="n">
        <f aca="false">'Debt Tracker'!M27</f>
        <v>56.02</v>
      </c>
      <c r="F39" s="264" t="s">
        <v>514</v>
      </c>
      <c r="G39" s="213" t="n">
        <f aca="false">IF(F39="Yes",D39,0)</f>
        <v>0</v>
      </c>
      <c r="H39" s="265" t="n">
        <f aca="false">H38+G39</f>
        <v>0</v>
      </c>
    </row>
    <row r="40" customFormat="false" ht="18" hidden="false" customHeight="true" outlineLevel="0" collapsed="false">
      <c r="A40" s="79" t="n">
        <v>24</v>
      </c>
      <c r="B40" s="207" t="str">
        <f aca="false">'Debt Tracker'!B29</f>
        <v>Affirm — Target</v>
      </c>
      <c r="C40" s="208" t="n">
        <f aca="false">'Debt Tracker'!D29</f>
        <v>0</v>
      </c>
      <c r="D40" s="128" t="n">
        <f aca="false">'Debt Tracker'!L29</f>
        <v>163.09</v>
      </c>
      <c r="E40" s="128" t="n">
        <f aca="false">'Debt Tracker'!M29</f>
        <v>20.38</v>
      </c>
      <c r="F40" s="264" t="s">
        <v>514</v>
      </c>
      <c r="G40" s="128" t="n">
        <f aca="false">IF(F40="Yes",D40,0)</f>
        <v>0</v>
      </c>
      <c r="H40" s="266" t="n">
        <f aca="false">H39+G40</f>
        <v>0</v>
      </c>
    </row>
    <row r="41" customFormat="false" ht="18" hidden="false" customHeight="true" outlineLevel="0" collapsed="false">
      <c r="A41" s="233" t="n">
        <v>25</v>
      </c>
      <c r="B41" s="211" t="str">
        <f aca="false">'Debt Tracker'!B28</f>
        <v>Affirm — Shokz</v>
      </c>
      <c r="C41" s="212" t="n">
        <f aca="false">'Debt Tracker'!D28</f>
        <v>0</v>
      </c>
      <c r="D41" s="213" t="n">
        <f aca="false">'Debt Tracker'!L28</f>
        <v>163.92</v>
      </c>
      <c r="E41" s="213" t="n">
        <f aca="false">'Debt Tracker'!M28</f>
        <v>18.22</v>
      </c>
      <c r="F41" s="264" t="s">
        <v>514</v>
      </c>
      <c r="G41" s="213" t="n">
        <f aca="false">IF(F41="Yes",D41,0)</f>
        <v>0</v>
      </c>
      <c r="H41" s="265" t="n">
        <f aca="false">H40+G41</f>
        <v>0</v>
      </c>
    </row>
    <row r="42" customFormat="false" ht="21.75" hidden="false" customHeight="true" outlineLevel="0" collapsed="false">
      <c r="A42" s="217"/>
      <c r="B42" s="218" t="s">
        <v>515</v>
      </c>
      <c r="C42" s="217"/>
      <c r="D42" s="217"/>
      <c r="E42" s="217"/>
      <c r="F42" s="217"/>
      <c r="G42" s="219" t="n">
        <f aca="false">SUM(G17:G41)</f>
        <v>0</v>
      </c>
      <c r="H42" s="217"/>
    </row>
    <row r="44" customFormat="false" ht="36" hidden="false" customHeight="true" outlineLevel="0" collapsed="false">
      <c r="A44" s="267" t="s">
        <v>516</v>
      </c>
      <c r="B44" s="267"/>
      <c r="C44" s="267"/>
      <c r="D44" s="267"/>
      <c r="E44" s="267"/>
      <c r="F44" s="267"/>
      <c r="G44" s="267"/>
      <c r="H44" s="267"/>
    </row>
  </sheetData>
  <mergeCells count="5">
    <mergeCell ref="A1:H1"/>
    <mergeCell ref="A7:H7"/>
    <mergeCell ref="A11:H11"/>
    <mergeCell ref="A15:H15"/>
    <mergeCell ref="A44:H44"/>
  </mergeCells>
  <dataValidations count="1">
    <dataValidation allowBlank="false" errorStyle="stop" operator="between" showDropDown="false" showErrorMessage="false" showInputMessage="false" sqref="F17:F4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5" min="3" style="1" width="13"/>
    <col collapsed="false" customWidth="true" hidden="false" outlineLevel="0" max="6" min="6" style="1" width="9"/>
    <col collapsed="false" customWidth="true" hidden="false" outlineLevel="0" max="7" min="7" style="1" width="38"/>
    <col collapsed="false" customWidth="true" hidden="true" outlineLevel="0" max="10" min="9" style="1" width="13"/>
  </cols>
  <sheetData>
    <row r="1" customFormat="false" ht="36" hidden="false" customHeight="true" outlineLevel="0" collapsed="false">
      <c r="A1" s="64" t="s">
        <v>517</v>
      </c>
      <c r="B1" s="64"/>
      <c r="C1" s="64"/>
      <c r="D1" s="64"/>
      <c r="E1" s="64"/>
      <c r="F1" s="64"/>
      <c r="G1" s="64"/>
    </row>
    <row r="2" customFormat="false" ht="6" hidden="false" customHeight="true" outlineLevel="0" collapsed="false">
      <c r="A2" s="268"/>
      <c r="B2" s="268"/>
      <c r="C2" s="268"/>
      <c r="D2" s="268"/>
      <c r="E2" s="268"/>
      <c r="F2" s="268"/>
      <c r="G2" s="268"/>
    </row>
    <row r="3" customFormat="false" ht="21.75" hidden="false" customHeight="true" outlineLevel="0" collapsed="false">
      <c r="A3" s="268"/>
      <c r="B3" s="67" t="s">
        <v>518</v>
      </c>
      <c r="C3" s="269" t="s">
        <v>519</v>
      </c>
      <c r="D3" s="268"/>
      <c r="E3" s="270" t="s">
        <v>520</v>
      </c>
      <c r="F3" s="270"/>
      <c r="G3" s="270"/>
      <c r="I3" s="1" t="str">
        <f aca="false">LEFT(C3,3)</f>
        <v>Apr</v>
      </c>
      <c r="J3" s="1" t="n">
        <f aca="false">VALUE(RIGHT(C3,4))</f>
        <v>2026</v>
      </c>
    </row>
    <row r="4" customFormat="false" ht="6" hidden="false" customHeight="true" outlineLevel="0" collapsed="false">
      <c r="A4" s="268"/>
      <c r="B4" s="268"/>
      <c r="C4" s="268"/>
      <c r="D4" s="268"/>
      <c r="E4" s="268"/>
      <c r="F4" s="268"/>
      <c r="G4" s="268"/>
    </row>
    <row r="5" customFormat="false" ht="27.75" hidden="false" customHeight="true" outlineLevel="0" collapsed="false">
      <c r="A5" s="42" t="s">
        <v>43</v>
      </c>
      <c r="B5" s="43" t="s">
        <v>521</v>
      </c>
      <c r="C5" s="44" t="s">
        <v>429</v>
      </c>
      <c r="D5" s="44" t="s">
        <v>522</v>
      </c>
      <c r="E5" s="44" t="s">
        <v>523</v>
      </c>
      <c r="F5" s="42" t="s">
        <v>524</v>
      </c>
      <c r="G5" s="43" t="s">
        <v>307</v>
      </c>
    </row>
    <row r="6" customFormat="false" ht="25.5" hidden="false" customHeight="true" outlineLevel="0" collapsed="false">
      <c r="A6" s="205"/>
      <c r="B6" s="187" t="s">
        <v>525</v>
      </c>
      <c r="C6" s="187"/>
      <c r="D6" s="187"/>
      <c r="E6" s="187"/>
      <c r="F6" s="187"/>
      <c r="G6" s="187"/>
    </row>
    <row r="7" customFormat="false" ht="27.75" hidden="false" customHeight="true" outlineLevel="0" collapsed="false">
      <c r="A7" s="271" t="n">
        <v>1</v>
      </c>
      <c r="B7" s="272" t="s">
        <v>526</v>
      </c>
      <c r="C7" s="273" t="n">
        <v>14168.33</v>
      </c>
      <c r="D7" s="274" t="n">
        <f aca="false">SUMIFS(Payments!$F:$F,Payments!$D:$D,"Income",Payments!$I:$I,$I$3,Payments!$J:$J,$J$3)</f>
        <v>12540.19</v>
      </c>
      <c r="E7" s="275" t="n">
        <f aca="false">IFERROR(C7-D7,"")</f>
        <v>1628.14</v>
      </c>
      <c r="F7" s="276" t="n">
        <f aca="false">IFERROR(D7/C7,"")</f>
        <v>0.885085962848127</v>
      </c>
      <c r="G7" s="277" t="s">
        <v>527</v>
      </c>
    </row>
    <row r="8" customFormat="false" ht="7.5" hidden="false" customHeight="true" outlineLevel="0" collapsed="false">
      <c r="A8" s="268"/>
      <c r="B8" s="268"/>
      <c r="C8" s="268"/>
      <c r="D8" s="268"/>
      <c r="E8" s="268"/>
      <c r="F8" s="268"/>
      <c r="G8" s="268"/>
    </row>
    <row r="9" customFormat="false" ht="25.5" hidden="false" customHeight="true" outlineLevel="0" collapsed="false">
      <c r="A9" s="205"/>
      <c r="B9" s="187" t="s">
        <v>528</v>
      </c>
      <c r="C9" s="187"/>
      <c r="D9" s="187"/>
      <c r="E9" s="187"/>
      <c r="F9" s="187"/>
      <c r="G9" s="187"/>
    </row>
    <row r="10" customFormat="false" ht="21.75" hidden="false" customHeight="true" outlineLevel="0" collapsed="false">
      <c r="A10" s="81" t="n">
        <v>2</v>
      </c>
      <c r="B10" s="52" t="s">
        <v>237</v>
      </c>
      <c r="C10" s="54" t="n">
        <v>1989.81</v>
      </c>
      <c r="D10" s="278" t="n">
        <f aca="false">SUMIFS(Payments!$F:$F,Payments!$E:$E,"Mortgage (Lakeview)",Payments!$I:$I,$I$3,Payments!$J:$J,$J$3,Payments!$D:$D,"Expense")</f>
        <v>1989.81</v>
      </c>
      <c r="E10" s="54" t="n">
        <f aca="false">IFERROR(C10-D10,"")</f>
        <v>0</v>
      </c>
      <c r="F10" s="279" t="n">
        <f aca="false">IFERROR(D10/C10,"")</f>
        <v>1</v>
      </c>
      <c r="G10" s="56" t="s">
        <v>529</v>
      </c>
    </row>
    <row r="11" customFormat="false" ht="21.75" hidden="false" customHeight="true" outlineLevel="0" collapsed="false">
      <c r="A11" s="280" t="n">
        <v>3</v>
      </c>
      <c r="B11" s="58" t="s">
        <v>164</v>
      </c>
      <c r="C11" s="60" t="n">
        <v>677.4</v>
      </c>
      <c r="D11" s="278" t="n">
        <f aca="false">SUMIFS(Payments!$F:$F,Payments!$E:$E,"HELOC (Figure)",Payments!$I:$I,$I$3,Payments!$J:$J,$J$3,Payments!$D:$D,"Expense")</f>
        <v>677.4</v>
      </c>
      <c r="E11" s="60" t="n">
        <f aca="false">IFERROR(C11-D11,"")</f>
        <v>0</v>
      </c>
      <c r="F11" s="281" t="n">
        <f aca="false">IFERROR(D11/C11,"")</f>
        <v>1</v>
      </c>
      <c r="G11" s="62" t="s">
        <v>530</v>
      </c>
    </row>
    <row r="12" customFormat="false" ht="21.75" hidden="false" customHeight="true" outlineLevel="0" collapsed="false">
      <c r="A12" s="81" t="n">
        <v>4</v>
      </c>
      <c r="B12" s="52" t="s">
        <v>263</v>
      </c>
      <c r="C12" s="54" t="n">
        <v>241</v>
      </c>
      <c r="D12" s="278" t="n">
        <f aca="false">SUMIFS(Payments!$F:$F,Payments!$E:$E,"Electric &amp; Gas (MGE)",Payments!$I:$I,$I$3,Payments!$J:$J,$J$3,Payments!$D:$D,"Expense")</f>
        <v>241</v>
      </c>
      <c r="E12" s="54" t="n">
        <f aca="false">IFERROR(C12-D12,"")</f>
        <v>0</v>
      </c>
      <c r="F12" s="279" t="n">
        <f aca="false">IFERROR(D12/C12,"")</f>
        <v>1</v>
      </c>
      <c r="G12" s="56"/>
    </row>
    <row r="13" customFormat="false" ht="21.75" hidden="false" customHeight="true" outlineLevel="0" collapsed="false">
      <c r="A13" s="280" t="n">
        <v>5</v>
      </c>
      <c r="B13" s="58" t="s">
        <v>273</v>
      </c>
      <c r="C13" s="60" t="n">
        <v>101.02</v>
      </c>
      <c r="D13" s="278" t="n">
        <f aca="false">SUMIFS(Payments!$F:$F,Payments!$E:$E,"Water/Sewer (City of Madison)",Payments!$I:$I,$I$3,Payments!$J:$J,$J$3,Payments!$D:$D,"Expense")</f>
        <v>89.48</v>
      </c>
      <c r="E13" s="60" t="n">
        <f aca="false">IFERROR(C13-D13,"")</f>
        <v>11.54</v>
      </c>
      <c r="F13" s="281" t="n">
        <f aca="false">IFERROR(D13/C13,"")</f>
        <v>0.885765195010889</v>
      </c>
      <c r="G13" s="62"/>
    </row>
    <row r="14" customFormat="false" ht="21.75" hidden="false" customHeight="true" outlineLevel="0" collapsed="false">
      <c r="A14" s="81" t="n">
        <v>6</v>
      </c>
      <c r="B14" s="52" t="s">
        <v>531</v>
      </c>
      <c r="C14" s="54" t="n">
        <v>90.22</v>
      </c>
      <c r="D14" s="278" t="n">
        <f aca="false">SUMIFS(Payments!$F:$F,Payments!$E:$E,"Internet/Cable (AT&amp;T Uverse)",Payments!$I:$I,$I$3,Payments!$J:$J,$J$3,Payments!$D:$D,"Expense")</f>
        <v>0</v>
      </c>
      <c r="E14" s="54" t="n">
        <f aca="false">IFERROR(C14-D14,"")</f>
        <v>90.22</v>
      </c>
      <c r="F14" s="279" t="n">
        <f aca="false">IFERROR(D14/C14,"")</f>
        <v>0</v>
      </c>
      <c r="G14" s="56"/>
    </row>
    <row r="15" customFormat="false" ht="21.75" hidden="false" customHeight="true" outlineLevel="0" collapsed="false">
      <c r="A15" s="280" t="n">
        <v>7</v>
      </c>
      <c r="B15" s="58" t="s">
        <v>244</v>
      </c>
      <c r="C15" s="60" t="n">
        <v>342</v>
      </c>
      <c r="D15" s="278" t="n">
        <f aca="false">SUMIFS(Payments!$F:$F,Payments!$E:$E,"Phone (Verizon)",Payments!$I:$I,$I$3,Payments!$J:$J,$J$3,Payments!$D:$D,"Expense")</f>
        <v>425.65</v>
      </c>
      <c r="E15" s="60" t="n">
        <f aca="false">IFERROR(C15-D15,"")</f>
        <v>-83.65</v>
      </c>
      <c r="F15" s="281" t="n">
        <f aca="false">IFERROR(D15/C15,"")</f>
        <v>1.24459064327485</v>
      </c>
      <c r="G15" s="62" t="s">
        <v>532</v>
      </c>
    </row>
    <row r="16" customFormat="false" ht="21.75" hidden="false" customHeight="true" outlineLevel="0" collapsed="false">
      <c r="A16" s="81" t="n">
        <v>8</v>
      </c>
      <c r="B16" s="52" t="s">
        <v>533</v>
      </c>
      <c r="C16" s="54" t="n">
        <v>0</v>
      </c>
      <c r="D16" s="278" t="n">
        <f aca="false">SUMIFS(Payments!$F:$F,Payments!$E:$E,"Home Maintenance / Repairs",Payments!$I:$I,$I$3,Payments!$J:$J,$J$3,Payments!$D:$D,"Expense")</f>
        <v>0</v>
      </c>
      <c r="E16" s="54" t="n">
        <f aca="false">IFERROR(C16-D16,"")</f>
        <v>0</v>
      </c>
      <c r="F16" s="279" t="str">
        <f aca="false">IFERROR(D16/C16,"")</f>
        <v/>
      </c>
      <c r="G16" s="56" t="s">
        <v>534</v>
      </c>
    </row>
    <row r="17" customFormat="false" ht="24" hidden="false" customHeight="true" outlineLevel="0" collapsed="false">
      <c r="A17" s="282"/>
      <c r="B17" s="283" t="s">
        <v>535</v>
      </c>
      <c r="C17" s="284" t="n">
        <f aca="false">SUM(C10:C16)</f>
        <v>3441.45</v>
      </c>
      <c r="D17" s="284" t="n">
        <f aca="false">SUM(D10:D16)</f>
        <v>3423.34</v>
      </c>
      <c r="E17" s="284" t="n">
        <f aca="false">IFERROR(C17-D17,"")</f>
        <v>18.1099999999997</v>
      </c>
      <c r="F17" s="285" t="n">
        <f aca="false">IFERROR(D17/C17,"")</f>
        <v>0.994737683243982</v>
      </c>
      <c r="G17" s="286"/>
    </row>
    <row r="18" customFormat="false" ht="7.5" hidden="false" customHeight="true" outlineLevel="0" collapsed="false">
      <c r="A18" s="268"/>
      <c r="B18" s="268"/>
      <c r="C18" s="268"/>
      <c r="D18" s="268"/>
      <c r="E18" s="268"/>
      <c r="F18" s="268"/>
      <c r="G18" s="268"/>
    </row>
    <row r="19" customFormat="false" ht="25.5" hidden="false" customHeight="true" outlineLevel="0" collapsed="false">
      <c r="A19" s="205"/>
      <c r="B19" s="187" t="s">
        <v>536</v>
      </c>
      <c r="C19" s="187"/>
      <c r="D19" s="187"/>
      <c r="E19" s="187"/>
      <c r="F19" s="187"/>
      <c r="G19" s="187"/>
    </row>
    <row r="20" customFormat="false" ht="21.75" hidden="false" customHeight="true" outlineLevel="0" collapsed="false">
      <c r="A20" s="81" t="n">
        <v>9</v>
      </c>
      <c r="B20" s="52" t="s">
        <v>537</v>
      </c>
      <c r="C20" s="54" t="n">
        <v>128.59</v>
      </c>
      <c r="D20" s="278" t="n">
        <f aca="false">SUMIFS(Payments!$F:$F,Payments!$E:$E,"Auto Insurance (State Farm)",Payments!$I:$I,$I$3,Payments!$J:$J,$J$3,Payments!$D:$D,"Expense")</f>
        <v>0</v>
      </c>
      <c r="E20" s="54" t="n">
        <f aca="false">IFERROR(C20-D20,"")</f>
        <v>128.59</v>
      </c>
      <c r="F20" s="279" t="n">
        <f aca="false">IFERROR(D20/C20,"")</f>
        <v>0</v>
      </c>
      <c r="G20" s="56"/>
    </row>
    <row r="21" customFormat="false" ht="21.75" hidden="false" customHeight="true" outlineLevel="0" collapsed="false">
      <c r="A21" s="280" t="n">
        <v>10</v>
      </c>
      <c r="B21" s="58" t="s">
        <v>538</v>
      </c>
      <c r="C21" s="60" t="n">
        <v>121.54</v>
      </c>
      <c r="D21" s="278" t="n">
        <f aca="false">SUMIFS(Payments!$F:$F,Payments!$E:$E,"Other Insurance (State Farm 2nd)",Payments!$I:$I,$I$3,Payments!$J:$J,$J$3,Payments!$D:$D,"Expense")</f>
        <v>0</v>
      </c>
      <c r="E21" s="60" t="n">
        <f aca="false">IFERROR(C21-D21,"")</f>
        <v>121.54</v>
      </c>
      <c r="F21" s="281" t="n">
        <f aca="false">IFERROR(D21/C21,"")</f>
        <v>0</v>
      </c>
      <c r="G21" s="62"/>
    </row>
    <row r="22" customFormat="false" ht="21.75" hidden="false" customHeight="true" outlineLevel="0" collapsed="false">
      <c r="A22" s="81" t="n">
        <v>11</v>
      </c>
      <c r="B22" s="52" t="s">
        <v>539</v>
      </c>
      <c r="C22" s="54" t="n">
        <v>95</v>
      </c>
      <c r="D22" s="278" t="n">
        <f aca="false">SUMIFS(Payments!$F:$F,Payments!$E:$E,"Life Insurance (Trustage)",Payments!$I:$I,$I$3,Payments!$J:$J,$J$3,Payments!$D:$D,"Expense")</f>
        <v>0</v>
      </c>
      <c r="E22" s="54" t="n">
        <f aca="false">IFERROR(C22-D22,"")</f>
        <v>95</v>
      </c>
      <c r="F22" s="279" t="n">
        <f aca="false">IFERROR(D22/C22,"")</f>
        <v>0</v>
      </c>
      <c r="G22" s="56"/>
    </row>
    <row r="23" customFormat="false" ht="21.75" hidden="false" customHeight="true" outlineLevel="0" collapsed="false">
      <c r="A23" s="280" t="n">
        <v>12</v>
      </c>
      <c r="B23" s="58" t="s">
        <v>540</v>
      </c>
      <c r="C23" s="60" t="n">
        <v>53.85</v>
      </c>
      <c r="D23" s="278" t="n">
        <f aca="false">SUMIFS(Payments!$F:$F,Payments!$E:$E,"Home Warranty (UHP)",Payments!$I:$I,$I$3,Payments!$J:$J,$J$3,Payments!$D:$D,"Expense")</f>
        <v>0</v>
      </c>
      <c r="E23" s="60" t="n">
        <f aca="false">IFERROR(C23-D23,"")</f>
        <v>53.85</v>
      </c>
      <c r="F23" s="281" t="n">
        <f aca="false">IFERROR(D23/C23,"")</f>
        <v>0</v>
      </c>
      <c r="G23" s="62"/>
    </row>
    <row r="24" customFormat="false" ht="21.75" hidden="false" customHeight="true" outlineLevel="0" collapsed="false">
      <c r="A24" s="81" t="n">
        <v>13</v>
      </c>
      <c r="B24" s="52" t="s">
        <v>541</v>
      </c>
      <c r="C24" s="54" t="n">
        <v>0</v>
      </c>
      <c r="D24" s="278" t="n">
        <f aca="false">SUMIFS(Payments!$F:$F,Payments!$E:$E,"Health Insurance Premium",Payments!$I:$I,$I$3,Payments!$J:$J,$J$3,Payments!$D:$D,"Expense")</f>
        <v>0</v>
      </c>
      <c r="E24" s="54" t="n">
        <f aca="false">IFERROR(C24-D24,"")</f>
        <v>0</v>
      </c>
      <c r="F24" s="279" t="str">
        <f aca="false">IFERROR(D24/C24,"")</f>
        <v/>
      </c>
      <c r="G24" s="56" t="s">
        <v>542</v>
      </c>
    </row>
    <row r="25" customFormat="false" ht="24" hidden="false" customHeight="true" outlineLevel="0" collapsed="false">
      <c r="A25" s="282"/>
      <c r="B25" s="283" t="s">
        <v>543</v>
      </c>
      <c r="C25" s="284" t="n">
        <f aca="false">SUM(C20:C24)</f>
        <v>398.98</v>
      </c>
      <c r="D25" s="284" t="n">
        <f aca="false">SUM(D20:D24)</f>
        <v>0</v>
      </c>
      <c r="E25" s="284" t="n">
        <f aca="false">IFERROR(C25-D25,"")</f>
        <v>398.98</v>
      </c>
      <c r="F25" s="285" t="n">
        <f aca="false">IFERROR(D25/C25,"")</f>
        <v>0</v>
      </c>
      <c r="G25" s="286"/>
    </row>
    <row r="26" customFormat="false" ht="7.5" hidden="false" customHeight="true" outlineLevel="0" collapsed="false">
      <c r="A26" s="268"/>
      <c r="B26" s="268"/>
      <c r="C26" s="268"/>
      <c r="D26" s="268"/>
      <c r="E26" s="268"/>
      <c r="F26" s="268"/>
      <c r="G26" s="268"/>
    </row>
    <row r="27" customFormat="false" ht="25.5" hidden="false" customHeight="true" outlineLevel="0" collapsed="false">
      <c r="A27" s="205"/>
      <c r="B27" s="187" t="s">
        <v>544</v>
      </c>
      <c r="C27" s="187"/>
      <c r="D27" s="187"/>
      <c r="E27" s="187"/>
      <c r="F27" s="187"/>
      <c r="G27" s="187"/>
    </row>
    <row r="28" customFormat="false" ht="21.75" hidden="false" customHeight="true" outlineLevel="0" collapsed="false">
      <c r="A28" s="81" t="n">
        <v>14</v>
      </c>
      <c r="B28" s="52" t="s">
        <v>545</v>
      </c>
      <c r="C28" s="54" t="n">
        <v>460</v>
      </c>
      <c r="D28" s="278" t="n">
        <f aca="false">SUMIFS(Payments!$F:$F,Payments!$E:$E,"Groceries ($425/wk × 4.33 wks)",Payments!$I:$I,$I$3,Payments!$J:$J,$J$3,Payments!$D:$D,"Expense")</f>
        <v>0</v>
      </c>
      <c r="E28" s="54" t="n">
        <f aca="false">IFERROR(C28-D28,"")</f>
        <v>460</v>
      </c>
      <c r="F28" s="279" t="n">
        <f aca="false">IFERROR(D28/C28,"")</f>
        <v>0</v>
      </c>
      <c r="G28" s="56" t="s">
        <v>546</v>
      </c>
    </row>
    <row r="29" customFormat="false" ht="21.75" hidden="false" customHeight="true" outlineLevel="0" collapsed="false">
      <c r="A29" s="280" t="n">
        <v>15</v>
      </c>
      <c r="B29" s="58" t="s">
        <v>276</v>
      </c>
      <c r="C29" s="60" t="n">
        <v>0</v>
      </c>
      <c r="D29" s="278" t="n">
        <f aca="false">SUMIFS(Payments!$F:$F,Payments!$E:$E,"Costco (warehouse stock-up)",Payments!$I:$I,$I$3,Payments!$J:$J,$J$3,Payments!$D:$D,"Expense")</f>
        <v>62.45</v>
      </c>
      <c r="E29" s="60" t="n">
        <f aca="false">IFERROR(C29-D29,"")</f>
        <v>-62.45</v>
      </c>
      <c r="F29" s="281" t="str">
        <f aca="false">IFERROR(D29/C29,"")</f>
        <v/>
      </c>
      <c r="G29" s="62" t="s">
        <v>547</v>
      </c>
    </row>
    <row r="30" customFormat="false" ht="24" hidden="false" customHeight="true" outlineLevel="0" collapsed="false">
      <c r="A30" s="282"/>
      <c r="B30" s="283" t="s">
        <v>548</v>
      </c>
      <c r="C30" s="284" t="n">
        <f aca="false">SUM(C28:C29)</f>
        <v>460</v>
      </c>
      <c r="D30" s="284" t="n">
        <f aca="false">SUM(D28:D29)</f>
        <v>62.45</v>
      </c>
      <c r="E30" s="284" t="n">
        <f aca="false">IFERROR(C30-D30,"")</f>
        <v>397.55</v>
      </c>
      <c r="F30" s="285" t="n">
        <f aca="false">IFERROR(D30/C30,"")</f>
        <v>0.135760869565217</v>
      </c>
      <c r="G30" s="286"/>
    </row>
    <row r="31" customFormat="false" ht="7.5" hidden="false" customHeight="true" outlineLevel="0" collapsed="false">
      <c r="A31" s="268"/>
      <c r="B31" s="268"/>
      <c r="C31" s="268"/>
      <c r="D31" s="268"/>
      <c r="E31" s="268"/>
      <c r="F31" s="268"/>
      <c r="G31" s="268"/>
    </row>
    <row r="32" customFormat="false" ht="25.5" hidden="false" customHeight="true" outlineLevel="0" collapsed="false">
      <c r="A32" s="205"/>
      <c r="B32" s="187" t="s">
        <v>549</v>
      </c>
      <c r="C32" s="187"/>
      <c r="D32" s="187"/>
      <c r="E32" s="187"/>
      <c r="F32" s="187"/>
      <c r="G32" s="187"/>
    </row>
    <row r="33" customFormat="false" ht="21.75" hidden="false" customHeight="true" outlineLevel="0" collapsed="false">
      <c r="A33" s="81" t="n">
        <v>16</v>
      </c>
      <c r="B33" s="52" t="s">
        <v>192</v>
      </c>
      <c r="C33" s="54" t="n">
        <v>672.8</v>
      </c>
      <c r="D33" s="278" t="n">
        <f aca="false">SUMIFS(Payments!$F:$F,Payments!$E:$E,"Toyota Lease",Payments!$I:$I,$I$3,Payments!$J:$J,$J$3,Payments!$D:$D,"Expense")</f>
        <v>672.8</v>
      </c>
      <c r="E33" s="54" t="n">
        <f aca="false">IFERROR(C33-D33,"")</f>
        <v>0</v>
      </c>
      <c r="F33" s="279" t="n">
        <f aca="false">IFERROR(D33/C33,"")</f>
        <v>1</v>
      </c>
      <c r="G33" s="56" t="s">
        <v>550</v>
      </c>
    </row>
    <row r="34" customFormat="false" ht="21.75" hidden="false" customHeight="true" outlineLevel="0" collapsed="false">
      <c r="A34" s="280" t="n">
        <v>17</v>
      </c>
      <c r="B34" s="58" t="s">
        <v>178</v>
      </c>
      <c r="C34" s="60" t="n">
        <v>651.55</v>
      </c>
      <c r="D34" s="278" t="n">
        <f aca="false">SUMIFS(Payments!$F:$F,Payments!$E:$E,"Hannah's Car Payment (UW Credit Union)",Payments!$I:$I,$I$3,Payments!$J:$J,$J$3,Payments!$D:$D,"Expense")</f>
        <v>651.55</v>
      </c>
      <c r="E34" s="60" t="n">
        <f aca="false">IFERROR(C34-D34,"")</f>
        <v>0</v>
      </c>
      <c r="F34" s="281" t="n">
        <f aca="false">IFERROR(D34/C34,"")</f>
        <v>1</v>
      </c>
      <c r="G34" s="62" t="s">
        <v>551</v>
      </c>
    </row>
    <row r="35" customFormat="false" ht="21.75" hidden="false" customHeight="true" outlineLevel="0" collapsed="false">
      <c r="A35" s="81" t="n">
        <v>18</v>
      </c>
      <c r="B35" s="52" t="s">
        <v>204</v>
      </c>
      <c r="C35" s="54" t="n">
        <v>250</v>
      </c>
      <c r="D35" s="278" t="n">
        <f aca="false">SUMIFS(Payments!$F:$F,Payments!$E:$E,"Gasoline (Kwik Trip / Woodmans)",Payments!$I:$I,$I$3,Payments!$J:$J,$J$3,Payments!$D:$D,"Expense")</f>
        <v>400</v>
      </c>
      <c r="E35" s="54" t="n">
        <f aca="false">IFERROR(C35-D35,"")</f>
        <v>-150</v>
      </c>
      <c r="F35" s="279" t="n">
        <f aca="false">IFERROR(D35/C35,"")</f>
        <v>1.6</v>
      </c>
      <c r="G35" s="56"/>
    </row>
    <row r="36" customFormat="false" ht="21.75" hidden="false" customHeight="true" outlineLevel="0" collapsed="false">
      <c r="A36" s="280" t="n">
        <v>19</v>
      </c>
      <c r="B36" s="58" t="s">
        <v>552</v>
      </c>
      <c r="C36" s="60" t="n">
        <v>0</v>
      </c>
      <c r="D36" s="278" t="n">
        <f aca="false">SUMIFS(Payments!$F:$F,Payments!$E:$E,"Auto Maintenance / Wash",Payments!$I:$I,$I$3,Payments!$J:$J,$J$3,Payments!$D:$D,"Expense")</f>
        <v>0</v>
      </c>
      <c r="E36" s="60" t="n">
        <f aca="false">IFERROR(C36-D36,"")</f>
        <v>0</v>
      </c>
      <c r="F36" s="281" t="str">
        <f aca="false">IFERROR(D36/C36,"")</f>
        <v/>
      </c>
      <c r="G36" s="62"/>
    </row>
    <row r="37" customFormat="false" ht="21.75" hidden="false" customHeight="true" outlineLevel="0" collapsed="false">
      <c r="A37" s="81" t="n">
        <v>20</v>
      </c>
      <c r="B37" s="52" t="s">
        <v>553</v>
      </c>
      <c r="C37" s="54" t="n">
        <v>0</v>
      </c>
      <c r="D37" s="278" t="n">
        <f aca="false">SUMIFS(Payments!$F:$F,Payments!$E:$E,"Parking (Madison)",Payments!$I:$I,$I$3,Payments!$J:$J,$J$3,Payments!$D:$D,"Expense")</f>
        <v>0</v>
      </c>
      <c r="E37" s="54" t="n">
        <f aca="false">IFERROR(C37-D37,"")</f>
        <v>0</v>
      </c>
      <c r="F37" s="279" t="str">
        <f aca="false">IFERROR(D37/C37,"")</f>
        <v/>
      </c>
      <c r="G37" s="56"/>
    </row>
    <row r="38" customFormat="false" ht="24" hidden="false" customHeight="true" outlineLevel="0" collapsed="false">
      <c r="A38" s="282"/>
      <c r="B38" s="283" t="s">
        <v>554</v>
      </c>
      <c r="C38" s="284" t="n">
        <f aca="false">SUM(C33:C37)</f>
        <v>1574.35</v>
      </c>
      <c r="D38" s="284" t="n">
        <f aca="false">SUM(D33:D37)</f>
        <v>1724.35</v>
      </c>
      <c r="E38" s="284" t="n">
        <f aca="false">IFERROR(C38-D38,"")</f>
        <v>-150</v>
      </c>
      <c r="F38" s="285" t="n">
        <f aca="false">IFERROR(D38/C38,"")</f>
        <v>1.09527741607648</v>
      </c>
      <c r="G38" s="286"/>
    </row>
    <row r="39" customFormat="false" ht="7.5" hidden="false" customHeight="true" outlineLevel="0" collapsed="false">
      <c r="A39" s="268"/>
      <c r="B39" s="287"/>
      <c r="C39" s="287"/>
      <c r="D39" s="287"/>
      <c r="E39" s="287"/>
      <c r="F39" s="287"/>
      <c r="G39" s="287"/>
    </row>
    <row r="40" customFormat="false" ht="25.5" hidden="false" customHeight="true" outlineLevel="0" collapsed="false">
      <c r="A40" s="205"/>
      <c r="B40" s="187" t="s">
        <v>555</v>
      </c>
      <c r="C40" s="187"/>
      <c r="D40" s="187"/>
      <c r="E40" s="187"/>
      <c r="F40" s="187"/>
      <c r="G40" s="187"/>
    </row>
    <row r="41" customFormat="false" ht="21.75" hidden="false" customHeight="true" outlineLevel="0" collapsed="false">
      <c r="A41" s="81" t="n">
        <v>20</v>
      </c>
      <c r="B41" s="52" t="s">
        <v>556</v>
      </c>
      <c r="C41" s="54" t="n">
        <v>0</v>
      </c>
      <c r="D41" s="278" t="n">
        <f aca="false">SUMIFS(Payments!$F:$F,Payments!$E:$E,"Childcare / School Costs",Payments!$I:$I,$I$3,Payments!$J:$J,$J$3,Payments!$D:$D,"Expense")</f>
        <v>0</v>
      </c>
      <c r="E41" s="54" t="n">
        <f aca="false">IFERROR(C41-D41,"")</f>
        <v>0</v>
      </c>
      <c r="F41" s="279" t="str">
        <f aca="false">IFERROR(D41/C41,"")</f>
        <v/>
      </c>
      <c r="G41" s="56" t="s">
        <v>557</v>
      </c>
    </row>
    <row r="42" customFormat="false" ht="21.75" hidden="false" customHeight="true" outlineLevel="0" collapsed="false">
      <c r="A42" s="280" t="n">
        <v>21</v>
      </c>
      <c r="B42" s="58" t="s">
        <v>558</v>
      </c>
      <c r="C42" s="60" t="n">
        <v>0</v>
      </c>
      <c r="D42" s="278" t="n">
        <f aca="false">SUMIFS(Payments!$F:$F,Payments!$E:$E,"Kids' Activities",Payments!$I:$I,$I$3,Payments!$J:$J,$J$3,Payments!$D:$D,"Expense")</f>
        <v>0</v>
      </c>
      <c r="E42" s="60" t="n">
        <f aca="false">IFERROR(C42-D42,"")</f>
        <v>0</v>
      </c>
      <c r="F42" s="281" t="str">
        <f aca="false">IFERROR(D42/C42,"")</f>
        <v/>
      </c>
      <c r="G42" s="62"/>
    </row>
    <row r="43" customFormat="false" ht="21.75" hidden="false" customHeight="true" outlineLevel="0" collapsed="false">
      <c r="A43" s="81" t="n">
        <v>22</v>
      </c>
      <c r="B43" s="52" t="s">
        <v>559</v>
      </c>
      <c r="C43" s="54" t="n">
        <v>0</v>
      </c>
      <c r="D43" s="278" t="n">
        <f aca="false">SUMIFS(Payments!$F:$F,Payments!$E:$E,"Camp K9 (Pet Boarding)",Payments!$I:$I,$I$3,Payments!$J:$J,$J$3,Payments!$D:$D,"Expense")</f>
        <v>0</v>
      </c>
      <c r="E43" s="54" t="n">
        <f aca="false">IFERROR(C43-D43,"")</f>
        <v>0</v>
      </c>
      <c r="F43" s="279" t="str">
        <f aca="false">IFERROR(D43/C43,"")</f>
        <v/>
      </c>
      <c r="G43" s="56" t="s">
        <v>560</v>
      </c>
    </row>
    <row r="44" customFormat="false" ht="21.75" hidden="false" customHeight="true" outlineLevel="0" collapsed="false">
      <c r="A44" s="280" t="n">
        <v>23</v>
      </c>
      <c r="B44" s="58" t="s">
        <v>561</v>
      </c>
      <c r="C44" s="60" t="n">
        <v>51.01</v>
      </c>
      <c r="D44" s="278" t="n">
        <f aca="false">SUMIFS(Payments!$F:$F,Payments!$E:$E,"Pet Insurance (Spot)",Payments!$I:$I,$I$3,Payments!$J:$J,$J$3,Payments!$D:$D,"Expense")</f>
        <v>0</v>
      </c>
      <c r="E44" s="60" t="n">
        <f aca="false">IFERROR(C44-D44,"")</f>
        <v>51.01</v>
      </c>
      <c r="F44" s="281" t="n">
        <f aca="false">IFERROR(D44/C44,"")</f>
        <v>0</v>
      </c>
      <c r="G44" s="62"/>
    </row>
    <row r="45" customFormat="false" ht="21.75" hidden="false" customHeight="true" outlineLevel="0" collapsed="false">
      <c r="A45" s="81" t="n">
        <v>24</v>
      </c>
      <c r="B45" s="52" t="s">
        <v>562</v>
      </c>
      <c r="C45" s="54" t="n">
        <v>50.24</v>
      </c>
      <c r="D45" s="278" t="n">
        <f aca="false">SUMIFS(Payments!$F:$F,Payments!$E:$E,"Pet Food (Chewy)",Payments!$I:$I,$I$3,Payments!$J:$J,$J$3,Payments!$D:$D,"Expense")</f>
        <v>0</v>
      </c>
      <c r="E45" s="54" t="n">
        <f aca="false">IFERROR(C45-D45,"")</f>
        <v>50.24</v>
      </c>
      <c r="F45" s="279" t="n">
        <f aca="false">IFERROR(D45/C45,"")</f>
        <v>0</v>
      </c>
      <c r="G45" s="56"/>
    </row>
    <row r="46" customFormat="false" ht="21.75" hidden="false" customHeight="true" outlineLevel="0" collapsed="false">
      <c r="A46" s="280" t="n">
        <v>25</v>
      </c>
      <c r="B46" s="58" t="s">
        <v>563</v>
      </c>
      <c r="C46" s="60" t="n">
        <v>0</v>
      </c>
      <c r="D46" s="278" t="n">
        <f aca="false">SUMIFS(Payments!$F:$F,Payments!$E:$E,"Vet / Pet Other",Payments!$I:$I,$I$3,Payments!$J:$J,$J$3,Payments!$D:$D,"Expense")</f>
        <v>0</v>
      </c>
      <c r="E46" s="60" t="n">
        <f aca="false">IFERROR(C46-D46,"")</f>
        <v>0</v>
      </c>
      <c r="F46" s="281" t="str">
        <f aca="false">IFERROR(D46/C46,"")</f>
        <v/>
      </c>
      <c r="G46" s="62" t="s">
        <v>534</v>
      </c>
    </row>
    <row r="47" customFormat="false" ht="21.75" hidden="false" customHeight="true" outlineLevel="0" collapsed="false">
      <c r="A47" s="81" t="n">
        <v>26</v>
      </c>
      <c r="B47" s="52" t="s">
        <v>564</v>
      </c>
      <c r="C47" s="54" t="n">
        <v>80</v>
      </c>
      <c r="D47" s="278" t="n">
        <f aca="false">SUMIFS(Payments!$F:$F,Payments!$E:$E,"Pet Waste (Scoop Scoop)",Payments!$I:$I,$I$3,Payments!$J:$J,$J$3,Payments!$D:$D,"Expense")</f>
        <v>0</v>
      </c>
      <c r="E47" s="54" t="n">
        <f aca="false">IFERROR(C47-D47,"")</f>
        <v>80</v>
      </c>
      <c r="F47" s="279" t="n">
        <f aca="false">IFERROR(D47/C47,"")</f>
        <v>0</v>
      </c>
      <c r="G47" s="56"/>
    </row>
    <row r="48" customFormat="false" ht="24" hidden="false" customHeight="true" outlineLevel="0" collapsed="false">
      <c r="A48" s="282"/>
      <c r="B48" s="283" t="s">
        <v>565</v>
      </c>
      <c r="C48" s="284" t="n">
        <f aca="false">SUM(C41:C47)</f>
        <v>181.25</v>
      </c>
      <c r="D48" s="284" t="n">
        <f aca="false">SUM(D41:D47)</f>
        <v>0</v>
      </c>
      <c r="E48" s="284" t="n">
        <f aca="false">IFERROR(C48-D48,"")</f>
        <v>181.25</v>
      </c>
      <c r="F48" s="285" t="n">
        <f aca="false">IFERROR(D48/C48,"")</f>
        <v>0</v>
      </c>
      <c r="G48" s="286"/>
    </row>
    <row r="49" customFormat="false" ht="7.5" hidden="false" customHeight="true" outlineLevel="0" collapsed="false">
      <c r="A49" s="268"/>
      <c r="B49" s="287"/>
      <c r="C49" s="287"/>
      <c r="D49" s="287"/>
      <c r="E49" s="287"/>
      <c r="F49" s="287"/>
      <c r="G49" s="287"/>
    </row>
    <row r="50" customFormat="false" ht="25.5" hidden="false" customHeight="true" outlineLevel="0" collapsed="false">
      <c r="A50" s="205"/>
      <c r="B50" s="187" t="s">
        <v>566</v>
      </c>
      <c r="C50" s="187"/>
      <c r="D50" s="187"/>
      <c r="E50" s="187"/>
      <c r="F50" s="187"/>
      <c r="G50" s="187"/>
    </row>
    <row r="51" customFormat="false" ht="21.75" hidden="false" customHeight="true" outlineLevel="0" collapsed="false">
      <c r="A51" s="288" t="n">
        <v>27</v>
      </c>
      <c r="B51" s="289" t="s">
        <v>567</v>
      </c>
      <c r="C51" s="290" t="n">
        <f aca="false">'Debt Tracker'!M5</f>
        <v>33</v>
      </c>
      <c r="D51" s="291" t="n">
        <f aca="false">SUMIFS(Payments!$F:$F,Payments!$E:$E,'Debt Tracker'!B5,Payments!$I:$I,$I$3,Payments!$J:$J,$J$3,Payments!$D:$D,"Expense")</f>
        <v>34</v>
      </c>
      <c r="E51" s="290" t="n">
        <f aca="false">IFERROR(C51-D51,"")</f>
        <v>-1</v>
      </c>
      <c r="F51" s="292" t="n">
        <f aca="false">IFERROR(D51/C51,"")</f>
        <v>1.03030303030303</v>
      </c>
      <c r="G51" s="293" t="s">
        <v>568</v>
      </c>
    </row>
    <row r="52" customFormat="false" ht="21.75" hidden="false" customHeight="true" outlineLevel="0" collapsed="false">
      <c r="A52" s="288" t="n">
        <v>28</v>
      </c>
      <c r="B52" s="289" t="s">
        <v>569</v>
      </c>
      <c r="C52" s="290" t="n">
        <f aca="false">'Debt Tracker'!M6</f>
        <v>129</v>
      </c>
      <c r="D52" s="291" t="n">
        <f aca="false">SUMIFS(Payments!$F:$F,Payments!$E:$E,'Debt Tracker'!B6,Payments!$I:$I,$I$3,Payments!$J:$J,$J$3,Payments!$D:$D,"Expense")</f>
        <v>329</v>
      </c>
      <c r="E52" s="290" t="n">
        <f aca="false">IFERROR(C52-D52,"")</f>
        <v>-200</v>
      </c>
      <c r="F52" s="292" t="n">
        <f aca="false">IFERROR(D52/C52,"")</f>
        <v>2.55038759689923</v>
      </c>
      <c r="G52" s="293" t="s">
        <v>568</v>
      </c>
    </row>
    <row r="53" customFormat="false" ht="21.75" hidden="false" customHeight="true" outlineLevel="0" collapsed="false">
      <c r="A53" s="288" t="n">
        <v>29</v>
      </c>
      <c r="B53" s="289" t="s">
        <v>570</v>
      </c>
      <c r="C53" s="290" t="n">
        <f aca="false">'Debt Tracker'!M7</f>
        <v>29</v>
      </c>
      <c r="D53" s="291" t="n">
        <f aca="false">SUMIFS(Payments!$F:$F,Payments!$E:$E,'Debt Tracker'!B7,Payments!$I:$I,$I$3,Payments!$J:$J,$J$3,Payments!$D:$D,"Expense")</f>
        <v>0</v>
      </c>
      <c r="E53" s="290" t="n">
        <f aca="false">IFERROR(C53-D53,"")</f>
        <v>29</v>
      </c>
      <c r="F53" s="292" t="n">
        <f aca="false">IFERROR(D53/C53,"")</f>
        <v>0</v>
      </c>
      <c r="G53" s="293" t="s">
        <v>568</v>
      </c>
    </row>
    <row r="54" customFormat="false" ht="21.75" hidden="false" customHeight="true" outlineLevel="0" collapsed="false">
      <c r="A54" s="288" t="n">
        <v>30</v>
      </c>
      <c r="B54" s="289" t="s">
        <v>571</v>
      </c>
      <c r="C54" s="290" t="n">
        <f aca="false">'Debt Tracker'!M8</f>
        <v>200</v>
      </c>
      <c r="D54" s="291" t="n">
        <f aca="false">SUMIFS(Payments!$F:$F,Payments!$E:$E,'Debt Tracker'!B8,Payments!$I:$I,$I$3,Payments!$J:$J,$J$3,Payments!$D:$D,"Expense")</f>
        <v>591</v>
      </c>
      <c r="E54" s="290" t="n">
        <f aca="false">IFERROR(C54-D54,"")</f>
        <v>-391</v>
      </c>
      <c r="F54" s="292" t="n">
        <f aca="false">IFERROR(D54/C54,"")</f>
        <v>2.955</v>
      </c>
      <c r="G54" s="293" t="s">
        <v>568</v>
      </c>
    </row>
    <row r="55" customFormat="false" ht="21.75" hidden="false" customHeight="true" outlineLevel="0" collapsed="false">
      <c r="A55" s="288" t="n">
        <v>31</v>
      </c>
      <c r="B55" s="289" t="s">
        <v>572</v>
      </c>
      <c r="C55" s="290" t="n">
        <f aca="false">'Debt Tracker'!M9</f>
        <v>205.87</v>
      </c>
      <c r="D55" s="291" t="n">
        <f aca="false">SUMIFS(Payments!$F:$F,Payments!$E:$E,'Debt Tracker'!B9,Payments!$I:$I,$I$3,Payments!$J:$J,$J$3,Payments!$D:$D,"Expense")</f>
        <v>1810.56</v>
      </c>
      <c r="E55" s="290" t="n">
        <f aca="false">IFERROR(C55-D55,"")</f>
        <v>-1604.69</v>
      </c>
      <c r="F55" s="292" t="n">
        <f aca="false">IFERROR(D55/C55,"")</f>
        <v>8.79467625200369</v>
      </c>
      <c r="G55" s="293" t="s">
        <v>568</v>
      </c>
    </row>
    <row r="56" customFormat="false" ht="21.75" hidden="false" customHeight="true" outlineLevel="0" collapsed="false">
      <c r="A56" s="288" t="n">
        <v>32</v>
      </c>
      <c r="B56" s="289" t="s">
        <v>573</v>
      </c>
      <c r="C56" s="290" t="n">
        <f aca="false">'Debt Tracker'!M10</f>
        <v>92</v>
      </c>
      <c r="D56" s="291" t="n">
        <f aca="false">SUMIFS(Payments!$F:$F,Payments!$E:$E,'Debt Tracker'!B10,Payments!$I:$I,$I$3,Payments!$J:$J,$J$3,Payments!$D:$D,"Expense")</f>
        <v>0</v>
      </c>
      <c r="E56" s="290" t="n">
        <f aca="false">IFERROR(C56-D56,"")</f>
        <v>92</v>
      </c>
      <c r="F56" s="292" t="n">
        <f aca="false">IFERROR(D56/C56,"")</f>
        <v>0</v>
      </c>
      <c r="G56" s="293" t="s">
        <v>568</v>
      </c>
    </row>
    <row r="57" customFormat="false" ht="21.75" hidden="false" customHeight="true" outlineLevel="0" collapsed="false">
      <c r="A57" s="288" t="n">
        <v>33</v>
      </c>
      <c r="B57" s="289" t="s">
        <v>574</v>
      </c>
      <c r="C57" s="290" t="n">
        <f aca="false">'Debt Tracker'!M11</f>
        <v>40</v>
      </c>
      <c r="D57" s="291" t="n">
        <f aca="false">SUMIFS(Payments!$F:$F,Payments!$E:$E,'Debt Tracker'!B11,Payments!$I:$I,$I$3,Payments!$J:$J,$J$3,Payments!$D:$D,"Expense")</f>
        <v>300</v>
      </c>
      <c r="E57" s="290" t="n">
        <f aca="false">IFERROR(C57-D57,"")</f>
        <v>-260</v>
      </c>
      <c r="F57" s="292" t="n">
        <f aca="false">IFERROR(D57/C57,"")</f>
        <v>7.5</v>
      </c>
      <c r="G57" s="293" t="s">
        <v>568</v>
      </c>
    </row>
    <row r="58" customFormat="false" ht="21.75" hidden="false" customHeight="true" outlineLevel="0" collapsed="false">
      <c r="A58" s="288" t="n">
        <v>34</v>
      </c>
      <c r="B58" s="289" t="s">
        <v>575</v>
      </c>
      <c r="C58" s="290" t="n">
        <f aca="false">'Debt Tracker'!M12</f>
        <v>151.01</v>
      </c>
      <c r="D58" s="291" t="n">
        <f aca="false">SUMIFS(Payments!$F:$F,Payments!$E:$E,'Debt Tracker'!B12,Payments!$I:$I,$I$3,Payments!$J:$J,$J$3,Payments!$D:$D,"Expense")</f>
        <v>151.01</v>
      </c>
      <c r="E58" s="290" t="n">
        <f aca="false">IFERROR(C58-D58,"")</f>
        <v>0</v>
      </c>
      <c r="F58" s="292" t="n">
        <f aca="false">IFERROR(D58/C58,"")</f>
        <v>1</v>
      </c>
      <c r="G58" s="293" t="s">
        <v>568</v>
      </c>
    </row>
    <row r="59" customFormat="false" ht="21.75" hidden="false" customHeight="true" outlineLevel="0" collapsed="false">
      <c r="A59" s="288" t="n">
        <v>35</v>
      </c>
      <c r="B59" s="289" t="s">
        <v>576</v>
      </c>
      <c r="C59" s="290" t="n">
        <f aca="false">'Debt Tracker'!M13</f>
        <v>72.54</v>
      </c>
      <c r="D59" s="291" t="n">
        <f aca="false">SUMIFS(Payments!$F:$F,Payments!$E:$E,'Debt Tracker'!B14,Payments!$I:$I,$I$3,Payments!$J:$J,$J$3,Payments!$D:$D,"Expense")</f>
        <v>34</v>
      </c>
      <c r="E59" s="290" t="n">
        <f aca="false">IFERROR(C59-D59,"")</f>
        <v>38.54</v>
      </c>
      <c r="F59" s="292" t="n">
        <f aca="false">IFERROR(D59/C59,"")</f>
        <v>0.468706920319824</v>
      </c>
      <c r="G59" s="293" t="s">
        <v>568</v>
      </c>
    </row>
    <row r="60" customFormat="false" ht="21.75" hidden="false" customHeight="true" outlineLevel="0" collapsed="false">
      <c r="A60" s="288" t="n">
        <v>36</v>
      </c>
      <c r="B60" s="289" t="s">
        <v>577</v>
      </c>
      <c r="C60" s="290" t="n">
        <f aca="false">'Debt Tracker'!M14</f>
        <v>38</v>
      </c>
      <c r="D60" s="291" t="n">
        <f aca="false">SUMIFS(Payments!$F:$F,Payments!$E:$E,'Debt Tracker'!B13,Payments!$I:$I,$I$3,Payments!$J:$J,$J$3,Payments!$D:$D,"Expense")</f>
        <v>72.54</v>
      </c>
      <c r="E60" s="290" t="n">
        <f aca="false">IFERROR(C60-D60,"")</f>
        <v>-34.54</v>
      </c>
      <c r="F60" s="292" t="n">
        <f aca="false">IFERROR(D60/C60,"")</f>
        <v>1.90894736842105</v>
      </c>
      <c r="G60" s="293" t="s">
        <v>568</v>
      </c>
    </row>
    <row r="61" customFormat="false" ht="21.75" hidden="false" customHeight="true" outlineLevel="0" collapsed="false">
      <c r="A61" s="288" t="n">
        <v>37</v>
      </c>
      <c r="B61" s="289" t="s">
        <v>578</v>
      </c>
      <c r="C61" s="290" t="n">
        <f aca="false">'Debt Tracker'!M15</f>
        <v>80</v>
      </c>
      <c r="D61" s="291" t="n">
        <f aca="false">SUMIFS(Payments!$F:$F,Payments!$E:$E,'Debt Tracker'!B15,Payments!$I:$I,$I$3,Payments!$J:$J,$J$3,Payments!$D:$D,"Expense")</f>
        <v>409</v>
      </c>
      <c r="E61" s="290" t="n">
        <f aca="false">IFERROR(C61-D61,"")</f>
        <v>-329</v>
      </c>
      <c r="F61" s="292" t="n">
        <f aca="false">IFERROR(D61/C61,"")</f>
        <v>5.1125</v>
      </c>
      <c r="G61" s="293" t="s">
        <v>568</v>
      </c>
    </row>
    <row r="62" customFormat="false" ht="21.75" hidden="false" customHeight="true" outlineLevel="0" collapsed="false">
      <c r="A62" s="288" t="n">
        <v>38</v>
      </c>
      <c r="B62" s="289" t="s">
        <v>579</v>
      </c>
      <c r="C62" s="290" t="n">
        <f aca="false">'Debt Tracker'!M16</f>
        <v>8.25</v>
      </c>
      <c r="D62" s="291" t="n">
        <f aca="false">SUMIFS(Payments!$F:$F,Payments!$E:$E,'Debt Tracker'!B16,Payments!$I:$I,$I$3,Payments!$J:$J,$J$3,Payments!$D:$D,"Expense")</f>
        <v>8.25</v>
      </c>
      <c r="E62" s="290" t="n">
        <f aca="false">IFERROR(C62-D62,"")</f>
        <v>0</v>
      </c>
      <c r="F62" s="292" t="n">
        <f aca="false">IFERROR(D62/C62,"")</f>
        <v>1</v>
      </c>
      <c r="G62" s="293" t="s">
        <v>568</v>
      </c>
    </row>
    <row r="63" customFormat="false" ht="21.75" hidden="false" customHeight="true" outlineLevel="0" collapsed="false">
      <c r="A63" s="288" t="n">
        <v>39</v>
      </c>
      <c r="B63" s="289" t="s">
        <v>580</v>
      </c>
      <c r="C63" s="290" t="n">
        <f aca="false">'Debt Tracker'!M17</f>
        <v>44</v>
      </c>
      <c r="D63" s="291" t="n">
        <f aca="false">SUMIFS(Payments!$F:$F,Payments!$E:$E,'Debt Tracker'!B17,Payments!$I:$I,$I$3,Payments!$J:$J,$J$3,Payments!$D:$D,"Expense")</f>
        <v>316.16</v>
      </c>
      <c r="E63" s="290" t="n">
        <f aca="false">IFERROR(C63-D63,"")</f>
        <v>-272.16</v>
      </c>
      <c r="F63" s="292" t="n">
        <f aca="false">IFERROR(D63/C63,"")</f>
        <v>7.18545454545455</v>
      </c>
      <c r="G63" s="293" t="s">
        <v>568</v>
      </c>
    </row>
    <row r="64" customFormat="false" ht="21.75" hidden="false" customHeight="true" outlineLevel="0" collapsed="false">
      <c r="A64" s="288" t="n">
        <v>40</v>
      </c>
      <c r="B64" s="289" t="s">
        <v>581</v>
      </c>
      <c r="C64" s="290" t="n">
        <f aca="false">'Debt Tracker'!M18</f>
        <v>99</v>
      </c>
      <c r="D64" s="291" t="n">
        <f aca="false">SUMIFS(Payments!$F:$F,Payments!$E:$E,'Debt Tracker'!B18,Payments!$I:$I,$I$3,Payments!$J:$J,$J$3,Payments!$D:$D,"Expense")</f>
        <v>0</v>
      </c>
      <c r="E64" s="290" t="n">
        <f aca="false">IFERROR(C64-D64,"")</f>
        <v>99</v>
      </c>
      <c r="F64" s="292" t="n">
        <f aca="false">IFERROR(D64/C64,"")</f>
        <v>0</v>
      </c>
      <c r="G64" s="293" t="s">
        <v>568</v>
      </c>
    </row>
    <row r="65" customFormat="false" ht="21.75" hidden="false" customHeight="true" outlineLevel="0" collapsed="false">
      <c r="A65" s="288" t="n">
        <v>41</v>
      </c>
      <c r="B65" s="289" t="s">
        <v>582</v>
      </c>
      <c r="C65" s="290" t="n">
        <f aca="false">'Debt Tracker'!M19</f>
        <v>19.11</v>
      </c>
      <c r="D65" s="291" t="n">
        <f aca="false">SUMIFS(Payments!$F:$F,Payments!$E:$E,'Debt Tracker'!B19,Payments!$I:$I,$I$3,Payments!$J:$J,$J$3,Payments!$D:$D,"Expense")</f>
        <v>0</v>
      </c>
      <c r="E65" s="290" t="n">
        <f aca="false">IFERROR(C65-D65,"")</f>
        <v>19.11</v>
      </c>
      <c r="F65" s="292" t="n">
        <f aca="false">IFERROR(D65/C65,"")</f>
        <v>0</v>
      </c>
      <c r="G65" s="293" t="s">
        <v>568</v>
      </c>
    </row>
    <row r="66" customFormat="false" ht="21.75" hidden="false" customHeight="true" outlineLevel="0" collapsed="false">
      <c r="A66" s="288" t="n">
        <v>42</v>
      </c>
      <c r="B66" s="289" t="s">
        <v>583</v>
      </c>
      <c r="C66" s="290" t="n">
        <f aca="false">'Debt Tracker'!M20</f>
        <v>40</v>
      </c>
      <c r="D66" s="291" t="n">
        <f aca="false">SUMIFS(Payments!$F:$F,Payments!$E:$E,'Debt Tracker'!B20,Payments!$I:$I,$I$3,Payments!$J:$J,$J$3,Payments!$D:$D,"Expense")</f>
        <v>0</v>
      </c>
      <c r="E66" s="290" t="n">
        <f aca="false">IFERROR(C66-D66,"")</f>
        <v>40</v>
      </c>
      <c r="F66" s="292" t="n">
        <f aca="false">IFERROR(D66/C66,"")</f>
        <v>0</v>
      </c>
      <c r="G66" s="293" t="s">
        <v>568</v>
      </c>
    </row>
    <row r="67" customFormat="false" ht="21.75" hidden="false" customHeight="true" outlineLevel="0" collapsed="false">
      <c r="A67" s="288" t="n">
        <v>43</v>
      </c>
      <c r="B67" s="289" t="s">
        <v>584</v>
      </c>
      <c r="C67" s="290" t="n">
        <f aca="false">'Debt Tracker'!M21</f>
        <v>53.99</v>
      </c>
      <c r="D67" s="291" t="n">
        <f aca="false">SUMIFS(Payments!$F:$F,Payments!$E:$E,'Debt Tracker'!B21,Payments!$I:$I,$I$3,Payments!$J:$J,$J$3,Payments!$D:$D,"Expense")</f>
        <v>434.31</v>
      </c>
      <c r="E67" s="290" t="n">
        <f aca="false">IFERROR(C67-D67,"")</f>
        <v>-380.32</v>
      </c>
      <c r="F67" s="292" t="n">
        <f aca="false">IFERROR(D67/C67,"")</f>
        <v>8.04426745693647</v>
      </c>
      <c r="G67" s="293" t="s">
        <v>568</v>
      </c>
    </row>
    <row r="68" customFormat="false" ht="21.75" hidden="false" customHeight="true" outlineLevel="0" collapsed="false">
      <c r="A68" s="288" t="n">
        <v>44</v>
      </c>
      <c r="B68" s="289" t="s">
        <v>585</v>
      </c>
      <c r="C68" s="290" t="n">
        <f aca="false">'Debt Tracker'!M22</f>
        <v>265.5</v>
      </c>
      <c r="D68" s="291" t="n">
        <f aca="false">SUMIFS(Payments!$F:$F,Payments!$E:$E,'Debt Tracker'!B22,Payments!$I:$I,$I$3,Payments!$J:$J,$J$3,Payments!$D:$D,"Expense")</f>
        <v>227.5</v>
      </c>
      <c r="E68" s="290" t="n">
        <f aca="false">IFERROR(C68-D68,"")</f>
        <v>38</v>
      </c>
      <c r="F68" s="292" t="n">
        <f aca="false">IFERROR(D68/C68,"")</f>
        <v>0.856873822975518</v>
      </c>
      <c r="G68" s="293" t="s">
        <v>568</v>
      </c>
    </row>
    <row r="69" customFormat="false" ht="21.75" hidden="false" customHeight="true" outlineLevel="0" collapsed="false">
      <c r="A69" s="288" t="n">
        <v>45</v>
      </c>
      <c r="B69" s="289" t="s">
        <v>586</v>
      </c>
      <c r="C69" s="290" t="n">
        <f aca="false">'Debt Tracker'!M23</f>
        <v>1309.17</v>
      </c>
      <c r="D69" s="291" t="n">
        <f aca="false">SUMIFS(Payments!$F:$F,Payments!$E:$E,'Debt Tracker'!B23,Payments!$I:$I,$I$3,Payments!$J:$J,$J$3,Payments!$D:$D,"Expense")</f>
        <v>1309.17</v>
      </c>
      <c r="E69" s="290" t="n">
        <f aca="false">IFERROR(C69-D69,"")</f>
        <v>0</v>
      </c>
      <c r="F69" s="292" t="n">
        <f aca="false">IFERROR(D69/C69,"")</f>
        <v>1</v>
      </c>
      <c r="G69" s="293" t="s">
        <v>568</v>
      </c>
    </row>
    <row r="70" customFormat="false" ht="21.75" hidden="false" customHeight="true" outlineLevel="0" collapsed="false">
      <c r="A70" s="288" t="n">
        <v>46</v>
      </c>
      <c r="B70" s="289" t="s">
        <v>587</v>
      </c>
      <c r="C70" s="290" t="n">
        <f aca="false">'Debt Tracker'!M24</f>
        <v>139.5</v>
      </c>
      <c r="D70" s="291" t="n">
        <f aca="false">SUMIFS(Payments!$F:$F,Payments!$E:$E,'Debt Tracker'!B24,Payments!$I:$I,$I$3,Payments!$J:$J,$J$3,Payments!$D:$D,"Expense")</f>
        <v>139.5</v>
      </c>
      <c r="E70" s="290" t="n">
        <f aca="false">IFERROR(C70-D70,"")</f>
        <v>0</v>
      </c>
      <c r="F70" s="292" t="n">
        <f aca="false">IFERROR(D70/C70,"")</f>
        <v>1</v>
      </c>
      <c r="G70" s="293" t="s">
        <v>568</v>
      </c>
    </row>
    <row r="71" customFormat="false" ht="21.75" hidden="false" customHeight="true" outlineLevel="0" collapsed="false">
      <c r="A71" s="288" t="n">
        <v>47</v>
      </c>
      <c r="B71" s="289" t="s">
        <v>588</v>
      </c>
      <c r="C71" s="290" t="n">
        <f aca="false">'Debt Tracker'!M25</f>
        <v>107.75</v>
      </c>
      <c r="D71" s="291" t="n">
        <f aca="false">SUMIFS(Payments!$F:$F,Payments!$E:$E,'Debt Tracker'!B25,Payments!$I:$I,$I$3,Payments!$J:$J,$J$3,Payments!$D:$D,"Expense")</f>
        <v>107.75</v>
      </c>
      <c r="E71" s="290" t="n">
        <f aca="false">IFERROR(C71-D71,"")</f>
        <v>0</v>
      </c>
      <c r="F71" s="292" t="n">
        <f aca="false">IFERROR(D71/C71,"")</f>
        <v>1</v>
      </c>
      <c r="G71" s="293" t="s">
        <v>568</v>
      </c>
    </row>
    <row r="72" customFormat="false" ht="21.75" hidden="false" customHeight="true" outlineLevel="0" collapsed="false">
      <c r="A72" s="288" t="n">
        <v>48</v>
      </c>
      <c r="B72" s="289" t="s">
        <v>589</v>
      </c>
      <c r="C72" s="290" t="n">
        <f aca="false">'Debt Tracker'!M26</f>
        <v>66.93</v>
      </c>
      <c r="D72" s="291" t="n">
        <f aca="false">SUMIFS(Payments!$F:$F,Payments!$E:$E,'Debt Tracker'!B26,Payments!$I:$I,$I$3,Payments!$J:$J,$J$3,Payments!$D:$D,"Expense")</f>
        <v>66.93</v>
      </c>
      <c r="E72" s="290" t="n">
        <f aca="false">IFERROR(C72-D72,"")</f>
        <v>0</v>
      </c>
      <c r="F72" s="292" t="n">
        <f aca="false">IFERROR(D72/C72,"")</f>
        <v>1</v>
      </c>
      <c r="G72" s="293" t="s">
        <v>568</v>
      </c>
    </row>
    <row r="73" customFormat="false" ht="21.75" hidden="false" customHeight="true" outlineLevel="0" collapsed="false">
      <c r="A73" s="288" t="n">
        <v>49</v>
      </c>
      <c r="B73" s="289" t="s">
        <v>590</v>
      </c>
      <c r="C73" s="290" t="n">
        <f aca="false">'Debt Tracker'!M27</f>
        <v>56.02</v>
      </c>
      <c r="D73" s="291" t="n">
        <f aca="false">SUMIFS(Payments!$F:$F,Payments!$E:$E,'Debt Tracker'!B27,Payments!$I:$I,$I$3,Payments!$J:$J,$J$3,Payments!$D:$D,"Expense")</f>
        <v>0</v>
      </c>
      <c r="E73" s="290" t="n">
        <f aca="false">IFERROR(C73-D73,"")</f>
        <v>56.02</v>
      </c>
      <c r="F73" s="292" t="n">
        <f aca="false">IFERROR(D73/C73,"")</f>
        <v>0</v>
      </c>
      <c r="G73" s="293" t="s">
        <v>568</v>
      </c>
    </row>
    <row r="74" customFormat="false" ht="21.75" hidden="false" customHeight="true" outlineLevel="0" collapsed="false">
      <c r="A74" s="288" t="n">
        <v>50</v>
      </c>
      <c r="B74" s="289" t="s">
        <v>591</v>
      </c>
      <c r="C74" s="290" t="n">
        <f aca="false">'Debt Tracker'!M28</f>
        <v>18.22</v>
      </c>
      <c r="D74" s="291" t="n">
        <f aca="false">SUMIFS(Payments!$F:$F,Payments!$E:$E,'Debt Tracker'!B28,Payments!$I:$I,$I$3,Payments!$J:$J,$J$3,Payments!$D:$D,"Expense")</f>
        <v>18.22</v>
      </c>
      <c r="E74" s="290" t="n">
        <f aca="false">IFERROR(C74-D74,"")</f>
        <v>0</v>
      </c>
      <c r="F74" s="292" t="n">
        <f aca="false">IFERROR(D74/C74,"")</f>
        <v>1</v>
      </c>
      <c r="G74" s="293" t="s">
        <v>568</v>
      </c>
    </row>
    <row r="75" customFormat="false" ht="21.75" hidden="false" customHeight="true" outlineLevel="0" collapsed="false">
      <c r="A75" s="288" t="n">
        <v>51</v>
      </c>
      <c r="B75" s="289" t="s">
        <v>592</v>
      </c>
      <c r="C75" s="290" t="n">
        <f aca="false">'Debt Tracker'!M29</f>
        <v>20.38</v>
      </c>
      <c r="D75" s="291" t="n">
        <f aca="false">SUMIFS(Payments!$F:$F,Payments!$E:$E,'Debt Tracker'!B29,Payments!$I:$I,$I$3,Payments!$J:$J,$J$3,Payments!$D:$D,"Expense")</f>
        <v>20.38</v>
      </c>
      <c r="E75" s="290" t="n">
        <f aca="false">IFERROR(C75-D75,"")</f>
        <v>0</v>
      </c>
      <c r="F75" s="292" t="n">
        <f aca="false">IFERROR(D75/C75,"")</f>
        <v>1</v>
      </c>
      <c r="G75" s="293" t="s">
        <v>568</v>
      </c>
    </row>
    <row r="76" customFormat="false" ht="24" hidden="false" customHeight="true" outlineLevel="0" collapsed="false">
      <c r="A76" s="282"/>
      <c r="B76" s="283" t="s">
        <v>593</v>
      </c>
      <c r="C76" s="284" t="n">
        <f aca="false">SUM(C51:C75)</f>
        <v>3318.24</v>
      </c>
      <c r="D76" s="284" t="n">
        <f aca="false">SUM(D51:D75)</f>
        <v>6379.28</v>
      </c>
      <c r="E76" s="284" t="n">
        <f aca="false">IFERROR(C76-D76,"")</f>
        <v>-3061.04</v>
      </c>
      <c r="F76" s="285" t="n">
        <f aca="false">IFERROR(D76/C76,"")</f>
        <v>1.92248903032933</v>
      </c>
      <c r="G76" s="286"/>
    </row>
    <row r="77" customFormat="false" ht="7.5" hidden="false" customHeight="true" outlineLevel="0" collapsed="false">
      <c r="A77" s="268"/>
      <c r="B77" s="287"/>
      <c r="C77" s="287"/>
      <c r="D77" s="287"/>
      <c r="E77" s="287"/>
      <c r="F77" s="287"/>
      <c r="G77" s="287"/>
    </row>
    <row r="78" customFormat="false" ht="25.5" hidden="false" customHeight="true" outlineLevel="0" collapsed="false">
      <c r="A78" s="205"/>
      <c r="B78" s="187" t="s">
        <v>594</v>
      </c>
      <c r="C78" s="187"/>
      <c r="D78" s="187"/>
      <c r="E78" s="187"/>
      <c r="F78" s="187"/>
      <c r="G78" s="187"/>
    </row>
    <row r="79" customFormat="false" ht="21.75" hidden="false" customHeight="true" outlineLevel="0" collapsed="false">
      <c r="A79" s="294" t="n">
        <v>52</v>
      </c>
      <c r="B79" s="295" t="s">
        <v>595</v>
      </c>
      <c r="C79" s="296" t="n">
        <v>0</v>
      </c>
      <c r="D79" s="296" t="n">
        <v>0</v>
      </c>
      <c r="E79" s="48" t="n">
        <f aca="false">IFERROR(C79-D79,"")</f>
        <v>0</v>
      </c>
      <c r="F79" s="297" t="str">
        <f aca="false">IFERROR(D79/C79,"")</f>
        <v/>
      </c>
      <c r="G79" s="50" t="s">
        <v>596</v>
      </c>
    </row>
    <row r="80" customFormat="false" ht="24" hidden="false" customHeight="true" outlineLevel="0" collapsed="false">
      <c r="A80" s="282"/>
      <c r="B80" s="283" t="s">
        <v>597</v>
      </c>
      <c r="C80" s="284" t="n">
        <f aca="false">SUM(C78:C78)</f>
        <v>0</v>
      </c>
      <c r="D80" s="284" t="n">
        <f aca="false">SUM(D78:D79)</f>
        <v>0</v>
      </c>
      <c r="E80" s="284" t="n">
        <f aca="false">IFERROR(C80-D80,"")</f>
        <v>0</v>
      </c>
      <c r="F80" s="285" t="str">
        <f aca="false">IFERROR(D80/C80,"")</f>
        <v/>
      </c>
      <c r="G80" s="286"/>
    </row>
    <row r="81" customFormat="false" ht="7.5" hidden="false" customHeight="true" outlineLevel="0" collapsed="false">
      <c r="A81" s="268"/>
      <c r="B81" s="287"/>
      <c r="C81" s="287"/>
      <c r="D81" s="287"/>
      <c r="E81" s="287"/>
      <c r="F81" s="287"/>
      <c r="G81" s="287"/>
    </row>
    <row r="82" customFormat="false" ht="25.5" hidden="false" customHeight="true" outlineLevel="0" collapsed="false">
      <c r="A82" s="205"/>
      <c r="B82" s="187" t="s">
        <v>598</v>
      </c>
      <c r="C82" s="187"/>
      <c r="D82" s="187"/>
      <c r="E82" s="187"/>
      <c r="F82" s="187"/>
      <c r="G82" s="187"/>
    </row>
    <row r="83" customFormat="false" ht="21.75" hidden="false" customHeight="true" outlineLevel="0" collapsed="false">
      <c r="A83" s="81" t="n">
        <v>53</v>
      </c>
      <c r="B83" s="52" t="s">
        <v>599</v>
      </c>
      <c r="C83" s="54" t="n">
        <v>167.68</v>
      </c>
      <c r="D83" s="278" t="n">
        <f aca="false">SUMIFS(Payments!$F:$F,Payments!$E:$E,"Streaming (Netflix, Hulu, Spotify, Peacock)",Payments!$I:$I,$I$3,Payments!$J:$J,$J$3,Payments!$D:$D,"Expense")</f>
        <v>0</v>
      </c>
      <c r="E83" s="54" t="n">
        <f aca="false">IFERROR(C83-D83,"")</f>
        <v>167.68</v>
      </c>
      <c r="F83" s="279" t="n">
        <f aca="false">IFERROR(D83/C83,"")</f>
        <v>0</v>
      </c>
      <c r="G83" s="56" t="s">
        <v>600</v>
      </c>
    </row>
    <row r="84" customFormat="false" ht="21.75" hidden="false" customHeight="true" outlineLevel="0" collapsed="false">
      <c r="A84" s="280" t="n">
        <v>54</v>
      </c>
      <c r="B84" s="58" t="s">
        <v>601</v>
      </c>
      <c r="C84" s="60" t="n">
        <v>0</v>
      </c>
      <c r="D84" s="278" t="n">
        <f aca="false">SUMIFS(Payments!$F:$F,Payments!$E:$E,"Brewers F&amp;B / Streaming Sports",Payments!$I:$I,$I$3,Payments!$J:$J,$J$3,Payments!$D:$D,"Expense")</f>
        <v>0</v>
      </c>
      <c r="E84" s="60" t="n">
        <f aca="false">IFERROR(C84-D84,"")</f>
        <v>0</v>
      </c>
      <c r="F84" s="281" t="str">
        <f aca="false">IFERROR(D84/C84,"")</f>
        <v/>
      </c>
      <c r="G84" s="62" t="s">
        <v>602</v>
      </c>
    </row>
    <row r="85" customFormat="false" ht="21.75" hidden="false" customHeight="true" outlineLevel="0" collapsed="false">
      <c r="A85" s="81" t="n">
        <v>55</v>
      </c>
      <c r="B85" s="52" t="s">
        <v>603</v>
      </c>
      <c r="C85" s="54" t="n">
        <v>86.78</v>
      </c>
      <c r="D85" s="278" t="n">
        <f aca="false">SUMIFS(Payments!$F:$F,Payments!$E:$E,"Tech Subscriptions (Boost, Ring, Tonal)",Payments!$I:$I,$I$3,Payments!$J:$J,$J$3,Payments!$D:$D,"Expense")</f>
        <v>0</v>
      </c>
      <c r="E85" s="54" t="n">
        <f aca="false">IFERROR(C85-D85,"")</f>
        <v>86.78</v>
      </c>
      <c r="F85" s="279" t="n">
        <f aca="false">IFERROR(D85/C85,"")</f>
        <v>0</v>
      </c>
      <c r="G85" s="56" t="s">
        <v>604</v>
      </c>
    </row>
    <row r="86" customFormat="false" ht="21.75" hidden="false" customHeight="true" outlineLevel="0" collapsed="false">
      <c r="A86" s="280" t="n">
        <v>56</v>
      </c>
      <c r="B86" s="58" t="s">
        <v>605</v>
      </c>
      <c r="C86" s="60" t="n">
        <v>0</v>
      </c>
      <c r="D86" s="278" t="n">
        <f aca="false">SUMIFS(Payments!$F:$F,Payments!$E:$E,"Other Tech / Software",Payments!$I:$I,$I$3,Payments!$J:$J,$J$3,Payments!$D:$D,"Expense")</f>
        <v>0</v>
      </c>
      <c r="E86" s="60" t="n">
        <f aca="false">IFERROR(C86-D86,"")</f>
        <v>0</v>
      </c>
      <c r="F86" s="281" t="str">
        <f aca="false">IFERROR(D86/C86,"")</f>
        <v/>
      </c>
      <c r="G86" s="62" t="s">
        <v>606</v>
      </c>
    </row>
    <row r="87" customFormat="false" ht="24" hidden="false" customHeight="true" outlineLevel="0" collapsed="false">
      <c r="A87" s="282"/>
      <c r="B87" s="283" t="s">
        <v>607</v>
      </c>
      <c r="C87" s="284" t="n">
        <f aca="false">SUM(C82:C85)</f>
        <v>254.46</v>
      </c>
      <c r="D87" s="284" t="n">
        <f aca="false">SUM(D82:D86)</f>
        <v>0</v>
      </c>
      <c r="E87" s="284" t="n">
        <f aca="false">IFERROR(C87-D87,"")</f>
        <v>254.46</v>
      </c>
      <c r="F87" s="285" t="n">
        <f aca="false">IFERROR(D87/C87,"")</f>
        <v>0</v>
      </c>
      <c r="G87" s="286"/>
    </row>
    <row r="88" customFormat="false" ht="7.5" hidden="false" customHeight="true" outlineLevel="0" collapsed="false">
      <c r="A88" s="268"/>
      <c r="B88" s="287"/>
      <c r="C88" s="287"/>
      <c r="D88" s="287"/>
      <c r="E88" s="287"/>
      <c r="F88" s="287"/>
      <c r="G88" s="287"/>
    </row>
    <row r="89" customFormat="false" ht="25.5" hidden="false" customHeight="true" outlineLevel="0" collapsed="false">
      <c r="A89" s="205"/>
      <c r="B89" s="187" t="s">
        <v>608</v>
      </c>
      <c r="C89" s="187"/>
      <c r="D89" s="187"/>
      <c r="E89" s="187"/>
      <c r="F89" s="187"/>
      <c r="G89" s="187"/>
    </row>
    <row r="90" customFormat="false" ht="21.75" hidden="false" customHeight="true" outlineLevel="0" collapsed="false">
      <c r="A90" s="81" t="n">
        <v>57</v>
      </c>
      <c r="B90" s="52" t="s">
        <v>609</v>
      </c>
      <c r="C90" s="54" t="n">
        <v>460</v>
      </c>
      <c r="D90" s="278" t="n">
        <f aca="false">SUMIFS(Payments!$F:$F,Payments!$E:$E,"Restaurants &amp; Bars",Payments!$I:$I,$I$3,Payments!$J:$J,$J$3,Payments!$D:$D,"Expense")</f>
        <v>0</v>
      </c>
      <c r="E90" s="54" t="n">
        <f aca="false">IFERROR(C90-D90,"")</f>
        <v>460</v>
      </c>
      <c r="F90" s="279" t="n">
        <f aca="false">IFERROR(D90/C90,"")</f>
        <v>0</v>
      </c>
      <c r="G90" s="56"/>
    </row>
    <row r="91" customFormat="false" ht="21.75" hidden="false" customHeight="true" outlineLevel="0" collapsed="false">
      <c r="A91" s="280" t="n">
        <v>58</v>
      </c>
      <c r="B91" s="58" t="s">
        <v>142</v>
      </c>
      <c r="C91" s="60" t="n">
        <v>0</v>
      </c>
      <c r="D91" s="278" t="n">
        <f aca="false">SUMIFS(Payments!$F:$F,Payments!$E:$E,"DoorDash &amp; Delivery",Payments!$I:$I,$I$3,Payments!$J:$J,$J$3,Payments!$D:$D,"Expense")</f>
        <v>306.16</v>
      </c>
      <c r="E91" s="60" t="n">
        <f aca="false">IFERROR(C91-D91,"")</f>
        <v>-306.16</v>
      </c>
      <c r="F91" s="281" t="str">
        <f aca="false">IFERROR(D91/C91,"")</f>
        <v/>
      </c>
      <c r="G91" s="62" t="s">
        <v>610</v>
      </c>
    </row>
    <row r="92" customFormat="false" ht="21.75" hidden="false" customHeight="true" outlineLevel="0" collapsed="false">
      <c r="A92" s="81" t="n">
        <v>59</v>
      </c>
      <c r="B92" s="52" t="s">
        <v>611</v>
      </c>
      <c r="C92" s="54" t="n">
        <v>0</v>
      </c>
      <c r="D92" s="278" t="n">
        <f aca="false">SUMIFS(Payments!$F:$F,Payments!$E:$E,"Coffee (Starbucks, Dunkin)",Payments!$I:$I,$I$3,Payments!$J:$J,$J$3,Payments!$D:$D,"Expense")</f>
        <v>0</v>
      </c>
      <c r="E92" s="54" t="n">
        <f aca="false">IFERROR(C92-D92,"")</f>
        <v>0</v>
      </c>
      <c r="F92" s="279" t="str">
        <f aca="false">IFERROR(D92/C92,"")</f>
        <v/>
      </c>
      <c r="G92" s="56"/>
    </row>
    <row r="93" customFormat="false" ht="21.75" hidden="false" customHeight="true" outlineLevel="0" collapsed="false">
      <c r="A93" s="280" t="n">
        <v>60</v>
      </c>
      <c r="B93" s="58" t="s">
        <v>612</v>
      </c>
      <c r="C93" s="60" t="n">
        <v>0</v>
      </c>
      <c r="D93" s="278" t="n">
        <f aca="false">SUMIFS(Payments!$F:$F,Payments!$E:$E,"Movies / Concerts / Other Fun",Payments!$I:$I,$I$3,Payments!$J:$J,$J$3,Payments!$D:$D,"Expense")</f>
        <v>0</v>
      </c>
      <c r="E93" s="60" t="n">
        <f aca="false">IFERROR(C93-D93,"")</f>
        <v>0</v>
      </c>
      <c r="F93" s="281" t="str">
        <f aca="false">IFERROR(D93/C93,"")</f>
        <v/>
      </c>
      <c r="G93" s="62"/>
    </row>
    <row r="94" customFormat="false" ht="24" hidden="false" customHeight="true" outlineLevel="0" collapsed="false">
      <c r="A94" s="282"/>
      <c r="B94" s="283" t="s">
        <v>613</v>
      </c>
      <c r="C94" s="284" t="n">
        <f aca="false">SUM(C89:C92)</f>
        <v>460</v>
      </c>
      <c r="D94" s="284" t="n">
        <f aca="false">SUM(D89:D93)</f>
        <v>306.16</v>
      </c>
      <c r="E94" s="284" t="n">
        <f aca="false">IFERROR(C94-D94,"")</f>
        <v>153.84</v>
      </c>
      <c r="F94" s="285" t="n">
        <f aca="false">IFERROR(D94/C94,"")</f>
        <v>0.665565217391304</v>
      </c>
      <c r="G94" s="286"/>
    </row>
    <row r="95" customFormat="false" ht="7.5" hidden="false" customHeight="true" outlineLevel="0" collapsed="false">
      <c r="A95" s="268"/>
      <c r="B95" s="287"/>
      <c r="C95" s="287"/>
      <c r="D95" s="287"/>
      <c r="E95" s="287"/>
      <c r="F95" s="287"/>
      <c r="G95" s="287"/>
    </row>
    <row r="96" customFormat="false" ht="25.5" hidden="false" customHeight="true" outlineLevel="0" collapsed="false">
      <c r="A96" s="205"/>
      <c r="B96" s="187" t="s">
        <v>614</v>
      </c>
      <c r="C96" s="187"/>
      <c r="D96" s="187"/>
      <c r="E96" s="187"/>
      <c r="F96" s="187"/>
      <c r="G96" s="187"/>
    </row>
    <row r="97" customFormat="false" ht="21.75" hidden="false" customHeight="true" outlineLevel="0" collapsed="false">
      <c r="A97" s="81" t="n">
        <v>61</v>
      </c>
      <c r="B97" s="52" t="s">
        <v>615</v>
      </c>
      <c r="C97" s="54" t="n">
        <v>0</v>
      </c>
      <c r="D97" s="278" t="n">
        <f aca="false">SUMIFS(Payments!$F:$F,Payments!$E:$E,"Clothing (Threadbeast/Stitch/Lulu)",Payments!$I:$I,$I$3,Payments!$J:$J,$J$3,Payments!$D:$D,"Expense")</f>
        <v>0</v>
      </c>
      <c r="E97" s="54" t="n">
        <f aca="false">IFERROR(C97-D97,"")</f>
        <v>0</v>
      </c>
      <c r="F97" s="279" t="str">
        <f aca="false">IFERROR(D97/C97,"")</f>
        <v/>
      </c>
      <c r="G97" s="56" t="s">
        <v>616</v>
      </c>
    </row>
    <row r="98" customFormat="false" ht="21.75" hidden="false" customHeight="true" outlineLevel="0" collapsed="false">
      <c r="A98" s="280" t="n">
        <v>62</v>
      </c>
      <c r="B98" s="58" t="s">
        <v>617</v>
      </c>
      <c r="C98" s="60" t="n">
        <v>0</v>
      </c>
      <c r="D98" s="278" t="n">
        <f aca="false">SUMIFS(Payments!$F:$F,Payments!$E:$E,"Amazon (Non-essentials)",Payments!$I:$I,$I$3,Payments!$J:$J,$J$3,Payments!$D:$D,"Expense")</f>
        <v>0</v>
      </c>
      <c r="E98" s="60" t="n">
        <f aca="false">IFERROR(C98-D98,"")</f>
        <v>0</v>
      </c>
      <c r="F98" s="281" t="str">
        <f aca="false">IFERROR(D98/C98,"")</f>
        <v/>
      </c>
      <c r="G98" s="62"/>
    </row>
    <row r="99" customFormat="false" ht="21.75" hidden="false" customHeight="true" outlineLevel="0" collapsed="false">
      <c r="A99" s="81" t="n">
        <v>63</v>
      </c>
      <c r="B99" s="52" t="s">
        <v>618</v>
      </c>
      <c r="C99" s="54" t="n">
        <v>0</v>
      </c>
      <c r="D99" s="278" t="n">
        <f aca="false">SUMIFS(Payments!$F:$F,Payments!$E:$E,"Walmart / Target",Payments!$I:$I,$I$3,Payments!$J:$J,$J$3,Payments!$D:$D,"Expense")</f>
        <v>0</v>
      </c>
      <c r="E99" s="54" t="n">
        <f aca="false">IFERROR(C99-D99,"")</f>
        <v>0</v>
      </c>
      <c r="F99" s="279" t="str">
        <f aca="false">IFERROR(D99/C99,"")</f>
        <v/>
      </c>
      <c r="G99" s="56"/>
    </row>
    <row r="100" customFormat="false" ht="21.75" hidden="false" customHeight="true" outlineLevel="0" collapsed="false">
      <c r="A100" s="280" t="n">
        <v>64</v>
      </c>
      <c r="B100" s="58" t="s">
        <v>619</v>
      </c>
      <c r="C100" s="60" t="n">
        <v>0</v>
      </c>
      <c r="D100" s="278" t="n">
        <f aca="false">SUMIFS(Payments!$F:$F,Payments!$E:$E,"Best Buy / Electronics",Payments!$I:$I,$I$3,Payments!$J:$J,$J$3,Payments!$D:$D,"Expense")</f>
        <v>0</v>
      </c>
      <c r="E100" s="60" t="n">
        <f aca="false">IFERROR(C100-D100,"")</f>
        <v>0</v>
      </c>
      <c r="F100" s="281" t="str">
        <f aca="false">IFERROR(D100/C100,"")</f>
        <v/>
      </c>
      <c r="G100" s="62"/>
    </row>
    <row r="101" customFormat="false" ht="21.75" hidden="false" customHeight="true" outlineLevel="0" collapsed="false">
      <c r="A101" s="81" t="n">
        <v>65</v>
      </c>
      <c r="B101" s="52" t="s">
        <v>620</v>
      </c>
      <c r="C101" s="54" t="n">
        <v>0</v>
      </c>
      <c r="D101" s="278" t="n">
        <f aca="false">SUMIFS(Payments!$F:$F,Payments!$E:$E,"Home &amp; Menards",Payments!$I:$I,$I$3,Payments!$J:$J,$J$3,Payments!$D:$D,"Expense")</f>
        <v>0</v>
      </c>
      <c r="E101" s="54" t="n">
        <f aca="false">IFERROR(C101-D101,"")</f>
        <v>0</v>
      </c>
      <c r="F101" s="279" t="str">
        <f aca="false">IFERROR(D101/C101,"")</f>
        <v/>
      </c>
      <c r="G101" s="56"/>
    </row>
    <row r="102" customFormat="false" ht="24" hidden="false" customHeight="true" outlineLevel="0" collapsed="false">
      <c r="A102" s="282"/>
      <c r="B102" s="283" t="s">
        <v>621</v>
      </c>
      <c r="C102" s="284" t="n">
        <f aca="false">SUM(C96:C100)</f>
        <v>0</v>
      </c>
      <c r="D102" s="284" t="n">
        <f aca="false">SUM(D96:D100)</f>
        <v>0</v>
      </c>
      <c r="E102" s="284" t="n">
        <f aca="false">IFERROR(C102-D102,"")</f>
        <v>0</v>
      </c>
      <c r="F102" s="285" t="str">
        <f aca="false">IFERROR(D102/C102,"")</f>
        <v/>
      </c>
      <c r="G102" s="286"/>
    </row>
    <row r="103" customFormat="false" ht="7.5" hidden="false" customHeight="true" outlineLevel="0" collapsed="false">
      <c r="A103" s="268"/>
      <c r="B103" s="287"/>
      <c r="C103" s="287"/>
      <c r="D103" s="287"/>
      <c r="E103" s="287"/>
      <c r="F103" s="287"/>
      <c r="G103" s="287"/>
    </row>
    <row r="104" customFormat="false" ht="25.5" hidden="false" customHeight="true" outlineLevel="0" collapsed="false">
      <c r="A104" s="205"/>
      <c r="B104" s="187" t="s">
        <v>622</v>
      </c>
      <c r="C104" s="187"/>
      <c r="D104" s="187"/>
      <c r="E104" s="187"/>
      <c r="F104" s="187"/>
      <c r="G104" s="187"/>
    </row>
    <row r="105" customFormat="false" ht="21.75" hidden="false" customHeight="true" outlineLevel="0" collapsed="false">
      <c r="A105" s="81" t="n">
        <v>60</v>
      </c>
      <c r="B105" s="52" t="s">
        <v>285</v>
      </c>
      <c r="C105" s="54" t="n">
        <v>237.58</v>
      </c>
      <c r="D105" s="278" t="n">
        <f aca="false">SUMIFS(Payments!$F:$F,Payments!$E:$E,"Student Loan (Nelnet / Dept of Ed)",Payments!$I:$I,$I$3,Payments!$J:$J,$J$3,Payments!$D:$D,"Expense")</f>
        <v>237.58</v>
      </c>
      <c r="E105" s="54" t="n">
        <f aca="false">IFERROR(C105-D105,"")</f>
        <v>0</v>
      </c>
      <c r="F105" s="279" t="n">
        <f aca="false">IFERROR(D105/C105,"")</f>
        <v>1</v>
      </c>
      <c r="G105" s="56" t="s">
        <v>623</v>
      </c>
    </row>
    <row r="106" customFormat="false" ht="21.75" hidden="false" customHeight="true" outlineLevel="0" collapsed="false">
      <c r="A106" s="280" t="n">
        <v>66</v>
      </c>
      <c r="B106" s="58" t="s">
        <v>624</v>
      </c>
      <c r="C106" s="60" t="n">
        <v>52.74</v>
      </c>
      <c r="D106" s="278" t="n">
        <f aca="false">SUMIFS(Payments!$F:$F,Payments!$E:$E,"Fitness (Peloton)",Payments!$I:$I,$I$3,Payments!$J:$J,$J$3,Payments!$D:$D,"Expense")</f>
        <v>0</v>
      </c>
      <c r="E106" s="60" t="n">
        <f aca="false">IFERROR(C106-D106,"")</f>
        <v>52.74</v>
      </c>
      <c r="F106" s="281" t="n">
        <f aca="false">IFERROR(D106/C106,"")</f>
        <v>0</v>
      </c>
      <c r="G106" s="62" t="s">
        <v>625</v>
      </c>
    </row>
    <row r="107" customFormat="false" ht="21.75" hidden="false" customHeight="true" outlineLevel="0" collapsed="false">
      <c r="A107" s="81" t="n">
        <v>67</v>
      </c>
      <c r="B107" s="52" t="s">
        <v>626</v>
      </c>
      <c r="C107" s="54" t="n">
        <v>256</v>
      </c>
      <c r="D107" s="278" t="n">
        <f aca="false">SUMIFS(Payments!$F:$F,Payments!$E:$E,"Education (Becker, Eastern Univ)",Payments!$I:$I,$I$3,Payments!$J:$J,$J$3,Payments!$D:$D,"Expense")</f>
        <v>0</v>
      </c>
      <c r="E107" s="54" t="n">
        <f aca="false">IFERROR(C107-D107,"")</f>
        <v>256</v>
      </c>
      <c r="F107" s="279" t="n">
        <f aca="false">IFERROR(D107/C107,"")</f>
        <v>0</v>
      </c>
      <c r="G107" s="56" t="s">
        <v>627</v>
      </c>
    </row>
    <row r="108" customFormat="false" ht="21.75" hidden="false" customHeight="true" outlineLevel="0" collapsed="false">
      <c r="A108" s="280" t="n">
        <v>68</v>
      </c>
      <c r="B108" s="58" t="s">
        <v>628</v>
      </c>
      <c r="C108" s="60" t="n">
        <v>0</v>
      </c>
      <c r="D108" s="278" t="n">
        <f aca="false">SUMIFS(Payments!$F:$F,Payments!$E:$E,"Charitable Giving (Athenaeum)",Payments!$I:$I,$I$3,Payments!$J:$J,$J$3,Payments!$D:$D,"Expense")</f>
        <v>0</v>
      </c>
      <c r="E108" s="60" t="n">
        <f aca="false">IFERROR(C108-D108,"")</f>
        <v>0</v>
      </c>
      <c r="F108" s="281" t="str">
        <f aca="false">IFERROR(D108/C108,"")</f>
        <v/>
      </c>
      <c r="G108" s="62"/>
    </row>
    <row r="109" customFormat="false" ht="21.75" hidden="false" customHeight="true" outlineLevel="0" collapsed="false">
      <c r="A109" s="81" t="n">
        <v>69</v>
      </c>
      <c r="B109" s="52" t="s">
        <v>629</v>
      </c>
      <c r="C109" s="54" t="n">
        <v>0</v>
      </c>
      <c r="D109" s="278" t="n">
        <f aca="false">SUMIFS(Payments!$F:$F,Payments!$E:$E,"Health/Medical Out-of-Pocket",Payments!$I:$I,$I$3,Payments!$J:$J,$J$3,Payments!$D:$D,"Expense")</f>
        <v>0</v>
      </c>
      <c r="E109" s="54" t="n">
        <f aca="false">IFERROR(C109-D109,"")</f>
        <v>0</v>
      </c>
      <c r="F109" s="279" t="str">
        <f aca="false">IFERROR(D109/C109,"")</f>
        <v/>
      </c>
      <c r="G109" s="56" t="s">
        <v>534</v>
      </c>
    </row>
    <row r="110" customFormat="false" ht="21.75" hidden="false" customHeight="true" outlineLevel="0" collapsed="false">
      <c r="A110" s="280" t="n">
        <v>70</v>
      </c>
      <c r="B110" s="58" t="s">
        <v>630</v>
      </c>
      <c r="C110" s="60" t="n">
        <v>0</v>
      </c>
      <c r="D110" s="278" t="n">
        <f aca="false">SUMIFS(Payments!$F:$F,Payments!$E:$E,"Newspaper Subscription",Payments!$I:$I,$I$3,Payments!$J:$J,$J$3,Payments!$D:$D,"Expense")</f>
        <v>0</v>
      </c>
      <c r="E110" s="60" t="n">
        <f aca="false">IFERROR(C110-D110,"")</f>
        <v>0</v>
      </c>
      <c r="F110" s="281" t="str">
        <f aca="false">IFERROR(D110/C110,"")</f>
        <v/>
      </c>
      <c r="G110" s="62" t="s">
        <v>631</v>
      </c>
    </row>
    <row r="111" customFormat="false" ht="21.75" hidden="false" customHeight="true" outlineLevel="0" collapsed="false">
      <c r="A111" s="81" t="n">
        <v>71</v>
      </c>
      <c r="B111" s="52" t="s">
        <v>632</v>
      </c>
      <c r="C111" s="54" t="n">
        <v>0</v>
      </c>
      <c r="D111" s="278" t="n">
        <f aca="false">SUMIFS(Payments!$F:$F,Payments!$E:$E,"Ancestry.com",Payments!$I:$I,$I$3,Payments!$J:$J,$J$3,Payments!$D:$D,"Expense")</f>
        <v>0</v>
      </c>
      <c r="E111" s="54" t="n">
        <f aca="false">IFERROR(C111-D111,"")</f>
        <v>0</v>
      </c>
      <c r="F111" s="279" t="str">
        <f aca="false">IFERROR(D111/C111,"")</f>
        <v/>
      </c>
      <c r="G111" s="56" t="s">
        <v>631</v>
      </c>
    </row>
    <row r="112" customFormat="false" ht="21.75" hidden="false" customHeight="true" outlineLevel="0" collapsed="false">
      <c r="A112" s="280" t="n">
        <v>72</v>
      </c>
      <c r="B112" s="58" t="s">
        <v>633</v>
      </c>
      <c r="C112" s="60" t="n">
        <v>0</v>
      </c>
      <c r="D112" s="278" t="n">
        <f aca="false">SUMIFS(Payments!$F:$F,Payments!$E:$E,"AI Subscriptions",Payments!$I:$I,$I$3,Payments!$J:$J,$J$3,Payments!$D:$D,"Expense")</f>
        <v>0</v>
      </c>
      <c r="E112" s="60" t="n">
        <f aca="false">IFERROR(C112-D112,"")</f>
        <v>0</v>
      </c>
      <c r="F112" s="281" t="str">
        <f aca="false">IFERROR(D112/C112,"")</f>
        <v/>
      </c>
      <c r="G112" s="62"/>
    </row>
    <row r="113" customFormat="false" ht="21.75" hidden="false" customHeight="true" outlineLevel="0" collapsed="false">
      <c r="A113" s="81" t="n">
        <v>73</v>
      </c>
      <c r="B113" s="52" t="s">
        <v>634</v>
      </c>
      <c r="C113" s="54" t="n">
        <v>0</v>
      </c>
      <c r="D113" s="278" t="n">
        <f aca="false">SUMIFS(Payments!$F:$F,Payments!$E:$E,"Apple Subscriptions",Payments!$I:$I,$I$3,Payments!$J:$J,$J$3,Payments!$D:$D,"Expense")</f>
        <v>0</v>
      </c>
      <c r="E113" s="54" t="n">
        <f aca="false">IFERROR(C113-D113,"")</f>
        <v>0</v>
      </c>
      <c r="F113" s="279" t="str">
        <f aca="false">IFERROR(D113/C113,"")</f>
        <v/>
      </c>
      <c r="G113" s="56"/>
    </row>
    <row r="114" customFormat="false" ht="21.75" hidden="false" customHeight="true" outlineLevel="0" collapsed="false">
      <c r="A114" s="280" t="n">
        <v>74</v>
      </c>
      <c r="B114" s="58" t="s">
        <v>635</v>
      </c>
      <c r="C114" s="60" t="n">
        <v>61.16</v>
      </c>
      <c r="D114" s="278" t="n">
        <f aca="false">SUMIFS(Payments!$F:$F,Payments!$E:$E,"Gaming subs",Payments!$I:$I,$I$3,Payments!$J:$J,$J$3,Payments!$D:$D,"Expense")</f>
        <v>0</v>
      </c>
      <c r="E114" s="60" t="n">
        <f aca="false">IFERROR(C114-D114,"")</f>
        <v>61.16</v>
      </c>
      <c r="F114" s="281" t="n">
        <f aca="false">IFERROR(D114/C114,"")</f>
        <v>0</v>
      </c>
      <c r="G114" s="62"/>
    </row>
    <row r="115" customFormat="false" ht="21.75" hidden="false" customHeight="true" outlineLevel="0" collapsed="false">
      <c r="A115" s="81" t="n">
        <v>75</v>
      </c>
      <c r="B115" s="52" t="s">
        <v>636</v>
      </c>
      <c r="C115" s="54" t="n">
        <v>0</v>
      </c>
      <c r="D115" s="278" t="n">
        <f aca="false">SUMIFS(Payments!$F:$F,Payments!$E:$E,"Misc / Buffer",Payments!$I:$I,$I$3,Payments!$J:$J,$J$3,Payments!$D:$D,"Expense")</f>
        <v>0</v>
      </c>
      <c r="E115" s="54" t="n">
        <f aca="false">IFERROR(C115-D115,"")</f>
        <v>0</v>
      </c>
      <c r="F115" s="279" t="str">
        <f aca="false">IFERROR(D115/C115,"")</f>
        <v/>
      </c>
      <c r="G115" s="56" t="s">
        <v>637</v>
      </c>
    </row>
    <row r="116" customFormat="false" ht="24" hidden="false" customHeight="true" outlineLevel="0" collapsed="false">
      <c r="A116" s="282"/>
      <c r="B116" s="283" t="s">
        <v>638</v>
      </c>
      <c r="C116" s="284" t="n">
        <f aca="false">SUM(C105:C115)</f>
        <v>607.48</v>
      </c>
      <c r="D116" s="284" t="n">
        <f aca="false">SUM(D105:D115)</f>
        <v>237.58</v>
      </c>
      <c r="E116" s="284" t="n">
        <f aca="false">IFERROR(C116-D116,"")</f>
        <v>369.9</v>
      </c>
      <c r="F116" s="285" t="n">
        <f aca="false">IFERROR(D116/C116,"")</f>
        <v>0.391091064726411</v>
      </c>
      <c r="G116" s="286"/>
    </row>
    <row r="117" customFormat="false" ht="7.5" hidden="false" customHeight="true" outlineLevel="0" collapsed="false">
      <c r="A117" s="268"/>
      <c r="B117" s="268"/>
      <c r="C117" s="268"/>
      <c r="D117" s="268"/>
      <c r="E117" s="268"/>
      <c r="F117" s="268"/>
      <c r="G117" s="268"/>
    </row>
    <row r="118" customFormat="false" ht="25.5" hidden="false" customHeight="true" outlineLevel="0" collapsed="false">
      <c r="A118" s="205"/>
      <c r="B118" s="187" t="s">
        <v>639</v>
      </c>
      <c r="C118" s="187"/>
      <c r="D118" s="187"/>
      <c r="E118" s="187"/>
      <c r="F118" s="187"/>
      <c r="G118" s="187"/>
    </row>
    <row r="119" customFormat="false" ht="21.75" hidden="false" customHeight="true" outlineLevel="0" collapsed="false">
      <c r="A119" s="81" t="n">
        <v>76</v>
      </c>
      <c r="B119" s="52" t="s">
        <v>640</v>
      </c>
      <c r="C119" s="54" t="n">
        <v>0</v>
      </c>
      <c r="D119" s="278" t="n">
        <f aca="false">SUMIFS(Payments!$F:$F,Payments!$E:$E,"Emergency Fund Contribution",Payments!$I:$I,$I$3,Payments!$J:$J,$J$3,Payments!$D:$D,"Expense")</f>
        <v>0</v>
      </c>
      <c r="E119" s="54" t="n">
        <f aca="false">IFERROR(C119-D119,"")</f>
        <v>0</v>
      </c>
      <c r="F119" s="279" t="str">
        <f aca="false">IFERROR(D119/C119,"")</f>
        <v/>
      </c>
      <c r="G119" s="56" t="s">
        <v>641</v>
      </c>
    </row>
    <row r="120" customFormat="false" ht="21.75" hidden="false" customHeight="true" outlineLevel="0" collapsed="false">
      <c r="A120" s="280" t="n">
        <v>77</v>
      </c>
      <c r="B120" s="58" t="s">
        <v>642</v>
      </c>
      <c r="C120" s="60" t="n">
        <v>0</v>
      </c>
      <c r="D120" s="278" t="n">
        <f aca="false">SUMIFS(Payments!$F:$F,Payments!$E:$E,"Tax Sinking Fund",Payments!$I:$I,$I$3,Payments!$J:$J,$J$3,Payments!$D:$D,"Expense")</f>
        <v>0</v>
      </c>
      <c r="E120" s="60" t="n">
        <f aca="false">IFERROR(C120-D120,"")</f>
        <v>0</v>
      </c>
      <c r="F120" s="281" t="str">
        <f aca="false">IFERROR(D120/C120,"")</f>
        <v/>
      </c>
      <c r="G120" s="62" t="s">
        <v>643</v>
      </c>
    </row>
    <row r="121" customFormat="false" ht="21.75" hidden="false" customHeight="true" outlineLevel="0" collapsed="false">
      <c r="A121" s="81" t="n">
        <v>78</v>
      </c>
      <c r="B121" s="52" t="s">
        <v>644</v>
      </c>
      <c r="C121" s="54" t="n">
        <v>0</v>
      </c>
      <c r="D121" s="278" t="n">
        <f aca="false">SUMIFS(Payments!$F:$F,Payments!$E:$E,"Kids' Savings / 529",Payments!$I:$I,$I$3,Payments!$J:$J,$J$3,Payments!$D:$D,"Expense")</f>
        <v>0</v>
      </c>
      <c r="E121" s="54" t="n">
        <f aca="false">IFERROR(C121-D121,"")</f>
        <v>0</v>
      </c>
      <c r="F121" s="279" t="str">
        <f aca="false">IFERROR(D121/C121,"")</f>
        <v/>
      </c>
      <c r="G121" s="56" t="s">
        <v>645</v>
      </c>
    </row>
    <row r="122" customFormat="false" ht="21.75" hidden="false" customHeight="true" outlineLevel="0" collapsed="false">
      <c r="A122" s="280" t="n">
        <v>79</v>
      </c>
      <c r="B122" s="58" t="s">
        <v>646</v>
      </c>
      <c r="C122" s="60" t="n">
        <v>0</v>
      </c>
      <c r="D122" s="278" t="n">
        <f aca="false">SUMIFS(Payments!$F:$F,Payments!$E:$E,"Retirement (extra contributions)",Payments!$I:$I,$I$3,Payments!$J:$J,$J$3,Payments!$D:$D,"Expense")</f>
        <v>0</v>
      </c>
      <c r="E122" s="60" t="n">
        <f aca="false">IFERROR(C122-D122,"")</f>
        <v>0</v>
      </c>
      <c r="F122" s="281" t="str">
        <f aca="false">IFERROR(D122/C122,"")</f>
        <v/>
      </c>
      <c r="G122" s="62" t="s">
        <v>647</v>
      </c>
    </row>
    <row r="123" customFormat="false" ht="24" hidden="false" customHeight="true" outlineLevel="0" collapsed="false">
      <c r="A123" s="282"/>
      <c r="B123" s="283" t="s">
        <v>648</v>
      </c>
      <c r="C123" s="284" t="n">
        <f aca="false">SUM(C119:C122)</f>
        <v>0</v>
      </c>
      <c r="D123" s="284" t="n">
        <f aca="false">SUM(D119:D122)</f>
        <v>0</v>
      </c>
      <c r="E123" s="284" t="n">
        <f aca="false">IFERROR(C123-D123,"")</f>
        <v>0</v>
      </c>
      <c r="F123" s="285" t="str">
        <f aca="false">IFERROR(D123/C123,"")</f>
        <v/>
      </c>
      <c r="G123" s="286"/>
    </row>
    <row r="124" customFormat="false" ht="7.5" hidden="false" customHeight="true" outlineLevel="0" collapsed="false">
      <c r="A124" s="268"/>
      <c r="B124" s="268"/>
      <c r="C124" s="268"/>
      <c r="D124" s="268"/>
      <c r="E124" s="268"/>
      <c r="F124" s="268"/>
      <c r="G124" s="268"/>
    </row>
    <row r="125" customFormat="false" ht="31.5" hidden="false" customHeight="true" outlineLevel="0" collapsed="false">
      <c r="A125" s="298"/>
      <c r="B125" s="299" t="s">
        <v>649</v>
      </c>
      <c r="C125" s="300" t="n">
        <f aca="false">C17+C25+C30+C38+C48+C76+C80+C87+C94+C102+C116+C123</f>
        <v>10696.21</v>
      </c>
      <c r="D125" s="300" t="n">
        <f aca="false">D17+D25+D30+D38+D48+D76+D80+D87+D94+D102+D116+D123</f>
        <v>12133.16</v>
      </c>
      <c r="E125" s="300" t="n">
        <f aca="false">IFERROR(C125-D125,"")</f>
        <v>-1436.95</v>
      </c>
      <c r="F125" s="301" t="n">
        <f aca="false">IFERROR(D125/C125,"")</f>
        <v>1.13434197720501</v>
      </c>
      <c r="G125" s="302" t="s">
        <v>650</v>
      </c>
    </row>
    <row r="126" customFormat="false" ht="31.5" hidden="false" customHeight="true" outlineLevel="0" collapsed="false">
      <c r="A126" s="298"/>
      <c r="B126" s="299" t="s">
        <v>651</v>
      </c>
      <c r="C126" s="300" t="n">
        <f aca="false">C7-C125</f>
        <v>3472.12</v>
      </c>
      <c r="D126" s="300" t="n">
        <f aca="false">D7-D125</f>
        <v>407.030000000003</v>
      </c>
      <c r="E126" s="300"/>
      <c r="F126" s="301"/>
      <c r="G126" s="302"/>
    </row>
    <row r="127" customFormat="false" ht="7.5" hidden="false" customHeight="true" outlineLevel="0" collapsed="false">
      <c r="A127" s="268"/>
      <c r="B127" s="268"/>
      <c r="C127" s="268"/>
      <c r="D127" s="268"/>
      <c r="E127" s="268"/>
      <c r="F127" s="268"/>
      <c r="G127" s="268"/>
    </row>
    <row r="128" customFormat="false" ht="27.75" hidden="false" customHeight="true" outlineLevel="0" collapsed="false">
      <c r="A128" s="303"/>
      <c r="B128" s="304" t="s">
        <v>652</v>
      </c>
      <c r="C128" s="304"/>
      <c r="D128" s="304"/>
      <c r="E128" s="304"/>
      <c r="F128" s="304"/>
      <c r="G128" s="304"/>
    </row>
  </sheetData>
  <mergeCells count="23">
    <mergeCell ref="A1:G1"/>
    <mergeCell ref="E3:G3"/>
    <mergeCell ref="B6:G6"/>
    <mergeCell ref="B9:G9"/>
    <mergeCell ref="B19:G19"/>
    <mergeCell ref="B27:G27"/>
    <mergeCell ref="B32:G32"/>
    <mergeCell ref="B39:G39"/>
    <mergeCell ref="B40:G40"/>
    <mergeCell ref="B49:G49"/>
    <mergeCell ref="B50:G50"/>
    <mergeCell ref="B77:G77"/>
    <mergeCell ref="B78:G78"/>
    <mergeCell ref="B81:G81"/>
    <mergeCell ref="B82:G82"/>
    <mergeCell ref="B88:G88"/>
    <mergeCell ref="B89:G89"/>
    <mergeCell ref="B95:G95"/>
    <mergeCell ref="B96:G96"/>
    <mergeCell ref="B103:G103"/>
    <mergeCell ref="B104:G104"/>
    <mergeCell ref="B118:G118"/>
    <mergeCell ref="B128:G128"/>
  </mergeCells>
  <dataValidations count="1">
    <dataValidation allowBlank="false" errorStyle="stop" operator="between" showDropDown="false" showErrorMessage="false" showInputMessage="false" sqref="C3" type="list">
      <formula1>"Jan 2026,Feb 2026,Mar 2026,Apr 2026,May 2026,Jun 2026,Jul 2026,Aug 2026,Sep 2026,Oct 2026,Nov 2026,Dec 2026,Jan 2027,Feb 2027,Mar 2027"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14" min="3" style="1" width="14"/>
  </cols>
  <sheetData>
    <row r="1" customFormat="false" ht="24" hidden="false" customHeight="true" outlineLevel="0" collapsed="false">
      <c r="A1" s="305" t="s">
        <v>653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3" customFormat="false" ht="15" hidden="false" customHeight="true" outlineLevel="0" collapsed="false">
      <c r="B3" s="306" t="s">
        <v>654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</row>
    <row r="5" customFormat="false" ht="27.75" hidden="false" customHeight="true" outlineLevel="0" collapsed="false">
      <c r="B5" s="307" t="s">
        <v>655</v>
      </c>
      <c r="C5" s="308" t="s">
        <v>656</v>
      </c>
      <c r="D5" s="308" t="s">
        <v>657</v>
      </c>
      <c r="E5" s="308" t="s">
        <v>658</v>
      </c>
      <c r="F5" s="308" t="s">
        <v>659</v>
      </c>
      <c r="G5" s="308" t="s">
        <v>660</v>
      </c>
      <c r="H5" s="308" t="s">
        <v>661</v>
      </c>
      <c r="I5" s="308" t="s">
        <v>662</v>
      </c>
      <c r="J5" s="308" t="s">
        <v>663</v>
      </c>
      <c r="K5" s="308" t="s">
        <v>664</v>
      </c>
      <c r="L5" s="308" t="s">
        <v>665</v>
      </c>
      <c r="M5" s="308" t="s">
        <v>33</v>
      </c>
      <c r="N5" s="308" t="s">
        <v>666</v>
      </c>
    </row>
    <row r="6" customFormat="false" ht="15" hidden="false" customHeight="true" outlineLevel="0" collapsed="false">
      <c r="B6" s="309" t="s">
        <v>667</v>
      </c>
      <c r="C6" s="310" t="n">
        <v>12548.48</v>
      </c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</row>
    <row r="7" customFormat="false" ht="15" hidden="false" customHeight="true" outlineLevel="0" collapsed="false">
      <c r="B7" s="309" t="s">
        <v>668</v>
      </c>
      <c r="C7" s="310" t="n">
        <v>7045.06</v>
      </c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</row>
    <row r="8" customFormat="false" ht="15" hidden="false" customHeight="true" outlineLevel="0" collapsed="false">
      <c r="B8" s="309" t="s">
        <v>669</v>
      </c>
      <c r="C8" s="310" t="n">
        <v>5503.42</v>
      </c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</row>
    <row r="10" customFormat="false" ht="15" hidden="false" customHeight="true" outlineLevel="0" collapsed="false">
      <c r="B10" s="309" t="s">
        <v>670</v>
      </c>
      <c r="C10" s="310" t="n">
        <v>30464.65</v>
      </c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</row>
    <row r="11" customFormat="false" ht="15" hidden="false" customHeight="true" outlineLevel="0" collapsed="false">
      <c r="B11" s="309" t="s">
        <v>671</v>
      </c>
      <c r="C11" s="310" t="n">
        <v>62378.61</v>
      </c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</row>
    <row r="12" customFormat="false" ht="15" hidden="false" customHeight="true" outlineLevel="0" collapsed="false">
      <c r="B12" s="309" t="s">
        <v>672</v>
      </c>
      <c r="C12" s="310" t="n">
        <v>5963.71</v>
      </c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</row>
    <row r="13" customFormat="false" ht="15" hidden="false" customHeight="true" outlineLevel="0" collapsed="false">
      <c r="B13" s="309" t="s">
        <v>673</v>
      </c>
      <c r="C13" s="310" t="n">
        <v>2380</v>
      </c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</row>
    <row r="15" customFormat="false" ht="15" hidden="false" customHeight="true" outlineLevel="0" collapsed="false">
      <c r="B15" s="309" t="s">
        <v>674</v>
      </c>
      <c r="C15" s="312" t="n">
        <v>70</v>
      </c>
      <c r="D15" s="313"/>
      <c r="E15" s="313"/>
      <c r="F15" s="313"/>
      <c r="G15" s="313"/>
      <c r="H15" s="313"/>
      <c r="I15" s="313"/>
      <c r="J15" s="313"/>
      <c r="K15" s="313"/>
      <c r="L15" s="313"/>
      <c r="M15" s="313"/>
      <c r="N15" s="313"/>
    </row>
    <row r="16" customFormat="false" ht="15" hidden="false" customHeight="true" outlineLevel="0" collapsed="false">
      <c r="B16" s="309" t="s">
        <v>675</v>
      </c>
      <c r="C16" s="312" t="n">
        <v>0</v>
      </c>
      <c r="D16" s="313"/>
      <c r="E16" s="313"/>
      <c r="F16" s="313"/>
      <c r="G16" s="313"/>
      <c r="H16" s="313"/>
      <c r="I16" s="313"/>
      <c r="J16" s="313"/>
      <c r="K16" s="313"/>
      <c r="L16" s="313"/>
      <c r="M16" s="313"/>
      <c r="N16" s="313"/>
    </row>
    <row r="17" customFormat="false" ht="15" hidden="false" customHeight="true" outlineLevel="0" collapsed="false">
      <c r="B17" s="309" t="s">
        <v>676</v>
      </c>
      <c r="C17" s="310" t="n">
        <v>14776.76</v>
      </c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</row>
    <row r="19" customFormat="false" ht="23.25" hidden="false" customHeight="true" outlineLevel="0" collapsed="false">
      <c r="B19" s="309" t="s">
        <v>677</v>
      </c>
      <c r="C19" s="310" t="n">
        <v>0</v>
      </c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</row>
  </sheetData>
  <mergeCells count="2">
    <mergeCell ref="A1:N1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11"/>
    <col collapsed="false" customWidth="true" hidden="false" outlineLevel="0" max="6" min="4" style="1" width="13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38"/>
  </cols>
  <sheetData>
    <row r="1" customFormat="false" ht="36" hidden="false" customHeight="true" outlineLevel="0" collapsed="false">
      <c r="A1" s="64" t="s">
        <v>678</v>
      </c>
      <c r="B1" s="64"/>
      <c r="C1" s="64"/>
      <c r="D1" s="64"/>
      <c r="E1" s="64"/>
      <c r="F1" s="64"/>
      <c r="G1" s="64"/>
      <c r="H1" s="64"/>
      <c r="I1" s="64"/>
    </row>
    <row r="3" customFormat="false" ht="27.75" hidden="false" customHeight="true" outlineLevel="0" collapsed="false">
      <c r="A3" s="70" t="s">
        <v>679</v>
      </c>
      <c r="B3" s="70"/>
      <c r="C3" s="70"/>
      <c r="D3" s="70"/>
      <c r="E3" s="70"/>
      <c r="F3" s="70"/>
      <c r="G3" s="70"/>
      <c r="H3" s="70"/>
      <c r="I3" s="70"/>
    </row>
    <row r="5" customFormat="false" ht="24" hidden="false" customHeight="true" outlineLevel="0" collapsed="false">
      <c r="A5" s="42" t="s">
        <v>43</v>
      </c>
      <c r="B5" s="42" t="s">
        <v>521</v>
      </c>
      <c r="C5" s="42" t="s">
        <v>131</v>
      </c>
      <c r="D5" s="42" t="s">
        <v>133</v>
      </c>
      <c r="E5" s="42" t="s">
        <v>680</v>
      </c>
      <c r="F5" s="42" t="s">
        <v>681</v>
      </c>
      <c r="G5" s="42" t="s">
        <v>682</v>
      </c>
      <c r="H5" s="42" t="s">
        <v>683</v>
      </c>
      <c r="I5" s="42" t="s">
        <v>307</v>
      </c>
    </row>
    <row r="6" customFormat="false" ht="18" hidden="false" customHeight="true" outlineLevel="0" collapsed="false">
      <c r="A6" s="71" t="n">
        <v>1</v>
      </c>
      <c r="B6" s="314" t="s">
        <v>201</v>
      </c>
      <c r="C6" s="90" t="s">
        <v>154</v>
      </c>
      <c r="D6" s="76" t="n">
        <v>2274.42</v>
      </c>
      <c r="E6" s="315" t="s">
        <v>684</v>
      </c>
      <c r="F6" s="316"/>
      <c r="G6" s="317" t="n">
        <v>46149</v>
      </c>
      <c r="H6" s="315" t="s">
        <v>685</v>
      </c>
      <c r="I6" s="318" t="s">
        <v>686</v>
      </c>
    </row>
    <row r="7" customFormat="false" ht="18" hidden="false" customHeight="true" outlineLevel="0" collapsed="false">
      <c r="A7" s="81" t="n">
        <v>2</v>
      </c>
      <c r="B7" s="319" t="s">
        <v>155</v>
      </c>
      <c r="C7" s="91" t="s">
        <v>154</v>
      </c>
      <c r="D7" s="86" t="n">
        <v>3819.79</v>
      </c>
      <c r="E7" s="315" t="s">
        <v>684</v>
      </c>
      <c r="F7" s="316"/>
      <c r="G7" s="317" t="n">
        <v>46143</v>
      </c>
      <c r="H7" s="315" t="s">
        <v>685</v>
      </c>
      <c r="I7" s="320" t="s">
        <v>687</v>
      </c>
    </row>
    <row r="8" customFormat="false" ht="18" hidden="false" customHeight="true" outlineLevel="0" collapsed="false">
      <c r="A8" s="71" t="n">
        <v>3</v>
      </c>
      <c r="B8" s="321" t="s">
        <v>57</v>
      </c>
      <c r="C8" s="322" t="s">
        <v>44</v>
      </c>
      <c r="D8" s="76" t="n">
        <f aca="false">'Debt Tracker'!F5</f>
        <v>33</v>
      </c>
      <c r="E8" s="315" t="s">
        <v>688</v>
      </c>
      <c r="F8" s="316" t="n">
        <v>9</v>
      </c>
      <c r="G8" s="316"/>
      <c r="H8" s="323" t="s">
        <v>689</v>
      </c>
      <c r="I8" s="318" t="s">
        <v>690</v>
      </c>
    </row>
    <row r="9" customFormat="false" ht="18" hidden="false" customHeight="true" outlineLevel="0" collapsed="false">
      <c r="A9" s="81" t="n">
        <v>4</v>
      </c>
      <c r="B9" s="230" t="s">
        <v>56</v>
      </c>
      <c r="C9" s="324" t="s">
        <v>44</v>
      </c>
      <c r="D9" s="86" t="n">
        <f aca="false">'Debt Tracker'!F6</f>
        <v>129</v>
      </c>
      <c r="E9" s="315" t="s">
        <v>688</v>
      </c>
      <c r="F9" s="316" t="n">
        <v>9</v>
      </c>
      <c r="G9" s="316"/>
      <c r="H9" s="323" t="s">
        <v>689</v>
      </c>
      <c r="I9" s="320" t="s">
        <v>691</v>
      </c>
    </row>
    <row r="10" customFormat="false" ht="18" hidden="false" customHeight="true" outlineLevel="0" collapsed="false">
      <c r="A10" s="71" t="n">
        <v>5</v>
      </c>
      <c r="B10" s="321" t="s">
        <v>58</v>
      </c>
      <c r="C10" s="322" t="s">
        <v>44</v>
      </c>
      <c r="D10" s="76" t="n">
        <f aca="false">'Debt Tracker'!F7</f>
        <v>29</v>
      </c>
      <c r="E10" s="315" t="s">
        <v>688</v>
      </c>
      <c r="F10" s="316" t="n">
        <v>15</v>
      </c>
      <c r="G10" s="316"/>
      <c r="H10" s="323" t="s">
        <v>689</v>
      </c>
      <c r="I10" s="318" t="s">
        <v>692</v>
      </c>
    </row>
    <row r="11" customFormat="false" ht="18" hidden="false" customHeight="true" outlineLevel="0" collapsed="false">
      <c r="A11" s="81" t="n">
        <v>6</v>
      </c>
      <c r="B11" s="230" t="s">
        <v>79</v>
      </c>
      <c r="C11" s="324" t="s">
        <v>44</v>
      </c>
      <c r="D11" s="86" t="n">
        <f aca="false">'Debt Tracker'!F8</f>
        <v>200</v>
      </c>
      <c r="E11" s="315" t="s">
        <v>688</v>
      </c>
      <c r="F11" s="316" t="n">
        <v>1</v>
      </c>
      <c r="G11" s="316"/>
      <c r="H11" s="323" t="s">
        <v>689</v>
      </c>
      <c r="I11" s="320" t="s">
        <v>693</v>
      </c>
    </row>
    <row r="12" customFormat="false" ht="18" hidden="false" customHeight="true" outlineLevel="0" collapsed="false">
      <c r="A12" s="71" t="n">
        <v>7</v>
      </c>
      <c r="B12" s="321" t="s">
        <v>85</v>
      </c>
      <c r="C12" s="322" t="s">
        <v>44</v>
      </c>
      <c r="D12" s="76" t="n">
        <f aca="false">'Debt Tracker'!F9</f>
        <v>205.87</v>
      </c>
      <c r="E12" s="315" t="s">
        <v>688</v>
      </c>
      <c r="F12" s="316" t="n">
        <v>6</v>
      </c>
      <c r="G12" s="316"/>
      <c r="H12" s="323" t="s">
        <v>689</v>
      </c>
      <c r="I12" s="318" t="s">
        <v>694</v>
      </c>
    </row>
    <row r="13" customFormat="false" ht="18" hidden="false" customHeight="true" outlineLevel="0" collapsed="false">
      <c r="A13" s="81" t="n">
        <v>8</v>
      </c>
      <c r="B13" s="230" t="s">
        <v>91</v>
      </c>
      <c r="C13" s="324" t="s">
        <v>44</v>
      </c>
      <c r="D13" s="86" t="n">
        <f aca="false">'Debt Tracker'!F10</f>
        <v>92</v>
      </c>
      <c r="E13" s="315" t="s">
        <v>688</v>
      </c>
      <c r="F13" s="316" t="n">
        <v>1</v>
      </c>
      <c r="G13" s="316"/>
      <c r="H13" s="323" t="s">
        <v>689</v>
      </c>
      <c r="I13" s="320" t="s">
        <v>695</v>
      </c>
    </row>
    <row r="14" customFormat="false" ht="18" hidden="false" customHeight="true" outlineLevel="0" collapsed="false">
      <c r="A14" s="71" t="n">
        <v>9</v>
      </c>
      <c r="B14" s="321" t="s">
        <v>63</v>
      </c>
      <c r="C14" s="322" t="s">
        <v>44</v>
      </c>
      <c r="D14" s="76" t="n">
        <f aca="false">'Debt Tracker'!F11</f>
        <v>40</v>
      </c>
      <c r="E14" s="315" t="s">
        <v>688</v>
      </c>
      <c r="F14" s="316" t="n">
        <v>13</v>
      </c>
      <c r="G14" s="316"/>
      <c r="H14" s="323" t="s">
        <v>689</v>
      </c>
      <c r="I14" s="318" t="s">
        <v>696</v>
      </c>
    </row>
    <row r="15" customFormat="false" ht="18" hidden="false" customHeight="true" outlineLevel="0" collapsed="false">
      <c r="A15" s="81" t="n">
        <v>10</v>
      </c>
      <c r="B15" s="230" t="s">
        <v>64</v>
      </c>
      <c r="C15" s="324" t="s">
        <v>44</v>
      </c>
      <c r="D15" s="86" t="n">
        <f aca="false">'Debt Tracker'!F12</f>
        <v>151.01</v>
      </c>
      <c r="E15" s="315" t="s">
        <v>688</v>
      </c>
      <c r="F15" s="316" t="n">
        <v>20</v>
      </c>
      <c r="G15" s="316"/>
      <c r="H15" s="323" t="s">
        <v>689</v>
      </c>
      <c r="I15" s="320" t="s">
        <v>697</v>
      </c>
    </row>
    <row r="16" customFormat="false" ht="18" hidden="false" customHeight="true" outlineLevel="0" collapsed="false">
      <c r="A16" s="71" t="n">
        <v>11</v>
      </c>
      <c r="B16" s="321" t="s">
        <v>81</v>
      </c>
      <c r="C16" s="322" t="s">
        <v>44</v>
      </c>
      <c r="D16" s="76" t="n">
        <f aca="false">'Debt Tracker'!F13</f>
        <v>72.54</v>
      </c>
      <c r="E16" s="315" t="s">
        <v>688</v>
      </c>
      <c r="F16" s="316" t="n">
        <v>10</v>
      </c>
      <c r="G16" s="316"/>
      <c r="H16" s="323" t="s">
        <v>689</v>
      </c>
      <c r="I16" s="318" t="s">
        <v>698</v>
      </c>
    </row>
    <row r="17" customFormat="false" ht="18" hidden="false" customHeight="true" outlineLevel="0" collapsed="false">
      <c r="A17" s="81" t="n">
        <v>12</v>
      </c>
      <c r="B17" s="230" t="s">
        <v>65</v>
      </c>
      <c r="C17" s="324" t="s">
        <v>44</v>
      </c>
      <c r="D17" s="86" t="n">
        <f aca="false">'Debt Tracker'!F14</f>
        <v>38</v>
      </c>
      <c r="E17" s="315" t="s">
        <v>688</v>
      </c>
      <c r="F17" s="316" t="n">
        <v>20</v>
      </c>
      <c r="G17" s="316"/>
      <c r="H17" s="323" t="s">
        <v>689</v>
      </c>
      <c r="I17" s="320" t="s">
        <v>699</v>
      </c>
    </row>
    <row r="18" customFormat="false" ht="18" hidden="false" customHeight="true" outlineLevel="0" collapsed="false">
      <c r="A18" s="71" t="n">
        <v>13</v>
      </c>
      <c r="B18" s="321" t="s">
        <v>87</v>
      </c>
      <c r="C18" s="322" t="s">
        <v>44</v>
      </c>
      <c r="D18" s="76" t="n">
        <f aca="false">'Debt Tracker'!F15</f>
        <v>80</v>
      </c>
      <c r="E18" s="315" t="s">
        <v>688</v>
      </c>
      <c r="F18" s="316" t="n">
        <v>21</v>
      </c>
      <c r="G18" s="316"/>
      <c r="H18" s="323" t="s">
        <v>689</v>
      </c>
      <c r="I18" s="318" t="s">
        <v>700</v>
      </c>
    </row>
    <row r="19" customFormat="false" ht="18" hidden="false" customHeight="true" outlineLevel="0" collapsed="false">
      <c r="A19" s="81" t="n">
        <v>14</v>
      </c>
      <c r="B19" s="230" t="s">
        <v>93</v>
      </c>
      <c r="C19" s="324" t="s">
        <v>44</v>
      </c>
      <c r="D19" s="86" t="n">
        <f aca="false">'Debt Tracker'!F16</f>
        <v>8.25</v>
      </c>
      <c r="E19" s="315" t="s">
        <v>688</v>
      </c>
      <c r="F19" s="316" t="n">
        <v>7</v>
      </c>
      <c r="G19" s="316"/>
      <c r="H19" s="323" t="s">
        <v>689</v>
      </c>
      <c r="I19" s="320" t="s">
        <v>701</v>
      </c>
    </row>
    <row r="20" customFormat="false" ht="18" hidden="false" customHeight="true" outlineLevel="0" collapsed="false">
      <c r="A20" s="71" t="n">
        <v>15</v>
      </c>
      <c r="B20" s="321" t="s">
        <v>103</v>
      </c>
      <c r="C20" s="322" t="s">
        <v>44</v>
      </c>
      <c r="D20" s="76" t="n">
        <f aca="false">'Debt Tracker'!F17</f>
        <v>44</v>
      </c>
      <c r="E20" s="315" t="s">
        <v>688</v>
      </c>
      <c r="F20" s="316" t="n">
        <v>16</v>
      </c>
      <c r="G20" s="316"/>
      <c r="H20" s="323" t="s">
        <v>689</v>
      </c>
      <c r="I20" s="318" t="s">
        <v>702</v>
      </c>
    </row>
    <row r="21" customFormat="false" ht="18" hidden="false" customHeight="true" outlineLevel="0" collapsed="false">
      <c r="A21" s="81" t="n">
        <v>16</v>
      </c>
      <c r="B21" s="230" t="s">
        <v>98</v>
      </c>
      <c r="C21" s="324" t="s">
        <v>44</v>
      </c>
      <c r="D21" s="86" t="n">
        <f aca="false">'Debt Tracker'!F18</f>
        <v>99</v>
      </c>
      <c r="E21" s="315" t="s">
        <v>688</v>
      </c>
      <c r="F21" s="316" t="n">
        <v>16</v>
      </c>
      <c r="G21" s="316"/>
      <c r="H21" s="323" t="s">
        <v>689</v>
      </c>
      <c r="I21" s="320" t="s">
        <v>703</v>
      </c>
    </row>
    <row r="22" customFormat="false" ht="18" hidden="false" customHeight="true" outlineLevel="0" collapsed="false">
      <c r="A22" s="71" t="n">
        <v>17</v>
      </c>
      <c r="B22" s="321" t="s">
        <v>50</v>
      </c>
      <c r="C22" s="322" t="s">
        <v>44</v>
      </c>
      <c r="D22" s="76" t="n">
        <f aca="false">'Debt Tracker'!F19</f>
        <v>19.11</v>
      </c>
      <c r="E22" s="315" t="s">
        <v>688</v>
      </c>
      <c r="F22" s="316" t="n">
        <v>14</v>
      </c>
      <c r="G22" s="316"/>
      <c r="H22" s="323" t="s">
        <v>689</v>
      </c>
      <c r="I22" s="318" t="s">
        <v>704</v>
      </c>
    </row>
    <row r="23" customFormat="false" ht="18" hidden="false" customHeight="true" outlineLevel="0" collapsed="false">
      <c r="A23" s="81" t="n">
        <v>18</v>
      </c>
      <c r="B23" s="230" t="s">
        <v>108</v>
      </c>
      <c r="C23" s="324" t="s">
        <v>44</v>
      </c>
      <c r="D23" s="86" t="n">
        <f aca="false">'Debt Tracker'!F20</f>
        <v>40</v>
      </c>
      <c r="E23" s="315" t="s">
        <v>688</v>
      </c>
      <c r="F23" s="316" t="n">
        <v>13</v>
      </c>
      <c r="G23" s="316"/>
      <c r="H23" s="323" t="s">
        <v>689</v>
      </c>
      <c r="I23" s="320" t="s">
        <v>705</v>
      </c>
    </row>
    <row r="24" customFormat="false" ht="18" hidden="false" customHeight="true" outlineLevel="0" collapsed="false">
      <c r="A24" s="71" t="n">
        <v>19</v>
      </c>
      <c r="B24" s="321" t="s">
        <v>89</v>
      </c>
      <c r="C24" s="322" t="s">
        <v>44</v>
      </c>
      <c r="D24" s="76" t="n">
        <f aca="false">'Debt Tracker'!F21</f>
        <v>53.99</v>
      </c>
      <c r="E24" s="315" t="s">
        <v>688</v>
      </c>
      <c r="F24" s="316" t="n">
        <v>6</v>
      </c>
      <c r="G24" s="316"/>
      <c r="H24" s="323" t="s">
        <v>689</v>
      </c>
      <c r="I24" s="318" t="s">
        <v>706</v>
      </c>
    </row>
    <row r="25" customFormat="false" ht="18" hidden="false" customHeight="true" outlineLevel="0" collapsed="false">
      <c r="A25" s="81" t="n">
        <v>20</v>
      </c>
      <c r="B25" s="230" t="s">
        <v>110</v>
      </c>
      <c r="C25" s="324" t="s">
        <v>44</v>
      </c>
      <c r="D25" s="86" t="n">
        <f aca="false">'Debt Tracker'!F22</f>
        <v>265.5</v>
      </c>
      <c r="E25" s="315" t="s">
        <v>688</v>
      </c>
      <c r="F25" s="316" t="n">
        <v>1</v>
      </c>
      <c r="G25" s="316"/>
      <c r="H25" s="323" t="s">
        <v>689</v>
      </c>
      <c r="I25" s="320" t="s">
        <v>707</v>
      </c>
    </row>
    <row r="26" customFormat="false" ht="18" hidden="false" customHeight="true" outlineLevel="0" collapsed="false">
      <c r="A26" s="71" t="n">
        <v>21</v>
      </c>
      <c r="B26" s="321" t="s">
        <v>112</v>
      </c>
      <c r="C26" s="322" t="s">
        <v>44</v>
      </c>
      <c r="D26" s="76" t="n">
        <f aca="false">'Debt Tracker'!F23</f>
        <v>1309.17</v>
      </c>
      <c r="E26" s="315" t="s">
        <v>688</v>
      </c>
      <c r="F26" s="316" t="n">
        <v>2</v>
      </c>
      <c r="G26" s="316"/>
      <c r="H26" s="323" t="s">
        <v>689</v>
      </c>
      <c r="I26" s="318" t="s">
        <v>708</v>
      </c>
    </row>
    <row r="27" customFormat="false" ht="18" hidden="false" customHeight="true" outlineLevel="0" collapsed="false">
      <c r="A27" s="81" t="n">
        <v>22</v>
      </c>
      <c r="B27" s="230" t="s">
        <v>114</v>
      </c>
      <c r="C27" s="324" t="s">
        <v>44</v>
      </c>
      <c r="D27" s="86" t="n">
        <f aca="false">'Debt Tracker'!F24</f>
        <v>139.5</v>
      </c>
      <c r="E27" s="315" t="s">
        <v>688</v>
      </c>
      <c r="F27" s="316" t="n">
        <v>29</v>
      </c>
      <c r="G27" s="316"/>
      <c r="H27" s="323" t="s">
        <v>689</v>
      </c>
      <c r="I27" s="320" t="s">
        <v>709</v>
      </c>
    </row>
    <row r="28" customFormat="false" ht="18" hidden="false" customHeight="true" outlineLevel="0" collapsed="false">
      <c r="A28" s="71" t="n">
        <v>23</v>
      </c>
      <c r="B28" s="321" t="s">
        <v>118</v>
      </c>
      <c r="C28" s="322" t="s">
        <v>44</v>
      </c>
      <c r="D28" s="76" t="n">
        <f aca="false">'Debt Tracker'!F25</f>
        <v>107.75</v>
      </c>
      <c r="E28" s="315" t="s">
        <v>688</v>
      </c>
      <c r="F28" s="316" t="n">
        <v>15</v>
      </c>
      <c r="G28" s="316"/>
      <c r="H28" s="323" t="s">
        <v>689</v>
      </c>
      <c r="I28" s="318" t="s">
        <v>710</v>
      </c>
    </row>
    <row r="29" customFormat="false" ht="18" hidden="false" customHeight="true" outlineLevel="0" collapsed="false">
      <c r="A29" s="81" t="n">
        <v>24</v>
      </c>
      <c r="B29" s="230" t="s">
        <v>100</v>
      </c>
      <c r="C29" s="324" t="s">
        <v>44</v>
      </c>
      <c r="D29" s="86" t="n">
        <f aca="false">'Debt Tracker'!F26</f>
        <v>66.93</v>
      </c>
      <c r="E29" s="315" t="s">
        <v>688</v>
      </c>
      <c r="F29" s="316" t="n">
        <v>29</v>
      </c>
      <c r="G29" s="316"/>
      <c r="H29" s="323" t="s">
        <v>689</v>
      </c>
      <c r="I29" s="320" t="s">
        <v>711</v>
      </c>
    </row>
    <row r="30" customFormat="false" ht="18" hidden="false" customHeight="true" outlineLevel="0" collapsed="false">
      <c r="A30" s="71" t="n">
        <v>25</v>
      </c>
      <c r="B30" s="321" t="s">
        <v>51</v>
      </c>
      <c r="C30" s="322" t="s">
        <v>44</v>
      </c>
      <c r="D30" s="76" t="n">
        <f aca="false">'Debt Tracker'!F27</f>
        <v>56.02</v>
      </c>
      <c r="E30" s="315" t="s">
        <v>688</v>
      </c>
      <c r="F30" s="316" t="n">
        <v>14</v>
      </c>
      <c r="G30" s="316"/>
      <c r="H30" s="323" t="s">
        <v>689</v>
      </c>
      <c r="I30" s="318" t="s">
        <v>712</v>
      </c>
    </row>
    <row r="31" customFormat="false" ht="18" hidden="false" customHeight="true" outlineLevel="0" collapsed="false">
      <c r="A31" s="81" t="n">
        <v>26</v>
      </c>
      <c r="B31" s="230" t="s">
        <v>77</v>
      </c>
      <c r="C31" s="324" t="s">
        <v>44</v>
      </c>
      <c r="D31" s="86" t="n">
        <f aca="false">'Debt Tracker'!F28</f>
        <v>18.22</v>
      </c>
      <c r="E31" s="315" t="s">
        <v>688</v>
      </c>
      <c r="F31" s="316" t="n">
        <v>20</v>
      </c>
      <c r="G31" s="316"/>
      <c r="H31" s="323" t="s">
        <v>689</v>
      </c>
      <c r="I31" s="320" t="s">
        <v>713</v>
      </c>
    </row>
    <row r="32" customFormat="false" ht="18" hidden="false" customHeight="true" outlineLevel="0" collapsed="false">
      <c r="A32" s="71" t="n">
        <v>27</v>
      </c>
      <c r="B32" s="321" t="s">
        <v>52</v>
      </c>
      <c r="C32" s="322" t="s">
        <v>44</v>
      </c>
      <c r="D32" s="76" t="n">
        <f aca="false">'Debt Tracker'!F29</f>
        <v>20.38</v>
      </c>
      <c r="E32" s="315" t="s">
        <v>688</v>
      </c>
      <c r="F32" s="316" t="n">
        <v>14</v>
      </c>
      <c r="G32" s="316"/>
      <c r="H32" s="323" t="s">
        <v>689</v>
      </c>
      <c r="I32" s="318" t="s">
        <v>714</v>
      </c>
    </row>
    <row r="33" customFormat="false" ht="18" hidden="false" customHeight="true" outlineLevel="0" collapsed="false">
      <c r="A33" s="81" t="n">
        <v>28</v>
      </c>
      <c r="B33" s="319" t="s">
        <v>237</v>
      </c>
      <c r="C33" s="84" t="s">
        <v>139</v>
      </c>
      <c r="D33" s="86" t="n">
        <f aca="false">'Monthly Budget'!C10</f>
        <v>1989.81</v>
      </c>
      <c r="E33" s="315" t="s">
        <v>688</v>
      </c>
      <c r="F33" s="316" t="n">
        <v>15</v>
      </c>
      <c r="G33" s="316"/>
      <c r="H33" s="315" t="s">
        <v>685</v>
      </c>
      <c r="I33" s="320" t="s">
        <v>715</v>
      </c>
    </row>
    <row r="34" customFormat="false" ht="18" hidden="false" customHeight="true" outlineLevel="0" collapsed="false">
      <c r="A34" s="71" t="n">
        <v>29</v>
      </c>
      <c r="B34" s="314" t="s">
        <v>164</v>
      </c>
      <c r="C34" s="74" t="s">
        <v>139</v>
      </c>
      <c r="D34" s="76" t="n">
        <f aca="false">'Monthly Budget'!C11</f>
        <v>677.4</v>
      </c>
      <c r="E34" s="315" t="s">
        <v>688</v>
      </c>
      <c r="F34" s="316" t="n">
        <v>3</v>
      </c>
      <c r="G34" s="316"/>
      <c r="H34" s="315" t="s">
        <v>685</v>
      </c>
      <c r="I34" s="318" t="s">
        <v>716</v>
      </c>
    </row>
    <row r="35" customFormat="false" ht="18" hidden="false" customHeight="true" outlineLevel="0" collapsed="false">
      <c r="A35" s="81" t="n">
        <v>30</v>
      </c>
      <c r="B35" s="319" t="s">
        <v>263</v>
      </c>
      <c r="C35" s="84" t="s">
        <v>139</v>
      </c>
      <c r="D35" s="86" t="n">
        <f aca="false">'Monthly Budget'!C12</f>
        <v>241</v>
      </c>
      <c r="E35" s="315" t="s">
        <v>688</v>
      </c>
      <c r="F35" s="316" t="n">
        <v>21</v>
      </c>
      <c r="G35" s="316"/>
      <c r="H35" s="315" t="s">
        <v>685</v>
      </c>
      <c r="I35" s="320" t="s">
        <v>717</v>
      </c>
    </row>
    <row r="36" customFormat="false" ht="18" hidden="false" customHeight="true" outlineLevel="0" collapsed="false">
      <c r="A36" s="71" t="n">
        <v>31</v>
      </c>
      <c r="B36" s="314" t="s">
        <v>273</v>
      </c>
      <c r="C36" s="74" t="s">
        <v>139</v>
      </c>
      <c r="D36" s="76" t="n">
        <f aca="false">'Monthly Budget'!C13</f>
        <v>101.02</v>
      </c>
      <c r="E36" s="315" t="s">
        <v>688</v>
      </c>
      <c r="F36" s="316" t="n">
        <v>24</v>
      </c>
      <c r="G36" s="316"/>
      <c r="H36" s="315" t="s">
        <v>685</v>
      </c>
      <c r="I36" s="318" t="s">
        <v>718</v>
      </c>
    </row>
    <row r="37" customFormat="false" ht="18" hidden="false" customHeight="true" outlineLevel="0" collapsed="false">
      <c r="A37" s="81" t="n">
        <v>32</v>
      </c>
      <c r="B37" s="319" t="s">
        <v>531</v>
      </c>
      <c r="C37" s="84" t="s">
        <v>139</v>
      </c>
      <c r="D37" s="86" t="n">
        <f aca="false">'Monthly Budget'!C14</f>
        <v>90.22</v>
      </c>
      <c r="E37" s="315" t="s">
        <v>688</v>
      </c>
      <c r="F37" s="316" t="n">
        <v>10</v>
      </c>
      <c r="G37" s="316"/>
      <c r="H37" s="315" t="s">
        <v>685</v>
      </c>
      <c r="I37" s="320" t="s">
        <v>719</v>
      </c>
    </row>
    <row r="38" customFormat="false" ht="18" hidden="false" customHeight="true" outlineLevel="0" collapsed="false">
      <c r="A38" s="71" t="n">
        <v>33</v>
      </c>
      <c r="B38" s="314" t="s">
        <v>244</v>
      </c>
      <c r="C38" s="74" t="s">
        <v>139</v>
      </c>
      <c r="D38" s="76" t="n">
        <f aca="false">'Monthly Budget'!C15</f>
        <v>342</v>
      </c>
      <c r="E38" s="315" t="s">
        <v>688</v>
      </c>
      <c r="F38" s="316" t="n">
        <v>16</v>
      </c>
      <c r="G38" s="316"/>
      <c r="H38" s="315" t="s">
        <v>685</v>
      </c>
      <c r="I38" s="318" t="s">
        <v>720</v>
      </c>
    </row>
    <row r="39" customFormat="false" ht="18" hidden="false" customHeight="true" outlineLevel="0" collapsed="false">
      <c r="A39" s="81" t="n">
        <v>34</v>
      </c>
      <c r="B39" s="319" t="s">
        <v>537</v>
      </c>
      <c r="C39" s="84" t="s">
        <v>139</v>
      </c>
      <c r="D39" s="86" t="n">
        <f aca="false">'Monthly Budget'!C20</f>
        <v>128.59</v>
      </c>
      <c r="E39" s="315" t="s">
        <v>688</v>
      </c>
      <c r="F39" s="316" t="n">
        <v>3</v>
      </c>
      <c r="G39" s="316"/>
      <c r="H39" s="315" t="s">
        <v>685</v>
      </c>
      <c r="I39" s="320" t="s">
        <v>721</v>
      </c>
    </row>
    <row r="40" customFormat="false" ht="18" hidden="false" customHeight="true" outlineLevel="0" collapsed="false">
      <c r="A40" s="71" t="n">
        <v>35</v>
      </c>
      <c r="B40" s="314" t="s">
        <v>538</v>
      </c>
      <c r="C40" s="74" t="s">
        <v>139</v>
      </c>
      <c r="D40" s="76" t="n">
        <f aca="false">'Monthly Budget'!C21</f>
        <v>121.54</v>
      </c>
      <c r="E40" s="315" t="s">
        <v>688</v>
      </c>
      <c r="F40" s="316" t="n">
        <v>3</v>
      </c>
      <c r="G40" s="316"/>
      <c r="H40" s="315" t="s">
        <v>685</v>
      </c>
      <c r="I40" s="318" t="s">
        <v>722</v>
      </c>
    </row>
    <row r="41" customFormat="false" ht="18" hidden="false" customHeight="true" outlineLevel="0" collapsed="false">
      <c r="A41" s="81" t="n">
        <v>36</v>
      </c>
      <c r="B41" s="319" t="s">
        <v>539</v>
      </c>
      <c r="C41" s="84" t="s">
        <v>139</v>
      </c>
      <c r="D41" s="86" t="n">
        <f aca="false">'Monthly Budget'!C22</f>
        <v>95</v>
      </c>
      <c r="E41" s="315" t="s">
        <v>688</v>
      </c>
      <c r="F41" s="316" t="n">
        <v>15</v>
      </c>
      <c r="G41" s="316"/>
      <c r="H41" s="315" t="s">
        <v>685</v>
      </c>
      <c r="I41" s="320" t="s">
        <v>723</v>
      </c>
    </row>
    <row r="42" customFormat="false" ht="18" hidden="false" customHeight="true" outlineLevel="0" collapsed="false">
      <c r="A42" s="71" t="n">
        <v>37</v>
      </c>
      <c r="B42" s="314" t="s">
        <v>540</v>
      </c>
      <c r="C42" s="74" t="s">
        <v>139</v>
      </c>
      <c r="D42" s="76" t="n">
        <f aca="false">'Monthly Budget'!C23</f>
        <v>53.85</v>
      </c>
      <c r="E42" s="315" t="s">
        <v>688</v>
      </c>
      <c r="F42" s="316" t="n">
        <v>8</v>
      </c>
      <c r="G42" s="316"/>
      <c r="H42" s="315" t="s">
        <v>685</v>
      </c>
      <c r="I42" s="318" t="s">
        <v>724</v>
      </c>
    </row>
    <row r="43" customFormat="false" ht="18" hidden="false" customHeight="true" outlineLevel="0" collapsed="false">
      <c r="A43" s="81" t="n">
        <v>38</v>
      </c>
      <c r="B43" s="319" t="s">
        <v>545</v>
      </c>
      <c r="C43" s="84" t="s">
        <v>139</v>
      </c>
      <c r="D43" s="86" t="n">
        <f aca="false">'Monthly Budget'!C28</f>
        <v>460</v>
      </c>
      <c r="E43" s="315" t="s">
        <v>725</v>
      </c>
      <c r="F43" s="316"/>
      <c r="G43" s="317" t="n">
        <v>46143</v>
      </c>
      <c r="H43" s="315" t="s">
        <v>685</v>
      </c>
      <c r="I43" s="320" t="s">
        <v>726</v>
      </c>
    </row>
    <row r="44" customFormat="false" ht="18" hidden="false" customHeight="true" outlineLevel="0" collapsed="false">
      <c r="A44" s="71" t="n">
        <v>39</v>
      </c>
      <c r="B44" s="314" t="s">
        <v>192</v>
      </c>
      <c r="C44" s="74" t="s">
        <v>139</v>
      </c>
      <c r="D44" s="76" t="n">
        <f aca="false">'Monthly Budget'!C33</f>
        <v>672.8</v>
      </c>
      <c r="E44" s="315" t="s">
        <v>688</v>
      </c>
      <c r="F44" s="316" t="n">
        <v>7</v>
      </c>
      <c r="G44" s="316"/>
      <c r="H44" s="315" t="s">
        <v>685</v>
      </c>
      <c r="I44" s="318" t="s">
        <v>727</v>
      </c>
    </row>
    <row r="45" customFormat="false" ht="18" hidden="false" customHeight="true" outlineLevel="0" collapsed="false">
      <c r="A45" s="81" t="n">
        <v>40</v>
      </c>
      <c r="B45" s="319" t="s">
        <v>178</v>
      </c>
      <c r="C45" s="84" t="s">
        <v>139</v>
      </c>
      <c r="D45" s="86" t="n">
        <f aca="false">'Monthly Budget'!C34</f>
        <v>651.55</v>
      </c>
      <c r="E45" s="315" t="s">
        <v>688</v>
      </c>
      <c r="F45" s="316" t="n">
        <v>6</v>
      </c>
      <c r="G45" s="316"/>
      <c r="H45" s="315" t="s">
        <v>685</v>
      </c>
      <c r="I45" s="320" t="s">
        <v>728</v>
      </c>
    </row>
    <row r="46" customFormat="false" ht="18" hidden="false" customHeight="true" outlineLevel="0" collapsed="false">
      <c r="A46" s="71" t="n">
        <v>41</v>
      </c>
      <c r="B46" s="314" t="s">
        <v>204</v>
      </c>
      <c r="C46" s="74" t="s">
        <v>139</v>
      </c>
      <c r="D46" s="76" t="n">
        <f aca="false">'Monthly Budget'!C35</f>
        <v>250</v>
      </c>
      <c r="E46" s="315" t="s">
        <v>688</v>
      </c>
      <c r="F46" s="316" t="n">
        <v>10</v>
      </c>
      <c r="G46" s="316"/>
      <c r="H46" s="315" t="s">
        <v>685</v>
      </c>
      <c r="I46" s="318" t="s">
        <v>729</v>
      </c>
    </row>
    <row r="47" customFormat="false" ht="18" hidden="false" customHeight="true" outlineLevel="0" collapsed="false">
      <c r="A47" s="81" t="n">
        <v>42</v>
      </c>
      <c r="B47" s="319" t="s">
        <v>561</v>
      </c>
      <c r="C47" s="84" t="s">
        <v>139</v>
      </c>
      <c r="D47" s="86" t="n">
        <f aca="false">'Monthly Budget'!C44</f>
        <v>51.01</v>
      </c>
      <c r="E47" s="315" t="s">
        <v>688</v>
      </c>
      <c r="F47" s="316" t="n">
        <v>5</v>
      </c>
      <c r="G47" s="316"/>
      <c r="H47" s="315" t="s">
        <v>685</v>
      </c>
      <c r="I47" s="320" t="s">
        <v>730</v>
      </c>
    </row>
    <row r="48" customFormat="false" ht="18" hidden="false" customHeight="true" outlineLevel="0" collapsed="false">
      <c r="A48" s="71" t="n">
        <v>43</v>
      </c>
      <c r="B48" s="314" t="s">
        <v>562</v>
      </c>
      <c r="C48" s="74" t="s">
        <v>139</v>
      </c>
      <c r="D48" s="76" t="n">
        <f aca="false">'Monthly Budget'!C45</f>
        <v>50.24</v>
      </c>
      <c r="E48" s="315" t="s">
        <v>688</v>
      </c>
      <c r="F48" s="316" t="n">
        <v>15</v>
      </c>
      <c r="G48" s="316"/>
      <c r="H48" s="315" t="s">
        <v>685</v>
      </c>
      <c r="I48" s="318" t="s">
        <v>731</v>
      </c>
    </row>
    <row r="49" customFormat="false" ht="18" hidden="false" customHeight="true" outlineLevel="0" collapsed="false">
      <c r="A49" s="81" t="n">
        <v>44</v>
      </c>
      <c r="B49" s="319" t="s">
        <v>564</v>
      </c>
      <c r="C49" s="84" t="s">
        <v>139</v>
      </c>
      <c r="D49" s="86" t="n">
        <f aca="false">'Monthly Budget'!C47</f>
        <v>80</v>
      </c>
      <c r="E49" s="315" t="s">
        <v>688</v>
      </c>
      <c r="F49" s="316" t="n">
        <v>1</v>
      </c>
      <c r="G49" s="316"/>
      <c r="H49" s="315" t="s">
        <v>685</v>
      </c>
      <c r="I49" s="320" t="s">
        <v>732</v>
      </c>
    </row>
    <row r="50" customFormat="false" ht="18" hidden="false" customHeight="true" outlineLevel="0" collapsed="false">
      <c r="A50" s="71" t="n">
        <v>45</v>
      </c>
      <c r="B50" s="314" t="s">
        <v>599</v>
      </c>
      <c r="C50" s="74" t="s">
        <v>139</v>
      </c>
      <c r="D50" s="76" t="n">
        <f aca="false">'Monthly Budget'!C83</f>
        <v>167.68</v>
      </c>
      <c r="E50" s="315" t="s">
        <v>688</v>
      </c>
      <c r="F50" s="316" t="n">
        <v>12</v>
      </c>
      <c r="G50" s="316"/>
      <c r="H50" s="315" t="s">
        <v>685</v>
      </c>
      <c r="I50" s="318" t="s">
        <v>733</v>
      </c>
    </row>
    <row r="51" customFormat="false" ht="18" hidden="false" customHeight="true" outlineLevel="0" collapsed="false">
      <c r="A51" s="81" t="n">
        <v>46</v>
      </c>
      <c r="B51" s="319" t="s">
        <v>603</v>
      </c>
      <c r="C51" s="84" t="s">
        <v>139</v>
      </c>
      <c r="D51" s="86" t="n">
        <f aca="false">'Monthly Budget'!C85</f>
        <v>86.78</v>
      </c>
      <c r="E51" s="315" t="s">
        <v>688</v>
      </c>
      <c r="F51" s="316" t="n">
        <v>15</v>
      </c>
      <c r="G51" s="316"/>
      <c r="H51" s="315" t="s">
        <v>685</v>
      </c>
      <c r="I51" s="320" t="s">
        <v>734</v>
      </c>
    </row>
    <row r="52" customFormat="false" ht="18" hidden="false" customHeight="true" outlineLevel="0" collapsed="false">
      <c r="A52" s="71" t="n">
        <v>47</v>
      </c>
      <c r="B52" s="314" t="s">
        <v>609</v>
      </c>
      <c r="C52" s="74" t="s">
        <v>139</v>
      </c>
      <c r="D52" s="76" t="n">
        <f aca="false">'Monthly Budget'!C90</f>
        <v>460</v>
      </c>
      <c r="E52" s="315" t="s">
        <v>688</v>
      </c>
      <c r="F52" s="316" t="n">
        <v>15</v>
      </c>
      <c r="G52" s="316"/>
      <c r="H52" s="315" t="s">
        <v>685</v>
      </c>
      <c r="I52" s="318" t="s">
        <v>735</v>
      </c>
    </row>
    <row r="53" customFormat="false" ht="18" hidden="false" customHeight="true" outlineLevel="0" collapsed="false">
      <c r="A53" s="81" t="n">
        <v>48</v>
      </c>
      <c r="B53" s="319" t="s">
        <v>285</v>
      </c>
      <c r="C53" s="84" t="s">
        <v>139</v>
      </c>
      <c r="D53" s="86" t="n">
        <f aca="false">'Monthly Budget'!C105</f>
        <v>237.58</v>
      </c>
      <c r="E53" s="315" t="s">
        <v>688</v>
      </c>
      <c r="F53" s="316" t="n">
        <v>29</v>
      </c>
      <c r="G53" s="316"/>
      <c r="H53" s="315" t="s">
        <v>685</v>
      </c>
      <c r="I53" s="320" t="s">
        <v>736</v>
      </c>
    </row>
    <row r="54" customFormat="false" ht="18" hidden="false" customHeight="true" outlineLevel="0" collapsed="false">
      <c r="A54" s="71" t="n">
        <v>49</v>
      </c>
      <c r="B54" s="314" t="s">
        <v>624</v>
      </c>
      <c r="C54" s="74" t="s">
        <v>139</v>
      </c>
      <c r="D54" s="76" t="n">
        <f aca="false">'Monthly Budget'!C106</f>
        <v>52.74</v>
      </c>
      <c r="E54" s="315" t="s">
        <v>688</v>
      </c>
      <c r="F54" s="316" t="n">
        <v>15</v>
      </c>
      <c r="G54" s="316"/>
      <c r="H54" s="315" t="s">
        <v>685</v>
      </c>
      <c r="I54" s="318" t="s">
        <v>737</v>
      </c>
    </row>
    <row r="55" customFormat="false" ht="18" hidden="false" customHeight="true" outlineLevel="0" collapsed="false">
      <c r="A55" s="81" t="n">
        <v>50</v>
      </c>
      <c r="B55" s="319" t="s">
        <v>626</v>
      </c>
      <c r="C55" s="84" t="s">
        <v>139</v>
      </c>
      <c r="D55" s="86" t="n">
        <f aca="false">'Monthly Budget'!C107</f>
        <v>256</v>
      </c>
      <c r="E55" s="315" t="s">
        <v>688</v>
      </c>
      <c r="F55" s="316" t="n">
        <v>15</v>
      </c>
      <c r="G55" s="316"/>
      <c r="H55" s="315" t="s">
        <v>685</v>
      </c>
      <c r="I55" s="320" t="s">
        <v>738</v>
      </c>
    </row>
    <row r="56" customFormat="false" ht="18" hidden="false" customHeight="true" outlineLevel="0" collapsed="false">
      <c r="A56" s="71" t="n">
        <v>51</v>
      </c>
      <c r="B56" s="314" t="s">
        <v>635</v>
      </c>
      <c r="C56" s="74" t="s">
        <v>139</v>
      </c>
      <c r="D56" s="76" t="n">
        <f aca="false">'Monthly Budget'!C114</f>
        <v>61.16</v>
      </c>
      <c r="E56" s="315" t="s">
        <v>688</v>
      </c>
      <c r="F56" s="316" t="n">
        <v>1</v>
      </c>
      <c r="G56" s="316"/>
      <c r="H56" s="315" t="s">
        <v>685</v>
      </c>
      <c r="I56" s="318" t="s">
        <v>739</v>
      </c>
    </row>
  </sheetData>
  <mergeCells count="2">
    <mergeCell ref="A1:I1"/>
    <mergeCell ref="A3:I3"/>
  </mergeCells>
  <dataValidations count="3">
    <dataValidation allowBlank="false" errorStyle="stop" operator="between" showDropDown="false" showErrorMessage="false" showInputMessage="false" sqref="E6:E150" type="list">
      <formula1>"Monthly,Bi-weekly,Weekly,One-time,Skip"</formula1>
      <formula2>0</formula2>
    </dataValidation>
    <dataValidation allowBlank="false" errorStyle="stop" operator="between" showDropDown="false" showErrorMessage="false" showInputMessage="false" sqref="C6:C150" type="list">
      <formula1>"Income,Expense,Debt"</formula1>
      <formula2>0</formula2>
    </dataValidation>
    <dataValidation allowBlank="false" errorStyle="stop" operator="between" showDropDown="false" showErrorMessage="false" showInputMessage="false" sqref="H6:H150" type="list">
      <formula1>"Yes,Auto"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8"/>
    <col collapsed="false" customWidth="true" hidden="false" outlineLevel="0" max="3" min="3" style="1" width="35"/>
    <col collapsed="false" customWidth="true" hidden="true" outlineLevel="0" max="10" min="10" style="1" width="13"/>
  </cols>
  <sheetData>
    <row r="1" customFormat="false" ht="27.75" hidden="false" customHeight="true" outlineLevel="0" collapsed="false">
      <c r="A1" s="6" t="s">
        <v>740</v>
      </c>
      <c r="B1" s="6"/>
      <c r="C1" s="6"/>
    </row>
    <row r="2" customFormat="false" ht="27.75" hidden="false" customHeight="true" outlineLevel="0" collapsed="false">
      <c r="A2" s="325" t="s">
        <v>741</v>
      </c>
      <c r="B2" s="325"/>
      <c r="C2" s="325"/>
    </row>
    <row r="4" customFormat="false" ht="21.75" hidden="false" customHeight="true" outlineLevel="0" collapsed="false">
      <c r="A4" s="43" t="s">
        <v>742</v>
      </c>
      <c r="B4" s="43" t="s">
        <v>743</v>
      </c>
      <c r="C4" s="43" t="s">
        <v>307</v>
      </c>
      <c r="J4" s="1" t="s">
        <v>57</v>
      </c>
    </row>
    <row r="5" customFormat="false" ht="18" hidden="false" customHeight="true" outlineLevel="0" collapsed="false">
      <c r="A5" s="326" t="s">
        <v>744</v>
      </c>
      <c r="B5" s="327" t="s">
        <v>192</v>
      </c>
      <c r="C5" s="328"/>
      <c r="J5" s="1" t="s">
        <v>56</v>
      </c>
    </row>
    <row r="6" customFormat="false" ht="18" hidden="false" customHeight="true" outlineLevel="0" collapsed="false">
      <c r="A6" s="329" t="s">
        <v>745</v>
      </c>
      <c r="B6" s="28" t="s">
        <v>539</v>
      </c>
      <c r="C6" s="182"/>
      <c r="J6" s="1" t="s">
        <v>58</v>
      </c>
    </row>
    <row r="7" customFormat="false" ht="18" hidden="false" customHeight="true" outlineLevel="0" collapsed="false">
      <c r="A7" s="326" t="s">
        <v>746</v>
      </c>
      <c r="B7" s="327" t="s">
        <v>244</v>
      </c>
      <c r="C7" s="328"/>
      <c r="J7" s="1" t="s">
        <v>79</v>
      </c>
    </row>
    <row r="8" customFormat="false" ht="18" hidden="false" customHeight="true" outlineLevel="0" collapsed="false">
      <c r="A8" s="329" t="s">
        <v>747</v>
      </c>
      <c r="B8" s="28" t="s">
        <v>531</v>
      </c>
      <c r="C8" s="182"/>
      <c r="J8" s="1" t="s">
        <v>85</v>
      </c>
    </row>
    <row r="9" customFormat="false" ht="18" hidden="false" customHeight="true" outlineLevel="0" collapsed="false">
      <c r="A9" s="326" t="s">
        <v>748</v>
      </c>
      <c r="B9" s="327" t="s">
        <v>263</v>
      </c>
      <c r="C9" s="328"/>
      <c r="J9" s="1" t="s">
        <v>91</v>
      </c>
    </row>
    <row r="10" customFormat="false" ht="18" hidden="false" customHeight="true" outlineLevel="0" collapsed="false">
      <c r="A10" s="329" t="s">
        <v>749</v>
      </c>
      <c r="B10" s="28" t="s">
        <v>164</v>
      </c>
      <c r="C10" s="182"/>
      <c r="J10" s="1" t="s">
        <v>63</v>
      </c>
    </row>
    <row r="11" customFormat="false" ht="18" hidden="false" customHeight="true" outlineLevel="0" collapsed="false">
      <c r="A11" s="326" t="s">
        <v>750</v>
      </c>
      <c r="B11" s="327" t="s">
        <v>237</v>
      </c>
      <c r="C11" s="328"/>
      <c r="J11" s="1" t="s">
        <v>64</v>
      </c>
    </row>
    <row r="12" customFormat="false" ht="18" hidden="false" customHeight="true" outlineLevel="0" collapsed="false">
      <c r="A12" s="329" t="s">
        <v>751</v>
      </c>
      <c r="B12" s="28" t="s">
        <v>112</v>
      </c>
      <c r="C12" s="182"/>
      <c r="J12" s="1" t="s">
        <v>81</v>
      </c>
    </row>
    <row r="13" customFormat="false" ht="18" hidden="false" customHeight="true" outlineLevel="0" collapsed="false">
      <c r="A13" s="326" t="s">
        <v>752</v>
      </c>
      <c r="B13" s="327" t="s">
        <v>110</v>
      </c>
      <c r="C13" s="328"/>
      <c r="J13" s="1" t="s">
        <v>65</v>
      </c>
    </row>
    <row r="14" customFormat="false" ht="18" hidden="false" customHeight="true" outlineLevel="0" collapsed="false">
      <c r="A14" s="329" t="s">
        <v>753</v>
      </c>
      <c r="B14" s="28" t="s">
        <v>110</v>
      </c>
      <c r="C14" s="182"/>
      <c r="J14" s="1" t="s">
        <v>87</v>
      </c>
    </row>
    <row r="15" customFormat="false" ht="18" hidden="false" customHeight="true" outlineLevel="0" collapsed="false">
      <c r="A15" s="326" t="s">
        <v>754</v>
      </c>
      <c r="B15" s="327" t="s">
        <v>89</v>
      </c>
      <c r="C15" s="328"/>
      <c r="J15" s="1" t="s">
        <v>93</v>
      </c>
    </row>
    <row r="16" customFormat="false" ht="18" hidden="false" customHeight="true" outlineLevel="0" collapsed="false">
      <c r="A16" s="329" t="s">
        <v>755</v>
      </c>
      <c r="B16" s="28" t="s">
        <v>91</v>
      </c>
      <c r="C16" s="182"/>
      <c r="J16" s="1" t="s">
        <v>103</v>
      </c>
    </row>
    <row r="17" customFormat="false" ht="18" hidden="false" customHeight="true" outlineLevel="0" collapsed="false">
      <c r="A17" s="326" t="s">
        <v>756</v>
      </c>
      <c r="B17" s="327" t="s">
        <v>63</v>
      </c>
      <c r="C17" s="328" t="s">
        <v>757</v>
      </c>
      <c r="J17" s="1" t="s">
        <v>98</v>
      </c>
    </row>
    <row r="18" customFormat="false" ht="18" hidden="false" customHeight="true" outlineLevel="0" collapsed="false">
      <c r="A18" s="329" t="s">
        <v>758</v>
      </c>
      <c r="B18" s="28" t="s">
        <v>108</v>
      </c>
      <c r="C18" s="182"/>
      <c r="J18" s="1" t="s">
        <v>50</v>
      </c>
    </row>
    <row r="19" customFormat="false" ht="18" hidden="false" customHeight="true" outlineLevel="0" collapsed="false">
      <c r="A19" s="326" t="s">
        <v>759</v>
      </c>
      <c r="B19" s="327" t="s">
        <v>85</v>
      </c>
      <c r="C19" s="328"/>
      <c r="J19" s="1" t="s">
        <v>108</v>
      </c>
    </row>
    <row r="20" customFormat="false" ht="18" hidden="false" customHeight="true" outlineLevel="0" collapsed="false">
      <c r="A20" s="329" t="s">
        <v>760</v>
      </c>
      <c r="B20" s="28" t="s">
        <v>65</v>
      </c>
      <c r="C20" s="182"/>
      <c r="J20" s="1" t="s">
        <v>89</v>
      </c>
    </row>
    <row r="21" customFormat="false" ht="18" hidden="false" customHeight="true" outlineLevel="0" collapsed="false">
      <c r="A21" s="326" t="s">
        <v>761</v>
      </c>
      <c r="B21" s="327" t="s">
        <v>79</v>
      </c>
      <c r="C21" s="328"/>
      <c r="J21" s="1" t="s">
        <v>110</v>
      </c>
    </row>
    <row r="22" customFormat="false" ht="18" hidden="false" customHeight="true" outlineLevel="0" collapsed="false">
      <c r="A22" s="329" t="s">
        <v>762</v>
      </c>
      <c r="B22" s="28" t="s">
        <v>58</v>
      </c>
      <c r="C22" s="182"/>
      <c r="J22" s="1" t="s">
        <v>112</v>
      </c>
    </row>
    <row r="23" customFormat="false" ht="18" hidden="false" customHeight="true" outlineLevel="0" collapsed="false">
      <c r="A23" s="326" t="s">
        <v>763</v>
      </c>
      <c r="B23" s="327" t="s">
        <v>57</v>
      </c>
      <c r="C23" s="328" t="s">
        <v>764</v>
      </c>
      <c r="J23" s="1" t="s">
        <v>114</v>
      </c>
    </row>
    <row r="24" customFormat="false" ht="18" hidden="false" customHeight="true" outlineLevel="0" collapsed="false">
      <c r="A24" s="329" t="s">
        <v>765</v>
      </c>
      <c r="B24" s="28" t="s">
        <v>145</v>
      </c>
      <c r="C24" s="182" t="s">
        <v>766</v>
      </c>
      <c r="J24" s="1" t="s">
        <v>118</v>
      </c>
    </row>
    <row r="25" customFormat="false" ht="18" hidden="false" customHeight="true" outlineLevel="0" collapsed="false">
      <c r="A25" s="326" t="s">
        <v>767</v>
      </c>
      <c r="B25" s="327" t="s">
        <v>103</v>
      </c>
      <c r="C25" s="328" t="s">
        <v>768</v>
      </c>
      <c r="J25" s="1" t="s">
        <v>100</v>
      </c>
    </row>
    <row r="26" customFormat="false" ht="18" hidden="false" customHeight="true" outlineLevel="0" collapsed="false">
      <c r="A26" s="329" t="s">
        <v>769</v>
      </c>
      <c r="B26" s="28" t="s">
        <v>87</v>
      </c>
      <c r="C26" s="182"/>
      <c r="J26" s="1" t="s">
        <v>51</v>
      </c>
    </row>
    <row r="27" customFormat="false" ht="18" hidden="false" customHeight="true" outlineLevel="0" collapsed="false">
      <c r="A27" s="326" t="s">
        <v>770</v>
      </c>
      <c r="B27" s="327" t="s">
        <v>85</v>
      </c>
      <c r="C27" s="328" t="s">
        <v>766</v>
      </c>
      <c r="J27" s="1" t="s">
        <v>77</v>
      </c>
    </row>
    <row r="28" customFormat="false" ht="18" hidden="false" customHeight="true" outlineLevel="0" collapsed="false">
      <c r="A28" s="329" t="s">
        <v>771</v>
      </c>
      <c r="B28" s="28" t="s">
        <v>85</v>
      </c>
      <c r="C28" s="182" t="s">
        <v>766</v>
      </c>
      <c r="J28" s="1" t="s">
        <v>52</v>
      </c>
    </row>
    <row r="29" customFormat="false" ht="18" hidden="false" customHeight="true" outlineLevel="0" collapsed="false">
      <c r="A29" s="326" t="s">
        <v>772</v>
      </c>
      <c r="B29" s="327" t="s">
        <v>79</v>
      </c>
      <c r="C29" s="328" t="s">
        <v>766</v>
      </c>
      <c r="J29" s="1" t="s">
        <v>237</v>
      </c>
    </row>
    <row r="30" customFormat="false" ht="18" hidden="false" customHeight="true" outlineLevel="0" collapsed="false">
      <c r="A30" s="329" t="s">
        <v>773</v>
      </c>
      <c r="B30" s="28" t="s">
        <v>64</v>
      </c>
      <c r="C30" s="182" t="s">
        <v>774</v>
      </c>
      <c r="J30" s="1" t="s">
        <v>164</v>
      </c>
    </row>
    <row r="31" customFormat="false" ht="18" hidden="false" customHeight="true" outlineLevel="0" collapsed="false">
      <c r="A31" s="326" t="s">
        <v>775</v>
      </c>
      <c r="B31" s="327" t="s">
        <v>56</v>
      </c>
      <c r="C31" s="328"/>
      <c r="J31" s="1" t="s">
        <v>263</v>
      </c>
    </row>
    <row r="32" customFormat="false" ht="18" hidden="false" customHeight="true" outlineLevel="0" collapsed="false">
      <c r="A32" s="329" t="s">
        <v>776</v>
      </c>
      <c r="B32" s="28" t="s">
        <v>636</v>
      </c>
      <c r="C32" s="182" t="s">
        <v>766</v>
      </c>
      <c r="J32" s="1" t="s">
        <v>273</v>
      </c>
    </row>
    <row r="33" customFormat="false" ht="18" hidden="false" customHeight="true" outlineLevel="0" collapsed="false">
      <c r="A33" s="326" t="s">
        <v>777</v>
      </c>
      <c r="B33" s="327" t="s">
        <v>778</v>
      </c>
      <c r="C33" s="328" t="s">
        <v>766</v>
      </c>
      <c r="J33" s="1" t="s">
        <v>531</v>
      </c>
    </row>
    <row r="34" customFormat="false" ht="18" hidden="false" customHeight="true" outlineLevel="0" collapsed="false">
      <c r="A34" s="329" t="s">
        <v>779</v>
      </c>
      <c r="B34" s="28" t="s">
        <v>282</v>
      </c>
      <c r="C34" s="182" t="s">
        <v>766</v>
      </c>
      <c r="J34" s="1" t="s">
        <v>244</v>
      </c>
    </row>
    <row r="35" customFormat="false" ht="18" hidden="false" customHeight="true" outlineLevel="0" collapsed="false">
      <c r="A35" s="326" t="s">
        <v>780</v>
      </c>
      <c r="B35" s="327" t="s">
        <v>196</v>
      </c>
      <c r="C35" s="328" t="s">
        <v>766</v>
      </c>
      <c r="J35" s="1" t="s">
        <v>533</v>
      </c>
    </row>
    <row r="36" customFormat="false" ht="18" hidden="false" customHeight="true" outlineLevel="0" collapsed="false">
      <c r="A36" s="329" t="s">
        <v>781</v>
      </c>
      <c r="B36" s="28" t="s">
        <v>196</v>
      </c>
      <c r="C36" s="182" t="s">
        <v>766</v>
      </c>
      <c r="J36" s="1" t="s">
        <v>537</v>
      </c>
    </row>
    <row r="37" customFormat="false" ht="18" hidden="false" customHeight="true" outlineLevel="0" collapsed="false">
      <c r="A37" s="326" t="s">
        <v>782</v>
      </c>
      <c r="B37" s="327" t="s">
        <v>207</v>
      </c>
      <c r="C37" s="328" t="s">
        <v>766</v>
      </c>
      <c r="J37" s="1" t="s">
        <v>538</v>
      </c>
    </row>
    <row r="38" customFormat="false" ht="18" hidden="false" customHeight="true" outlineLevel="0" collapsed="false">
      <c r="A38" s="329" t="s">
        <v>783</v>
      </c>
      <c r="B38" s="28" t="s">
        <v>173</v>
      </c>
      <c r="C38" s="182" t="s">
        <v>766</v>
      </c>
      <c r="J38" s="1" t="s">
        <v>539</v>
      </c>
    </row>
    <row r="39" customFormat="false" ht="18" hidden="false" customHeight="true" outlineLevel="0" collapsed="false">
      <c r="A39" s="326" t="s">
        <v>784</v>
      </c>
      <c r="B39" s="327" t="s">
        <v>214</v>
      </c>
      <c r="C39" s="328" t="s">
        <v>766</v>
      </c>
      <c r="J39" s="1" t="s">
        <v>540</v>
      </c>
    </row>
    <row r="40" customFormat="false" ht="18" hidden="false" customHeight="true" outlineLevel="0" collapsed="false">
      <c r="A40" s="329" t="s">
        <v>785</v>
      </c>
      <c r="B40" s="28" t="s">
        <v>214</v>
      </c>
      <c r="C40" s="182" t="s">
        <v>766</v>
      </c>
      <c r="J40" s="1" t="s">
        <v>541</v>
      </c>
    </row>
    <row r="41" customFormat="false" ht="18" hidden="false" customHeight="true" outlineLevel="0" collapsed="false">
      <c r="A41" s="326" t="s">
        <v>786</v>
      </c>
      <c r="B41" s="327" t="s">
        <v>285</v>
      </c>
      <c r="C41" s="328"/>
      <c r="J41" s="1" t="s">
        <v>545</v>
      </c>
    </row>
    <row r="42" customFormat="false" ht="18" hidden="false" customHeight="true" outlineLevel="0" collapsed="false">
      <c r="A42" s="329" t="s">
        <v>787</v>
      </c>
      <c r="B42" s="28" t="s">
        <v>285</v>
      </c>
      <c r="C42" s="182" t="s">
        <v>766</v>
      </c>
      <c r="J42" s="1" t="s">
        <v>276</v>
      </c>
    </row>
    <row r="43" customFormat="false" ht="18" hidden="false" customHeight="true" outlineLevel="0" collapsed="false">
      <c r="A43" s="326" t="s">
        <v>788</v>
      </c>
      <c r="B43" s="327" t="s">
        <v>93</v>
      </c>
      <c r="C43" s="328"/>
      <c r="J43" s="1" t="s">
        <v>192</v>
      </c>
    </row>
    <row r="44" customFormat="false" ht="18" hidden="false" customHeight="true" outlineLevel="0" collapsed="false">
      <c r="A44" s="329" t="s">
        <v>789</v>
      </c>
      <c r="B44" s="28" t="s">
        <v>110</v>
      </c>
      <c r="C44" s="182" t="s">
        <v>766</v>
      </c>
      <c r="J44" s="1" t="s">
        <v>178</v>
      </c>
    </row>
    <row r="45" customFormat="false" ht="18" hidden="false" customHeight="true" outlineLevel="0" collapsed="false">
      <c r="A45" s="326" t="s">
        <v>790</v>
      </c>
      <c r="B45" s="327" t="s">
        <v>244</v>
      </c>
      <c r="C45" s="328" t="s">
        <v>766</v>
      </c>
      <c r="J45" s="1" t="s">
        <v>204</v>
      </c>
    </row>
    <row r="46" customFormat="false" ht="18" hidden="false" customHeight="true" outlineLevel="0" collapsed="false">
      <c r="A46" s="329" t="s">
        <v>791</v>
      </c>
      <c r="B46" s="28" t="s">
        <v>263</v>
      </c>
      <c r="C46" s="182" t="s">
        <v>766</v>
      </c>
      <c r="J46" s="1" t="s">
        <v>552</v>
      </c>
    </row>
    <row r="47" customFormat="false" ht="18" hidden="false" customHeight="true" outlineLevel="0" collapsed="false">
      <c r="A47" s="326" t="s">
        <v>792</v>
      </c>
      <c r="B47" s="327" t="s">
        <v>273</v>
      </c>
      <c r="C47" s="328"/>
      <c r="J47" s="1" t="s">
        <v>553</v>
      </c>
    </row>
    <row r="48" customFormat="false" ht="18" hidden="false" customHeight="true" outlineLevel="0" collapsed="false">
      <c r="A48" s="329" t="s">
        <v>793</v>
      </c>
      <c r="B48" s="28" t="s">
        <v>89</v>
      </c>
      <c r="C48" s="182" t="s">
        <v>766</v>
      </c>
      <c r="J48" s="1" t="s">
        <v>556</v>
      </c>
    </row>
    <row r="49" customFormat="false" ht="18" hidden="false" customHeight="true" outlineLevel="0" collapsed="false">
      <c r="A49" s="326" t="s">
        <v>794</v>
      </c>
      <c r="B49" s="327" t="s">
        <v>795</v>
      </c>
      <c r="C49" s="328"/>
      <c r="J49" s="1" t="s">
        <v>558</v>
      </c>
    </row>
    <row r="50" customFormat="false" ht="18" hidden="false" customHeight="true" outlineLevel="0" collapsed="false">
      <c r="A50" s="329" t="s">
        <v>796</v>
      </c>
      <c r="B50" s="28" t="s">
        <v>192</v>
      </c>
      <c r="C50" s="182" t="s">
        <v>766</v>
      </c>
      <c r="J50" s="1" t="s">
        <v>559</v>
      </c>
    </row>
    <row r="51" customFormat="false" ht="18" hidden="false" customHeight="true" outlineLevel="0" collapsed="false">
      <c r="A51" s="326" t="s">
        <v>797</v>
      </c>
      <c r="B51" s="327" t="s">
        <v>112</v>
      </c>
      <c r="C51" s="328" t="s">
        <v>766</v>
      </c>
      <c r="J51" s="1" t="s">
        <v>561</v>
      </c>
    </row>
    <row r="52" customFormat="false" ht="18" hidden="false" customHeight="true" outlineLevel="0" collapsed="false">
      <c r="A52" s="329" t="s">
        <v>798</v>
      </c>
      <c r="B52" s="28" t="s">
        <v>164</v>
      </c>
      <c r="C52" s="182" t="s">
        <v>766</v>
      </c>
      <c r="J52" s="1" t="s">
        <v>562</v>
      </c>
    </row>
    <row r="53" customFormat="false" ht="18" hidden="false" customHeight="true" outlineLevel="0" collapsed="false">
      <c r="A53" s="326" t="s">
        <v>799</v>
      </c>
      <c r="B53" s="327" t="s">
        <v>237</v>
      </c>
      <c r="C53" s="328" t="s">
        <v>766</v>
      </c>
      <c r="J53" s="1" t="s">
        <v>563</v>
      </c>
    </row>
    <row r="54" customFormat="false" ht="18" hidden="false" customHeight="true" outlineLevel="0" collapsed="false">
      <c r="A54" s="329" t="s">
        <v>800</v>
      </c>
      <c r="B54" s="28" t="s">
        <v>537</v>
      </c>
      <c r="C54" s="182" t="s">
        <v>801</v>
      </c>
      <c r="J54" s="1" t="s">
        <v>564</v>
      </c>
    </row>
    <row r="55" customFormat="false" ht="18" hidden="false" customHeight="true" outlineLevel="0" collapsed="false">
      <c r="A55" s="326" t="s">
        <v>802</v>
      </c>
      <c r="B55" s="327" t="s">
        <v>276</v>
      </c>
      <c r="C55" s="328"/>
      <c r="J55" s="1" t="s">
        <v>566</v>
      </c>
    </row>
    <row r="56" customFormat="false" ht="18" hidden="false" customHeight="true" outlineLevel="0" collapsed="false">
      <c r="A56" s="329" t="s">
        <v>803</v>
      </c>
      <c r="B56" s="28" t="s">
        <v>204</v>
      </c>
      <c r="C56" s="182" t="s">
        <v>766</v>
      </c>
      <c r="J56" s="1" t="s">
        <v>598</v>
      </c>
    </row>
    <row r="57" customFormat="false" ht="18" hidden="false" customHeight="true" outlineLevel="0" collapsed="false">
      <c r="A57" s="326" t="s">
        <v>804</v>
      </c>
      <c r="B57" s="327" t="s">
        <v>201</v>
      </c>
      <c r="C57" s="328" t="s">
        <v>766</v>
      </c>
      <c r="J57" s="1" t="s">
        <v>599</v>
      </c>
    </row>
    <row r="58" customFormat="false" ht="18" hidden="false" customHeight="true" outlineLevel="0" collapsed="false">
      <c r="A58" s="329" t="s">
        <v>805</v>
      </c>
      <c r="B58" s="28" t="s">
        <v>155</v>
      </c>
      <c r="C58" s="182" t="s">
        <v>766</v>
      </c>
      <c r="J58" s="1" t="s">
        <v>601</v>
      </c>
    </row>
    <row r="59" customFormat="false" ht="18" hidden="false" customHeight="true" outlineLevel="0" collapsed="false">
      <c r="A59" s="326" t="s">
        <v>806</v>
      </c>
      <c r="B59" s="327" t="s">
        <v>545</v>
      </c>
      <c r="C59" s="328" t="s">
        <v>766</v>
      </c>
      <c r="J59" s="1" t="s">
        <v>603</v>
      </c>
    </row>
    <row r="60" customFormat="false" ht="18" hidden="false" customHeight="true" outlineLevel="0" collapsed="false">
      <c r="A60" s="329" t="s">
        <v>807</v>
      </c>
      <c r="B60" s="28" t="s">
        <v>632</v>
      </c>
      <c r="C60" s="182" t="s">
        <v>766</v>
      </c>
      <c r="J60" s="1" t="s">
        <v>605</v>
      </c>
    </row>
    <row r="61" customFormat="false" ht="18" hidden="false" customHeight="true" outlineLevel="0" collapsed="false">
      <c r="A61" s="326" t="s">
        <v>808</v>
      </c>
      <c r="B61" s="327" t="s">
        <v>615</v>
      </c>
      <c r="C61" s="328" t="s">
        <v>766</v>
      </c>
      <c r="J61" s="1" t="s">
        <v>609</v>
      </c>
    </row>
    <row r="62" customFormat="false" ht="18" hidden="false" customHeight="true" outlineLevel="0" collapsed="false">
      <c r="A62" s="329" t="s">
        <v>809</v>
      </c>
      <c r="B62" s="28" t="s">
        <v>635</v>
      </c>
      <c r="C62" s="182" t="s">
        <v>766</v>
      </c>
      <c r="J62" s="1" t="s">
        <v>142</v>
      </c>
    </row>
    <row r="63" customFormat="false" ht="18" hidden="false" customHeight="true" outlineLevel="0" collapsed="false">
      <c r="A63" s="326" t="s">
        <v>810</v>
      </c>
      <c r="B63" s="327" t="s">
        <v>611</v>
      </c>
      <c r="C63" s="328" t="s">
        <v>766</v>
      </c>
      <c r="J63" s="1" t="s">
        <v>611</v>
      </c>
    </row>
    <row r="64" customFormat="false" ht="18" hidden="false" customHeight="true" outlineLevel="0" collapsed="false">
      <c r="A64" s="329" t="s">
        <v>811</v>
      </c>
      <c r="B64" s="28" t="s">
        <v>611</v>
      </c>
      <c r="C64" s="182" t="s">
        <v>766</v>
      </c>
      <c r="J64" s="1" t="s">
        <v>612</v>
      </c>
    </row>
    <row r="65" customFormat="false" ht="18" hidden="false" customHeight="true" outlineLevel="0" collapsed="false">
      <c r="A65" s="326" t="s">
        <v>812</v>
      </c>
      <c r="B65" s="327" t="s">
        <v>142</v>
      </c>
      <c r="C65" s="328" t="s">
        <v>766</v>
      </c>
      <c r="J65" s="1" t="s">
        <v>615</v>
      </c>
    </row>
    <row r="66" customFormat="false" ht="15" hidden="false" customHeight="true" outlineLevel="0" collapsed="false">
      <c r="J66" s="1" t="s">
        <v>617</v>
      </c>
    </row>
    <row r="67" customFormat="false" ht="15" hidden="false" customHeight="true" outlineLevel="0" collapsed="false">
      <c r="J67" s="1" t="s">
        <v>618</v>
      </c>
    </row>
    <row r="68" customFormat="false" ht="15" hidden="false" customHeight="true" outlineLevel="0" collapsed="false">
      <c r="J68" s="1" t="s">
        <v>619</v>
      </c>
    </row>
    <row r="69" customFormat="false" ht="15" hidden="false" customHeight="true" outlineLevel="0" collapsed="false">
      <c r="J69" s="1" t="s">
        <v>620</v>
      </c>
    </row>
    <row r="70" customFormat="false" ht="15" hidden="false" customHeight="true" outlineLevel="0" collapsed="false">
      <c r="J70" s="1" t="s">
        <v>285</v>
      </c>
    </row>
    <row r="71" customFormat="false" ht="15" hidden="false" customHeight="true" outlineLevel="0" collapsed="false">
      <c r="J71" s="1" t="s">
        <v>624</v>
      </c>
    </row>
    <row r="72" customFormat="false" ht="15" hidden="false" customHeight="true" outlineLevel="0" collapsed="false">
      <c r="J72" s="1" t="s">
        <v>626</v>
      </c>
    </row>
    <row r="73" customFormat="false" ht="15" hidden="false" customHeight="true" outlineLevel="0" collapsed="false">
      <c r="J73" s="1" t="s">
        <v>628</v>
      </c>
    </row>
    <row r="74" customFormat="false" ht="15" hidden="false" customHeight="true" outlineLevel="0" collapsed="false">
      <c r="J74" s="1" t="s">
        <v>629</v>
      </c>
    </row>
    <row r="75" customFormat="false" ht="15" hidden="false" customHeight="true" outlineLevel="0" collapsed="false">
      <c r="J75" s="1" t="s">
        <v>630</v>
      </c>
    </row>
    <row r="76" customFormat="false" ht="15" hidden="false" customHeight="true" outlineLevel="0" collapsed="false">
      <c r="J76" s="1" t="s">
        <v>632</v>
      </c>
    </row>
    <row r="77" customFormat="false" ht="15" hidden="false" customHeight="true" outlineLevel="0" collapsed="false">
      <c r="J77" s="1" t="s">
        <v>633</v>
      </c>
    </row>
    <row r="78" customFormat="false" ht="15" hidden="false" customHeight="true" outlineLevel="0" collapsed="false">
      <c r="J78" s="1" t="s">
        <v>634</v>
      </c>
    </row>
    <row r="79" customFormat="false" ht="15" hidden="false" customHeight="true" outlineLevel="0" collapsed="false">
      <c r="J79" s="1" t="s">
        <v>635</v>
      </c>
    </row>
    <row r="80" customFormat="false" ht="15" hidden="false" customHeight="true" outlineLevel="0" collapsed="false">
      <c r="J80" s="1" t="s">
        <v>636</v>
      </c>
    </row>
    <row r="81" customFormat="false" ht="15" hidden="false" customHeight="true" outlineLevel="0" collapsed="false">
      <c r="J81" s="1" t="s">
        <v>640</v>
      </c>
    </row>
    <row r="82" customFormat="false" ht="15" hidden="false" customHeight="true" outlineLevel="0" collapsed="false">
      <c r="J82" s="1" t="s">
        <v>642</v>
      </c>
    </row>
    <row r="83" customFormat="false" ht="15" hidden="false" customHeight="true" outlineLevel="0" collapsed="false">
      <c r="J83" s="1" t="s">
        <v>644</v>
      </c>
    </row>
    <row r="84" customFormat="false" ht="15" hidden="false" customHeight="true" outlineLevel="0" collapsed="false">
      <c r="J84" s="1" t="s">
        <v>646</v>
      </c>
    </row>
    <row r="85" customFormat="false" ht="15" hidden="false" customHeight="true" outlineLevel="0" collapsed="false">
      <c r="J85" s="1" t="s">
        <v>651</v>
      </c>
    </row>
    <row r="86" customFormat="false" ht="15" hidden="false" customHeight="true" outlineLevel="0" collapsed="false">
      <c r="J86" s="1" t="s">
        <v>155</v>
      </c>
    </row>
    <row r="87" customFormat="false" ht="15" hidden="false" customHeight="true" outlineLevel="0" collapsed="false">
      <c r="J87" s="1" t="s">
        <v>201</v>
      </c>
    </row>
    <row r="88" customFormat="false" ht="15" hidden="false" customHeight="true" outlineLevel="0" collapsed="false">
      <c r="J88" s="1" t="s">
        <v>214</v>
      </c>
    </row>
    <row r="89" customFormat="false" ht="15" hidden="false" customHeight="true" outlineLevel="0" collapsed="false">
      <c r="J89" s="1" t="s">
        <v>173</v>
      </c>
    </row>
    <row r="90" customFormat="false" ht="15" hidden="false" customHeight="true" outlineLevel="0" collapsed="false">
      <c r="J90" s="1" t="s">
        <v>207</v>
      </c>
    </row>
    <row r="91" customFormat="false" ht="15" hidden="false" customHeight="true" outlineLevel="0" collapsed="false">
      <c r="J91" s="1" t="s">
        <v>196</v>
      </c>
    </row>
    <row r="92" customFormat="false" ht="15" hidden="false" customHeight="true" outlineLevel="0" collapsed="false">
      <c r="J92" s="1" t="s">
        <v>813</v>
      </c>
    </row>
    <row r="93" customFormat="false" ht="15" hidden="false" customHeight="true" outlineLevel="0" collapsed="false">
      <c r="J93" s="1" t="s">
        <v>814</v>
      </c>
    </row>
    <row r="94" customFormat="false" ht="15" hidden="false" customHeight="true" outlineLevel="0" collapsed="false">
      <c r="J94" s="1" t="s">
        <v>815</v>
      </c>
    </row>
    <row r="95" customFormat="false" ht="15" hidden="false" customHeight="true" outlineLevel="0" collapsed="false">
      <c r="J95" s="1" t="s">
        <v>145</v>
      </c>
    </row>
    <row r="96" customFormat="false" ht="15" hidden="false" customHeight="true" outlineLevel="0" collapsed="false">
      <c r="J96" s="1" t="s">
        <v>282</v>
      </c>
    </row>
    <row r="97" customFormat="false" ht="15" hidden="false" customHeight="true" outlineLevel="0" collapsed="false">
      <c r="J97" s="1" t="s">
        <v>816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2026-04-29T19:21:07Z</dcterms:created>
  <dc:creator>openpyxl</dc:creator>
  <dc:description/>
  <dc:language>en-US</dc:language>
  <cp:lastModifiedBy>Brad Hubele</cp:lastModifiedBy>
  <dcterms:modified xsi:type="dcterms:W3CDTF">2026-04-30T14:06:28Z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